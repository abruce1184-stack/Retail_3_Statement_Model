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6"/>
  <workbookPr codeName="ThisWorkbook" defaultThemeVersion="166925"/>
  <mc:AlternateContent xmlns:mc="http://schemas.openxmlformats.org/markup-compatibility/2006">
    <mc:Choice Requires="x15">
      <x15ac:absPath xmlns:x15ac="http://schemas.microsoft.com/office/spreadsheetml/2010/11/ac" url="https://dcparts-my.sharepoint.com/personal/abruce_dcpa_org/Documents/Desktop/"/>
    </mc:Choice>
  </mc:AlternateContent>
  <xr:revisionPtr revIDLastSave="134" documentId="8_{33ECEB42-9139-4DBA-890E-0D84BC232497}" xr6:coauthVersionLast="47" xr6:coauthVersionMax="47" xr10:uidLastSave="{C81BCACD-2581-4B5B-A0B3-B2F9282AD5CF}"/>
  <bookViews>
    <workbookView xWindow="-120" yWindow="-120" windowWidth="23280" windowHeight="13920" tabRatio="400" firstSheet="4" activeTab="4" xr2:uid="{00000000-000D-0000-FFFF-FFFF00000000}"/>
  </bookViews>
  <sheets>
    <sheet name="Cover" sheetId="1" r:id="rId1"/>
    <sheet name="Dashboard Summary" sheetId="13" r:id="rId2"/>
    <sheet name="Assumptions" sheetId="8" r:id="rId3"/>
    <sheet name="Existing Stores" sheetId="9" r:id="rId4"/>
    <sheet name="Model" sheetId="10" r:id="rId5"/>
    <sheet name="Sheet1" sheetId="14" state="hidden" r:id="rId6"/>
    <sheet name="Model Validation" sheetId="11" state="hidden" r:id="rId7"/>
  </sheets>
  <externalReferences>
    <externalReference r:id="rId8"/>
  </externalReferences>
  <definedNames>
    <definedName name="active" localSheetId="1">[1]Assumptions!$I$25:$I$30</definedName>
    <definedName name="active">#REF!</definedName>
    <definedName name="Ad_to_Contents" localSheetId="1">_xlfn.LAMBDA(_xlpm.ad,_xlpm.map,_xlop.OOB,_xlfn.LET(_xlpm.r,'Dashboard Summary'!RowNum(_xlpm.ad),_xlpm.c,'Dashboard Summary'!ColNum(_xlpm.ad),_xlpm.RC,_xlpm.r*10^6+_xlpm.c,_xlpm.rcn,ROW(_xlpm.map)*1000000+COLUMN(_xlpm.map), _xlpm.out,ISNA(_xlfn.XMATCH(_xlpm.RC,_xlfn.TOCOL(_xlpm.rcn))),_xlpm.ob,IF(_xlfn.ISOMITTED(_xlpm.OOB),"OOB",_xlpm.OOB), _xlpm.rs,IF(_xlpm.out,_xlpm.ob,INDEX(_xlpm.map,_xlpm.r-_xlfn.SINGLE(ROW(_xlpm.map))+1,_xlpm.c-_xlfn.SINGLE(COLUMN(_xlpm.map))+1) ),_xlpm.rs))</definedName>
    <definedName name="Ad_to_Contents">_xlfn.LAMBDA(_xlpm.ad,_xlpm.map,_xlop.OOB,_xlfn.LET(_xlpm.r,RowNum(_xlpm.ad),_xlpm.c,ColNum(_xlpm.ad),_xlpm.RC,_xlpm.r*10^6+_xlpm.c,_xlpm.rcn,ROW(_xlpm.map)*1000000+COLUMN(_xlpm.map), _xlpm.out,ISNA(_xlfn.XMATCH(_xlpm.RC,_xlfn.TOCOL(_xlpm.rcn))),_xlpm.ob,IF(_xlfn.ISOMITTED(_xlpm.OOB),"OOB",_xlpm.OOB), _xlpm.rs,IF(_xlpm.out,_xlpm.ob,INDEX(_xlpm.map,_xlpm.r-_xlfn.SINGLE(ROW(_xlpm.map))+1,_xlpm.c-_xlfn.SINGLE(COLUMN(_xlpm.map))+1) ),_xlpm.rs))</definedName>
    <definedName name="AddressOfCells" localSheetId="1">_xlfn.LAMBDA(_xlpm.Array,_xlfn.MAP(_xlpm.Array,_xlfn.LAMBDA(_xlpm.a,ADDRESS(ROW(_xlpm.a),COLUMN(_xlpm.a),4))))</definedName>
    <definedName name="AddressOfCells">_xlfn.LAMBDA(_xlpm.Array,_xlfn.MAP(_xlpm.Array,_xlfn.LAMBDA(_xlpm.a,ADDRESS(ROW(_xlpm.a),COLUMN(_xlpm.a),4))))</definedName>
    <definedName name="Alphabet">_xlfn.LAMBDA(CHAR(_xlfn.SEQUENCE(26,,65)))</definedName>
    <definedName name="AlphaShift" localSheetId="1">_xlfn.LAMBDA(_xlpm.startcode,_xlpm.adjustment,_xlpm.startingletter,MOD(_xlpm.startcode+_xlpm.adjustment-_xlpm.startingletter,26)+_xlpm.startingletter)</definedName>
    <definedName name="AlphaShift">_xlfn.LAMBDA(_xlpm.startcode,_xlpm.adjustment,_xlpm.startingletter,MOD(_xlpm.startcode+_xlpm.adjustment-_xlpm.startingletter,26)+_xlpm.startingletter)</definedName>
    <definedName name="ArrayShift" localSheetId="1">_xlfn.LAMBDA(_xlpm.Array,_xlop.RowShift,_xlop.ColumnShift,_xlop.Fill,_xlop.WrapAround,_xlfn.LET(_xlpm.fl,IF(_xlfn.ISOMITTED(_xlpm.Fill),"X",_xlpm.Fill),_xlpm.rs,_xlpm.RowShift,_xlpm.cs,_xlpm.ColumnShift,_xlpm.wa,_xlpm.WrapAround,_xlpm.a,_xlpm.Array,_xlpm.r,ROWS(_xlpm.a),_xlpm.c,COLUMNS(_xlpm.a),_xlpm.rf,IF(_xlpm.wa,_xlfn.TAKE(_xlpm.a,-(MOD(_xlpm.rs-1,_xlpm.r)+1)),_xlfn.EXPAND(_xlpm.fl,MIN(ABS(_xlpm.rs),_xlpm.r),_xlpm.c,_xlpm.fl)), _xlpm.ra,IF(_xlpm.rs=0,_xlpm.a,IF(_xlpm.wa,IFERROR(_xlfn.VSTACK(_xlpm.rf,_xlfn.TAKE(_xlpm.a,_xlpm.r-ROWS(_xlpm.rf))),_xlpm.rf),IF(ABS(_xlpm.rs)&gt;_xlpm.r-1,_xlpm.rf,_xlfn.VSTACK(IF(_xlpm.rs&gt;0,_xlpm.rf,_xlfn.TAKE(_xlpm.a,-_xlpm.r-_xlpm.rs)),IF(_xlpm.rs&gt;0,_xlfn.TAKE(_xlpm.a,_xlpm.r-_xlpm.rs),_xlpm.rf))))),_xlpm.cf,IF(_xlpm.wa,_xlfn.TAKE(_xlpm.ra,,-(MOD(_xlpm.cs-1,_xlpm.c)+1)),_xlfn.EXPAND(_xlpm.fl,_xlpm.r,MIN(ABS(_xlpm.cs),_xlpm.c),_xlpm.fl)), _xlpm.ca,IF(_xlpm.cs=0,_xlpm.ra,IF(_xlpm.wa,IFERROR(_xlfn.HSTACK(_xlpm.cf,_xlfn.TAKE(_xlpm.ra,,_xlpm.c-COLUMNS(_xlpm.cf))),_xlpm.cf),IF(ABS(_xlpm.cs)&gt;_xlpm.c-1,_xlpm.cf,_xlfn.HSTACK(IF(_xlpm.cs&gt;0,_xlpm.cf,_xlfn.TAKE(_xlpm.ra,,-_xlpm.c-_xlpm.cs)),IF(_xlpm.cs&gt;0,_xlfn.TAKE(_xlpm.ra,,_xlpm.c-_xlpm.cs),_xlpm.cf))))),_xlpm.ca))</definedName>
    <definedName name="ArrayShift">_xlfn.LAMBDA(_xlpm.Array,_xlop.RowShift,_xlop.ColumnShift,_xlop.Fill,_xlop.WrapAround,_xlfn.LET(_xlpm.fl,IF(_xlfn.ISOMITTED(_xlpm.Fill),"X",_xlpm.Fill),_xlpm.rs,_xlpm.RowShift,_xlpm.cs,_xlpm.ColumnShift,_xlpm.wa,_xlpm.WrapAround,_xlpm.a,_xlpm.Array,_xlpm.r,ROWS(_xlpm.a),_xlpm.c,COLUMNS(_xlpm.a),_xlpm.rf,IF(_xlpm.wa,_xlfn.TAKE(_xlpm.a,-(MOD(_xlpm.rs-1,_xlpm.r)+1)),_xlfn.EXPAND(_xlpm.fl,MIN(ABS(_xlpm.rs),_xlpm.r),_xlpm.c,_xlpm.fl)), _xlpm.ra,IF(_xlpm.rs=0,_xlpm.a,IF(_xlpm.wa,IFERROR(_xlfn.VSTACK(_xlpm.rf,_xlfn.TAKE(_xlpm.a,_xlpm.r-ROWS(_xlpm.rf))),_xlpm.rf),IF(ABS(_xlpm.rs)&gt;_xlpm.r-1,_xlpm.rf,_xlfn.VSTACK(IF(_xlpm.rs&gt;0,_xlpm.rf,_xlfn.TAKE(_xlpm.a,-_xlpm.r-_xlpm.rs)),IF(_xlpm.rs&gt;0,_xlfn.TAKE(_xlpm.a,_xlpm.r-_xlpm.rs),_xlpm.rf))))),_xlpm.cf,IF(_xlpm.wa,_xlfn.TAKE(_xlpm.ra,,-(MOD(_xlpm.cs-1,_xlpm.c)+1)),_xlfn.EXPAND(_xlpm.fl,_xlpm.r,MIN(ABS(_xlpm.cs),_xlpm.c),_xlpm.fl)), _xlpm.ca,IF(_xlpm.cs=0,_xlpm.ra,IF(_xlpm.wa,IFERROR(_xlfn.HSTACK(_xlpm.cf,_xlfn.TAKE(_xlpm.ra,,_xlpm.c-COLUMNS(_xlpm.cf))),_xlpm.cf),IF(ABS(_xlpm.cs)&gt;_xlpm.c-1,_xlpm.cf,_xlfn.HSTACK(IF(_xlpm.cs&gt;0,_xlpm.cf,_xlfn.TAKE(_xlpm.ra,,-_xlpm.c-_xlpm.cs)),IF(_xlpm.cs&gt;0,_xlfn.TAKE(_xlpm.ra,,_xlpm.c-_xlpm.cs),_xlpm.cf))))),_xlpm.ca))</definedName>
    <definedName name="Arrows" localSheetId="1">_xlfn.LAMBDA(_xlop.ShowHV,IF(_xlpm.ShowHV,{"↓",1,0;"↑",-1,0;"→",0,1;"←",0,-1;"↘",1,1;"↖",-1,-1;"↙",1,-1;"↗",-1,1},{"↓";"↑";"→";"←";"↘";"↖";"↙";"↗"}))</definedName>
    <definedName name="Arrows">_xlfn.LAMBDA(_xlop.ShowHV,IF(_xlpm.ShowHV,{"↓",1,0;"↑",-1,0;"→",0,1;"←",0,-1;"↘",1,1;"↖",-1,-1;"↙",1,-1;"↗",-1,1},{"↓";"↑";"→";"←";"↘";"↖";"↙";"↗"}))</definedName>
    <definedName name="Biggest" localSheetId="1">_xlfn.LAMBDA(_xlpm.Range,_xlpm.Return,_xlop.Smallest,_xlop.N,_xlfn.LET(_xlpm.nu,IF(_xlfn.ISOMITTED(_xlpm.N),1,_xlpm.N),_xlpm.s,_xlfn.SORTBY(_xlpm.Return,_xlpm.Range,IF(_xlpm.Smallest,1,-1)),IF(COLUMNS(_xlpm.Return)=1,_xlfn.CHOOSEROWS(_xlpm.s,_xlpm.nu),_xlfn.CHOOSECOLS(_xlpm.s,_xlpm.nu))))</definedName>
    <definedName name="Biggest">_xlfn.LAMBDA(_xlpm.Range,_xlpm.Return,_xlop.Smallest,_xlop.N,_xlfn.LET(_xlpm.nu,IF(_xlfn.ISOMITTED(_xlpm.N),1,_xlpm.N),_xlpm.s,_xlfn.SORTBY(_xlpm.Return,_xlpm.Range,IF(_xlpm.Smallest,1,-1)),IF(COLUMNS(_xlpm.Return)=1,_xlfn.CHOOSEROWS(_xlpm.s,_xlpm.nu),_xlfn.CHOOSECOLS(_xlpm.s,_xlpm.nu))))</definedName>
    <definedName name="BlockOutMap" localSheetId="1">_xlfn.LAMBDA(_xlpm.mp,_xlpm.blockers,_xlop.Fill,_xlop.No_Diag,_xlop.Cus_Dir,_xlfn.LET(_xlpm.rn,ROW(_xlpm.mp),_xlpm.cn,COLUMN(_xlpm.mp),_xlpm.m,10^6,_xlpm.rcn,_xlpm.rn*_xlpm.m+_xlpm.cn,_xlpm.dir,{-1000000,-1,1,1000000,-1000001,-999999,999999,1000001}, _xlpm.xRC,IF(_xlfn.ISOMITTED(_xlpm.Cus_Dir),_xlfn.TAKE(_xlpm.dir,,8-4*_xlpm.No_Diag),_xlfn.TOROW(_xlpm.Cus_Dir,3)), _xlpm.blc,_xlfn.TOCOL(IF(_xlfn.XMATCH(_xlpm.mp,_xlfn.TAKE(_xlpm.blockers,,1)),_xlpm.rcn,""),3),_xlpm.rblc,VLOOKUP(INDEX(_xlpm.mp,INT(_xlpm.blc/_xlpm.m)-_xlfn.SINGLE(ROW(_xlpm.mp))+1,MOD(_xlpm.blc,_xlpm.m)-_xlfn.SINGLE(COLUMN(_xlpm.mp))+1),_xlpm.blockers,2,)-1,_xlpm.blitm,_xlfn.TOCOL(IF(_xlfn.XMATCH(_xlpm.rcn,_xlpm.blc),_xlpm.mp),3), _xlpm.tab,_xlfn.HSTACK(_xlpm.blc,_xlpm.rblc,_xlpm.blitm),_xlpm.cot,_xlfn._xlws.FILTER(_xlpm.tab,_xlpm.rblc&gt;0),  _xlpm.rs,_xlfn.REDUCE(1,_xlfn.SEQUENCE(ROWS(_xlpm.cot)),_xlfn.LAMBDA(_xlpm.t,_xlpm.y,_xlfn.LET( _xlpm.co,_xlfn.CHOOSEROWS(_xlpm.cot,_xlpm.y),_xlfn.VSTACK(_xlpm.t, _xlfn.IFNA(_xlfn.HSTACK(_xlfn.REDUCE(_xlfn.CONCAT(_xlfn.TAKE(_xlpm.co,,1))*1,_xlfn.SEQUENCE(_xlfn.CONCAT(_xlfn.CHOOSECOLS(_xlpm.co,2)))*1,_xlfn.LAMBDA(_xlpm.a,_xlpm.v,_xlfn.LET( _xlpm.b,_xlfn.TOCOL(_xlpm.a+_xlpm.xRC),_xlpm.c,_xlfn._xlws.FILTER(_xlpm.b,ISNA(_xlfn.XMATCH(_xlpm.b,_xlpm.a))), _xlfn.UNIQUE(_xlfn.VSTACK(_xlpm.a,_xlpm.c))))),_xlfn.TAKE(_xlpm.co,,-1)),_xlfn.TAKE(_xlpm.co,,-1)))))),  _xlpm.lut,_xlfn.VSTACK(_xlfn.CHOOSECOLS(_xlfn._xlws.FILTER(_xlpm.tab,_xlfn.CHOOSECOLS(_xlpm.tab,2)&gt;=0),1,3),IFERROR(_xlpm.rs,"")),_xlpm.final,IF(_xlfn.ISOMITTED(_xlpm.Fill),_xlfn.IFNA(VLOOKUP(_xlpm.rcn,_xlpm.lut,2,),""),IF(ISNUMBER(_xlfn.XMATCH(_xlpm.rcn,_xlfn.TAKE(_xlpm.lut,,1))),_xlpm.Fill,"")),_xlpm.final))</definedName>
    <definedName name="BlockOutMap">_xlfn.LAMBDA(_xlpm.mp,_xlpm.blockers,_xlop.Fill,_xlop.No_Diag,_xlop.Cus_Dir,_xlfn.LET(_xlpm.rn,ROW(_xlpm.mp),_xlpm.cn,COLUMN(_xlpm.mp),_xlpm.m,10^6,_xlpm.rcn,_xlpm.rn*_xlpm.m+_xlpm.cn,_xlpm.dir,{-1000000,-1,1,1000000,-1000001,-999999,999999,1000001}, _xlpm.xRC,IF(_xlfn.ISOMITTED(_xlpm.Cus_Dir),_xlfn.TAKE(_xlpm.dir,,8-4*_xlpm.No_Diag),_xlfn.TOROW(_xlpm.Cus_Dir,3)), _xlpm.blc,_xlfn.TOCOL(IF(_xlfn.XMATCH(_xlpm.mp,_xlfn.TAKE(_xlpm.blockers,,1)),_xlpm.rcn,""),3),_xlpm.rblc,VLOOKUP(INDEX(_xlpm.mp,INT(_xlpm.blc/_xlpm.m)-_xlfn.SINGLE(ROW(_xlpm.mp))+1,MOD(_xlpm.blc,_xlpm.m)-_xlfn.SINGLE(COLUMN(_xlpm.mp))+1),_xlpm.blockers,2,)-1,_xlpm.blitm,_xlfn.TOCOL(IF(_xlfn.XMATCH(_xlpm.rcn,_xlpm.blc),_xlpm.mp),3), _xlpm.tab,_xlfn.HSTACK(_xlpm.blc,_xlpm.rblc,_xlpm.blitm),_xlpm.cot,_xlfn._xlws.FILTER(_xlpm.tab,_xlpm.rblc&gt;0),  _xlpm.rs,_xlfn.REDUCE(1,_xlfn.SEQUENCE(ROWS(_xlpm.cot)),_xlfn.LAMBDA(_xlpm.t,_xlpm.y,_xlfn.LET( _xlpm.co,_xlfn.CHOOSEROWS(_xlpm.cot,_xlpm.y),_xlfn.VSTACK(_xlpm.t, _xlfn.IFNA(_xlfn.HSTACK(_xlfn.REDUCE(_xlfn.CONCAT(_xlfn.TAKE(_xlpm.co,,1))*1,_xlfn.SEQUENCE(_xlfn.CONCAT(_xlfn.CHOOSECOLS(_xlpm.co,2)))*1,_xlfn.LAMBDA(_xlpm.a,_xlpm.v,_xlfn.LET( _xlpm.b,_xlfn.TOCOL(_xlpm.a+_xlpm.xRC),_xlpm.c,_xlfn._xlws.FILTER(_xlpm.b,ISNA(_xlfn.XMATCH(_xlpm.b,_xlpm.a))), _xlfn.UNIQUE(_xlfn.VSTACK(_xlpm.a,_xlpm.c))))),_xlfn.TAKE(_xlpm.co,,-1)),_xlfn.TAKE(_xlpm.co,,-1)))))),  _xlpm.lut,_xlfn.VSTACK(_xlfn.CHOOSECOLS(_xlfn._xlws.FILTER(_xlpm.tab,_xlfn.CHOOSECOLS(_xlpm.tab,2)&gt;=0),1,3),IFERROR(_xlpm.rs,"")),_xlpm.final,IF(_xlfn.ISOMITTED(_xlpm.Fill),_xlfn.IFNA(VLOOKUP(_xlpm.rcn,_xlpm.lut,2,),""),IF(ISNUMBER(_xlfn.XMATCH(_xlpm.rcn,_xlfn.TAKE(_xlpm.lut,,1))),_xlpm.Fill,"")),_xlpm.final))</definedName>
    <definedName name="BoardGameMove" localSheetId="1">_xlfn.LAMBDA(_xlpm.MoveValue,_xlpm.EndSpace,MOD(_xlpm.MoveValue-1,_xlpm.EndSpace)+1)</definedName>
    <definedName name="BoardGameMove">_xlfn.LAMBDA(_xlpm.MoveValue,_xlpm.EndSpace,MOD(_xlpm.MoveValue-1,_xlpm.EndSpace)+1)</definedName>
    <definedName name="Carddetails" localSheetId="1">_xlfn.LAMBDA({"Card","Colour","Suit","Num","Suit Symbol","Value";"A♠","Black","Spades","A","♠",1;"2♠","Black","Spades","2","♠",2;"3♠","Black","Spades","3","♠",3;"4♠","Black","Spades","4","♠",4;"5♠","Black","Spades","5","♠",5;"6♠","Black","Spades","6","♠",6;"7♠","Black","Spades","7","♠",7;"8♠","Black","Spades","8","♠",8;"9♠","Black","Spades","9","♠",9;"10♠","Black","Spades","10","♠",10;"J♠","Black","Spades","J","♠",11;"Q♠","Black","Spades","Q","♠",12;"K♠","Black","Spades","K","♠",13;"A♣","Black","Clubs","A","♣",1;"2♣","Black","Clubs","2","♣",2;"3♣","Black","Clubs","3","♣",3;"4♣","Black","Clubs","4","♣",4;"5♣","Black","Clubs","5","♣",5;"6♣","Black","Clubs","6","♣",6;"7♣","Black","Clubs","7","♣",7;"8♣","Black","Clubs","8","♣",8;"9♣","Black","Clubs","9","♣",9;"10♣","Black","Clubs","10","♣",10;"J♣","Black","Clubs","J","♣",11;"Q♣","Black","Clubs","Q","♣",12;"K♣","Black","Clubs","K","♣",13;"A♥","Red","Hearts","A","♥",1;"2♥","Red","Hearts","2","♥",2;"3♥","Red","Hearts","3","♥",3;"4♥","Red","Hearts","4","♥",4;"5♥","Red","Hearts","5","♥",5;"6♥","Red","Hearts","6","♥",6;"7♥","Red","Hearts","7","♥",7;"8♥","Red","Hearts","8","♥",8;"9♥","Red","Hearts","9","♥",9;"10♥","Red","Hearts","10","♥",10;"J♥","Red","Hearts","J","♥",11;"Q♥","Red","Hearts","Q","♥",12;"K♥","Red","Hearts","K","♥",13;"A♦","Red","Diamonds","A","♦",1;"2♦","Red","Diamonds","2","♦",2;"3♦","Red","Diamonds","3","♦",3;"4♦","Red","Diamonds","4","♦",4;"5♦","Red","Diamonds","5","♦",5;"6♦","Red","Diamonds","6","♦",6;"7♦","Red","Diamonds","7","♦",7;"8♦","Red","Diamonds","8","♦",8;"9♦","Red","Diamonds","9","♦",9;"10♦","Red","Diamonds","10","♦",10;"J♦","Red","Diamonds","J","♦",11;"Q♦","Red","Diamonds","Q","♦",12;"K♦","Red","Diamonds","K","♦",13})</definedName>
    <definedName name="Carddetails">_xlfn.LAMBDA({"Card","Colour","Suit","Num","Suit Symbol","Value";"A♠","Black","Spades","A","♠",1;"2♠","Black","Spades","2","♠",2;"3♠","Black","Spades","3","♠",3;"4♠","Black","Spades","4","♠",4;"5♠","Black","Spades","5","♠",5;"6♠","Black","Spades","6","♠",6;"7♠","Black","Spades","7","♠",7;"8♠","Black","Spades","8","♠",8;"9♠","Black","Spades","9","♠",9;"10♠","Black","Spades","10","♠",10;"J♠","Black","Spades","J","♠",11;"Q♠","Black","Spades","Q","♠",12;"K♠","Black","Spades","K","♠",13;"A♣","Black","Clubs","A","♣",1;"2♣","Black","Clubs","2","♣",2;"3♣","Black","Clubs","3","♣",3;"4♣","Black","Clubs","4","♣",4;"5♣","Black","Clubs","5","♣",5;"6♣","Black","Clubs","6","♣",6;"7♣","Black","Clubs","7","♣",7;"8♣","Black","Clubs","8","♣",8;"9♣","Black","Clubs","9","♣",9;"10♣","Black","Clubs","10","♣",10;"J♣","Black","Clubs","J","♣",11;"Q♣","Black","Clubs","Q","♣",12;"K♣","Black","Clubs","K","♣",13;"A♥","Red","Hearts","A","♥",1;"2♥","Red","Hearts","2","♥",2;"3♥","Red","Hearts","3","♥",3;"4♥","Red","Hearts","4","♥",4;"5♥","Red","Hearts","5","♥",5;"6♥","Red","Hearts","6","♥",6;"7♥","Red","Hearts","7","♥",7;"8♥","Red","Hearts","8","♥",8;"9♥","Red","Hearts","9","♥",9;"10♥","Red","Hearts","10","♥",10;"J♥","Red","Hearts","J","♥",11;"Q♥","Red","Hearts","Q","♥",12;"K♥","Red","Hearts","K","♥",13;"A♦","Red","Diamonds","A","♦",1;"2♦","Red","Diamonds","2","♦",2;"3♦","Red","Diamonds","3","♦",3;"4♦","Red","Diamonds","4","♦",4;"5♦","Red","Diamonds","5","♦",5;"6♦","Red","Diamonds","6","♦",6;"7♦","Red","Diamonds","7","♦",7;"8♦","Red","Diamonds","8","♦",8;"9♦","Red","Diamonds","9","♦",9;"10♦","Red","Diamonds","10","♦",10;"J♦","Red","Diamonds","J","♦",11;"Q♦","Red","Diamonds","Q","♦",12;"K♦","Red","Diamonds","K","♦",13})</definedName>
    <definedName name="CaseQuestions" localSheetId="1">_xlfn.LAMBDA(_xlop.StartQ,_xlop.EndQ,_xlfn.LET(_xlpm.questions,_xlfn.TRIMRANGE(_xlfn._xlws.FILTER(INDIRECT("Case!$B:$EE"),ISNUMBER(INDIRECT("Case!$B:$B")))),_xlpm.rs,IF(_xlpm.questions=0,NA(),_xlpm.questions), _xlpm.QNumbersOnly,IF(_xlfn.ISOMITTED(_xlpm.StartQ),_xlpm.rs,_xlfn._xlws.FILTER(_xlpm.questions,(_xlfn.CHOOSECOLS(_xlpm.rs,2)&gt;=_xlpm.StartQ)*(_xlfn.CHOOSECOLS(_xlpm.rs,2)&lt;=IF(_xlfn.ISOMITTED(_xlpm.EndQ),20,_xlpm.EndQ)))), _xlfn.DROP(_xlpm.QNumbersOnly,,5)))</definedName>
    <definedName name="CaseQuestions">_xlfn.LAMBDA(_xlop.StartQ,_xlop.EndQ,_xlfn.LET(_xlpm.questions,_xlfn.TRIMRANGE(_xlfn._xlws.FILTER(INDIRECT("Case!$B:$EE"),ISNUMBER(INDIRECT("Case!$B:$B")))),_xlpm.rs,IF(_xlpm.questions=0,NA(),_xlpm.questions), _xlpm.QNumbersOnly,IF(_xlfn.ISOMITTED(_xlpm.StartQ),_xlpm.rs,_xlfn._xlws.FILTER(_xlpm.questions,(_xlfn.CHOOSECOLS(_xlpm.rs,2)&gt;=_xlpm.StartQ)*(_xlfn.CHOOSECOLS(_xlpm.rs,2)&lt;=IF(_xlfn.ISOMITTED(_xlpm.EndQ),20,_xlpm.EndQ)))), _xlfn.DROP(_xlpm.QNumbersOnly,,5)))</definedName>
    <definedName name="ClosestonMap" localSheetId="1">_xlfn.LAMBDA(_xlpm.mp,_xlpm.St,_xlpm.Steps,_xlop.No_Diag,_xlop.Items,_xlop.RCaa_CRaa_RCad_CRad_RCda_CRda_RCdd_CRdd,_xlfn.LET(_xlpm.o,_xlpm.RCaa_CRaa_RCad_CRad_RCda_CRda_RCdd_CRdd,_xlpm.mr,ROWS(_xlpm.mp),_xlpm.mc,COLUMNS(_xlpm.mp),   _xlpm.vs,INDEX(_xlpm.mp,MAX('Dashboard Summary'!RowNum(_xlpm.St)-MIN(ROW(_xlpm.mp))+1-_xlpm.Steps,1),MAX('Dashboard Summary'!ColNum(_xlpm.St)-MIN(COLUMN(_xlpm.mp))+1-_xlpm.Steps,1)):INDEX(_xlpm.mp,MIN('Dashboard Summary'!RowNum(_xlpm.St)-MIN(ROW(_xlpm.mp))+1+_xlpm.Steps,_xlpm.mr),MIN('Dashboard Summary'!ColNum(_xlpm.St)-MIN(COLUMN(_xlpm.mp))+1+_xlpm.Steps,_xlpm.mc)),   _xlpm.ad,_xlfn.TOCOL('Dashboard Summary'!AddressOfCells(_xlpm.vs)), _xlpm.rd,'Dashboard Summary'!RowNum(_xlpm.ad)-'Dashboard Summary'!RowNum(_xlpm.St),_xlpm.cd,'Dashboard Summary'!ColNum(_xlpm.ad)-'Dashboard Summary'!ColNum(_xlpm.St), _xlpm.td,'Dashboard Summary'!Distance(_xlpm.St,_xlpm.ad,_xlpm.No_Diag,_xlpm.No_Diag),   _xlpm.Table,_xlfn.HSTACK(_xlfn.TOCOL(_xlpm.vs),_xlpm.ad,_xlpm.td), _xlpm.cleantable,_xlfn.SORTBY(_xlpm.Table,_xlpm.td,1),   _xlpm.ordered,IF(_xlfn.ISOMITTED(_xlpm.o),"",_xlfn.SORTBY(_xlpm.Table,_xlpm.td,1,IF(ISODD(_xlpm.o),_xlpm.rd,_xlpm.cd),IF(_xlpm.o&lt;=4,1,-1),IF(ISODD(_xlpm.o),_xlpm.cd,_xlpm.rd),IF(MOD(_xlpm.o-1,4)&lt;2,1,-1))),   _xlpm.omitblanks,_xlfn._xlws.FILTER(IF(_xlfn.ISOMITTED(_xlpm.o),_xlpm.cleantable,_xlpm.ordered),IFERROR(_xlfn.TAKE(IF(_xlfn.ISOMITTED(_xlpm.o),_xlpm.cleantable,_xlpm.ordered),,1)&lt;&gt;"",FALSE)),_xlpm.end,IF(_xlfn.ISOMITTED(_xlpm.Items),_xlpm.omitblanks,_xlfn._xlws.FILTER(_xlpm.omitblanks,ISNUMBER(_xlfn.XMATCH(_xlfn.TAKE(_xlpm.omitblanks,,1),_xlpm.Items)))), _xlfn._xlws.FILTER(_xlpm.end,_xlfn.DROP(_xlpm.end,,2)&lt;=_xlpm.Steps)))</definedName>
    <definedName name="ClosestonMap">_xlfn.LAMBDA(_xlpm.mp,_xlpm.St,_xlpm.Steps,_xlop.No_Diag,_xlop.Items,_xlop.RCaa_CRaa_RCad_CRad_RCda_CRda_RCdd_CRdd,_xlfn.LET(_xlpm.o,_xlpm.RCaa_CRaa_RCad_CRad_RCda_CRda_RCdd_CRdd,_xlpm.mr,ROWS(_xlpm.mp),_xlpm.mc,COLUMNS(_xlpm.mp),   _xlpm.vs,INDEX(_xlpm.mp,MAX(RowNum(_xlpm.St)-MIN(ROW(_xlpm.mp))+1-_xlpm.Steps,1),MAX(ColNum(_xlpm.St)-MIN(COLUMN(_xlpm.mp))+1-_xlpm.Steps,1)):INDEX(_xlpm.mp,MIN(RowNum(_xlpm.St)-MIN(ROW(_xlpm.mp))+1+_xlpm.Steps,_xlpm.mr),MIN(ColNum(_xlpm.St)-MIN(COLUMN(_xlpm.mp))+1+_xlpm.Steps,_xlpm.mc)),   _xlpm.ad,_xlfn.TOCOL(AddressOfCells(_xlpm.vs)), _xlpm.rd,RowNum(_xlpm.ad)-RowNum(_xlpm.St),_xlpm.cd,ColNum(_xlpm.ad)-ColNum(_xlpm.St), _xlpm.td,Distance(_xlpm.St,_xlpm.ad,_xlpm.No_Diag,_xlpm.No_Diag),   _xlpm.Table,_xlfn.HSTACK(_xlfn.TOCOL(_xlpm.vs),_xlpm.ad,_xlpm.td), _xlpm.cleantable,_xlfn.SORTBY(_xlpm.Table,_xlpm.td,1),   _xlpm.ordered,IF(_xlfn.ISOMITTED(_xlpm.o),"",_xlfn.SORTBY(_xlpm.Table,_xlpm.td,1,IF(ISODD(_xlpm.o),_xlpm.rd,_xlpm.cd),IF(_xlpm.o&lt;=4,1,-1),IF(ISODD(_xlpm.o),_xlpm.cd,_xlpm.rd),IF(MOD(_xlpm.o-1,4)&lt;2,1,-1))),   _xlpm.omitblanks,_xlfn._xlws.FILTER(IF(_xlfn.ISOMITTED(_xlpm.o),_xlpm.cleantable,_xlpm.ordered),IFERROR(_xlfn.TAKE(IF(_xlfn.ISOMITTED(_xlpm.o),_xlpm.cleantable,_xlpm.ordered),,1)&lt;&gt;"",FALSE)),_xlpm.end,IF(_xlfn.ISOMITTED(_xlpm.Items),_xlpm.omitblanks,_xlfn._xlws.FILTER(_xlpm.omitblanks,ISNUMBER(_xlfn.XMATCH(_xlfn.TAKE(_xlpm.omitblanks,,1),_xlpm.Items)))), _xlfn._xlws.FILTER(_xlpm.end,_xlfn.DROP(_xlpm.end,,2)&lt;=_xlpm.Steps)))</definedName>
    <definedName name="ColNum" localSheetId="1">_xlfn.LAMBDA(_xlpm.address,IF(ISNUMBER(_xlpm.address),MOD(_xlpm.address,10^6),_xlfn.LET(_xlpm.result,_xlfn.MAP(_xlfn.TEXTBEFORE(_xlpm.address,_xlfn.SEQUENCE(9)), _xlfn.LAMBDA(_xlpm.ca,_xlfn.LET(_xlpm.s,_xlfn.SEQUENCE(LEN(_xlpm.ca)),SUM((CODE(MID(UPPER(_xlpm.ca),_xlpm.s,1))-64)*26^-_xlfn._xlws.SORT(1-_xlpm.s))))),IF(COUNTA(_xlpm.address)=1,_xlfn.CONCAT(_xlpm.result)*1,_xlpm.result))))</definedName>
    <definedName name="ColNum">_xlfn.LAMBDA(_xlpm.address,IF(ISNUMBER(_xlpm.address),MOD(_xlpm.address,10^6),_xlfn.LET(_xlpm.result,_xlfn.MAP(_xlfn.TEXTBEFORE(_xlpm.address,_xlfn.SEQUENCE(9)), _xlfn.LAMBDA(_xlpm.ca,_xlfn.LET(_xlpm.s,_xlfn.SEQUENCE(LEN(_xlpm.ca)),SUM((CODE(MID(UPPER(_xlpm.ca),_xlpm.s,1))-64)*26^-_xlfn._xlws.SORT(1-_xlpm.s))))),IF(COUNTA(_xlpm.address)=1,_xlfn.CONCAT(_xlpm.result)*1,_xlpm.result))))</definedName>
    <definedName name="Combinations" localSheetId="1">_xlfn.LAMBDA(_xlpm.Array,_xlpm.c,_xlop.RemoveOrder,_xlop.AllowRepeatItems,_xlfn.XLOOKUP(PerCom(COUNTA(_xlpm.Array),_xlpm.c,IF(_xlpm.RemoveOrder=1,1),IF(_xlpm.AllowRepeatItems=1,1)),_xlfn.TAKE(_xlfn.HSTACK(_xlfn.SEQUENCE(COUNTA(_xlpm.Array)),_xlfn.TOCOL(_xlpm.Array)),,1),_xlfn.TAKE(_xlfn.HSTACK(_xlfn.SEQUENCE(COUNTA(_xlpm.Array)),_xlfn.TOCOL(_xlpm.Array)),,-1)))</definedName>
    <definedName name="Combinations" localSheetId="4">_xlfn.LAMBDA(_xlpm.Array,_xlpm.c,_xlop.RemoveOrder,_xlop.AllowRepeatItems,_xlfn.XLOOKUP(PerCom(COUNTA(_xlpm.Array),_xlpm.c,IF(_xlpm.RemoveOrder=1,1),IF(_xlpm.AllowRepeatItems=1,1)),_xlfn.TAKE(_xlfn.HSTACK(_xlfn.SEQUENCE(COUNTA(_xlpm.Array)),_xlfn.TOCOL(_xlpm.Array)),,1),_xlfn.TAKE(_xlfn.HSTACK(_xlfn.SEQUENCE(COUNTA(_xlpm.Array)),_xlfn.TOCOL(_xlpm.Array)),,-1)))</definedName>
    <definedName name="Combinations">_xlfn.LAMBDA(_xlpm.Array,_xlpm.c,_xlop.RemoveOrder,_xlop.AllowRepeatItems,_xlfn.XLOOKUP(PerCom(COUNTA(_xlpm.Array),_xlpm.c,IF(_xlpm.RemoveOrder=1,1),IF(_xlpm.AllowRepeatItems=1,1)),_xlfn.TAKE(_xlfn.HSTACK(_xlfn.SEQUENCE(COUNTA(_xlpm.Array)),_xlfn.TOCOL(_xlpm.Array)),,1),_xlfn.TAKE(_xlfn.HSTACK(_xlfn.SEQUENCE(COUNTA(_xlpm.Array)),_xlfn.TOCOL(_xlpm.Array)),,-1)))</definedName>
    <definedName name="Consecutives" localSheetId="1">_xlfn.LAMBDA(_xlpm.Array,_xlfn.SCAN(1,IF(COUNTA(_xlpm.Array)&gt;1,--('Dashboard Summary'!ArrayShift(_xlpm.Array,1)=_xlpm.Array),--('Dashboard Summary'!ArrayShift('Dashboard Summary'!SplitText(_xlpm.Array),1)='Dashboard Summary'!SplitText(_xlpm.Array))),_xlfn.LAMBDA(_xlpm.a,_xlpm.v,_xlpm.a*_xlpm.v+1)))</definedName>
    <definedName name="Consecutives">_xlfn.LAMBDA(_xlpm.Array,_xlfn.SCAN(1,IF(COUNTA(_xlpm.Array)&gt;1,--(ArrayShift(_xlpm.Array,1)=_xlpm.Array),--(ArrayShift(SplitText(_xlpm.Array),1)=SplitText(_xlpm.Array))),_xlfn.LAMBDA(_xlpm.a,_xlpm.v,_xlpm.a*_xlpm.v+1)))</definedName>
    <definedName name="CountOcc" localSheetId="1">_xlfn.LAMBDA(_xlpm.OccOf,_xlpm.Text,_xlop.Case,IF(_xlfn.ISOMITTED(_xlpm.Case),(LEN(_xlpm.Text)-LEN(SUBSTITUTE(LOWER(_xlpm.Text),LOWER(_xlpm.OccOf),"")))/LEN(_xlpm.OccOf),(LEN(_xlpm.Text)-LEN(SUBSTITUTE(_xlpm.Text,_xlpm.OccOf,"")))/LEN(_xlpm.OccOf)))</definedName>
    <definedName name="CountOcc">_xlfn.LAMBDA(_xlpm.OccOf,_xlpm.Text,_xlop.Case,IF(_xlfn.ISOMITTED(_xlpm.Case),(LEN(_xlpm.Text)-LEN(SUBSTITUTE(LOWER(_xlpm.Text),LOWER(_xlpm.OccOf),"")))/LEN(_xlpm.OccOf),(LEN(_xlpm.Text)-LEN(SUBSTITUTE(_xlpm.Text,_xlpm.OccOf,"")))/LEN(_xlpm.OccOf)))</definedName>
    <definedName name="Creatures">#REF!</definedName>
    <definedName name="cust" localSheetId="1">[1]Assumptions!$B$25:$B$30</definedName>
    <definedName name="cust">#REF!</definedName>
    <definedName name="Dice" localSheetId="1">_xlfn.LAMBDA(_xlpm.Dice,_xlop.add,_xlop.join,_xlfn.LET(_xlpm.end,_xlfn.MAP(_xlpm.Dice,_xlfn.LAMBDA(_xlpm.a,_xlfn.LET(_xlpm.l,IFERROR('Dashboard Summary'!SplitText(_xlpm.a),""),_xlpm.m,IF(_xlpm.add,0,IF(_xlpm.join,"",_xlpm.l)),_xlpm.rs,IFERROR(_xlfn.XLOOKUP(_xlpm.l,{"⚀";"⚁";"⚂";"⚃";"⚄";"⚅"},{1;2;3;4;5;6}),_xlpm.m),_xlpm.end,IF(_xlpm.add,_xleta.SUM,_xleta.CONCAT)(_xlpm.rs),IF(COUNTA(_xlpm.end)=1,_xlfn.CONCAT(_xlpm.end),_xlpm.end)))),IF(COUNTA(_xlpm.end)=1,_xlfn.CONCAT(_xlpm.end),_xlpm.end)))</definedName>
    <definedName name="Dice">_xlfn.LAMBDA(_xlpm.Dice,_xlop.add,_xlop.join,_xlfn.LET(_xlpm.end,_xlfn.MAP(_xlpm.Dice,_xlfn.LAMBDA(_xlpm.a,_xlfn.LET(_xlpm.l,IFERROR(SplitText(_xlpm.a),""),_xlpm.m,IF(_xlpm.add,0,IF(_xlpm.join,"",_xlpm.l)),_xlpm.rs,IFERROR(_xlfn.XLOOKUP(_xlpm.l,{"⚀";"⚁";"⚂";"⚃";"⚄";"⚅"},{1;2;3;4;5;6}),_xlpm.m),_xlpm.end,IF(_xlpm.add,_xleta.SUM,_xleta.CONCAT)(_xlpm.rs),IF(COUNTA(_xlpm.end)=1,_xlfn.CONCAT(_xlpm.end),_xlpm.end)))),IF(COUNTA(_xlpm.end)=1,_xlfn.CONCAT(_xlpm.end),_xlpm.end)))</definedName>
    <definedName name="DiceNumExtract" localSheetId="1">_xlfn.LAMBDA(_xlpm.Dice,_xlfn.UNICODE(_xlpm.Dice)-9855)</definedName>
    <definedName name="DiceNumExtract">_xlfn.LAMBDA(_xlpm.Dice,_xlfn.UNICODE(_xlpm.Dice)-9855)</definedName>
    <definedName name="Distance" localSheetId="1">_xlfn.LAMBDA(_xlpm.start,_xlpm.end,_xlop.h,_xlop.v,_xlop.d,_xlop.pythag,_xlop.knight,  _xlfn.LET(_xlpm.rd,ABS('Dashboard Summary'!RowNum(_xlpm.start)-'Dashboard Summary'!RowNum(_xlpm.end)),_xlpm.cd,ABS('Dashboard Summary'!ColNum(_xlpm.start)-'Dashboard Summary'!ColNum(_xlpm.end)),_xlpm.dd,_xlfn.MAP(_xlfn.HSTACK(_xlpm.rd),_xlfn.HSTACK(_xlpm.cd),_xleta.MAX),_xlpm.md,_xlfn.MAP(_xlfn.HSTACK(_xlpm.rd),_xlfn.HSTACK(_xlpm.cd),_xleta.MIN),  _xlpm.hvd,IF(_xlfn.ISOMITTED(_xlpm.h),0,IF(_xlfn.ISOMITTED(_xlpm.d),_xlpm.rd*_xlpm.v+_xlpm.cd*_xlpm.h,_xlpm.md*_xlpm.d+(_xlpm.rd-_xlpm.md)*_xlpm.v+(_xlpm.cd-_xlpm.md)*_xlpm.h)),  _xlpm.py,IF(_xlfn.ISOMITTED(_xlpm.pythag),0,SQRT(_xlpm.rd^2+_xlpm.cd^2)),  _xlpm.kn,IF(_xlfn.ISOMITTED(_xlpm.knight),0,_xlfn.LET(_xlpm.km,ROUNDUP(_xlfn.MAP(_xlpm.dd/2,(_xlpm.dd+_xlpm.md)/3,_xleta.MAX),0),_xlpm.parity,IF(ISODD(_xlpm.km)=ISODD(_xlpm.dd+_xlpm.md),0,1),IF(_xlpm.dd+_xlpm.md=1,3,IF(AND(_xlpm.dd=2,_xlpm.md=2),4,_xlpm.km+_xlpm.parity)))),_xlpm.dist,IF(SUM(_xlpm.h,_xlpm.v,_xlpm.d,_xlpm.pythag,_xlpm.knight)=0,_xlpm.dd,_xlpm.hvd+_xlpm.py+_xlpm.kn),_xlpm.dist))</definedName>
    <definedName name="Distance">_xlfn.LAMBDA(_xlpm.start,_xlpm.end,_xlop.h,_xlop.v,_xlop.d,_xlop.pythag,_xlop.knight,  _xlfn.LET(_xlpm.rd,ABS(RowNum(_xlpm.start)-RowNum(_xlpm.end)),_xlpm.cd,ABS(ColNum(_xlpm.start)-ColNum(_xlpm.end)),_xlpm.dd,_xlfn.MAP(_xlfn.HSTACK(_xlpm.rd),_xlfn.HSTACK(_xlpm.cd),_xleta.MAX),_xlpm.md,_xlfn.MAP(_xlfn.HSTACK(_xlpm.rd),_xlfn.HSTACK(_xlpm.cd),_xleta.MIN),  _xlpm.hvd,IF(_xlfn.ISOMITTED(_xlpm.h),0,IF(_xlfn.ISOMITTED(_xlpm.d),_xlpm.rd*_xlpm.v+_xlpm.cd*_xlpm.h,_xlpm.md*_xlpm.d+(_xlpm.rd-_xlpm.md)*_xlpm.v+(_xlpm.cd-_xlpm.md)*_xlpm.h)),  _xlpm.py,IF(_xlfn.ISOMITTED(_xlpm.pythag),0,SQRT(_xlpm.rd^2+_xlpm.cd^2)),  _xlpm.kn,IF(_xlfn.ISOMITTED(_xlpm.knight),0,_xlfn.LET(_xlpm.km,ROUNDUP(_xlfn.MAP(_xlpm.dd/2,(_xlpm.dd+_xlpm.md)/3,_xleta.MAX),0),_xlpm.parity,IF(ISODD(_xlpm.km)=ISODD(_xlpm.dd+_xlpm.md),0,1),IF(_xlpm.dd+_xlpm.md=1,3,IF(AND(_xlpm.dd=2,_xlpm.md=2),4,_xlpm.km+_xlpm.parity)))),_xlpm.dist,IF(SUM(_xlpm.h,_xlpm.v,_xlpm.d,_xlpm.pythag,_xlpm.knight)=0,_xlpm.dd,_xlpm.hvd+_xlpm.py+_xlpm.kn),_xlpm.dist))</definedName>
    <definedName name="Exists" localSheetId="1">_xlfn.LAMBDA(_xlpm.Item,_xlpm.List,_xlop.SearchMode,ISNUMBER(IF(_xlpm.SearchMode,_xleta.SEARCH,_xleta.XMATCH)(_xlpm.Item,_xlpm.List)))</definedName>
    <definedName name="Exists">_xlfn.LAMBDA(_xlpm.Item,_xlpm.List,_xlop.SearchMode,ISNUMBER(IF(_xlpm.SearchMode,_xleta.SEARCH,_xleta.XMATCH)(_xlpm.Item,_xlpm.List)))</definedName>
    <definedName name="ExtractNumbers" localSheetId="1">_xlfn.LAMBDA(_xlpm.Text,_xlop.With_Decimals,_xlfn.LET(_xlpm.rs,_xlfn.REGEXEXTRACT(_xlpm.Text,IF(_xlfn.ISOMITTED(_xlpm.With_Decimals),"[-+]?\d+","[-+]?\d*\.\d+|[-+]?\d+"),1)*1,IF(COUNTA(_xlpm.rs)=1,_xlfn.CONCAT(_xlpm.rs)*1,_xlpm.rs)))</definedName>
    <definedName name="ExtractNumbers">_xlfn.LAMBDA(_xlpm.Text,_xlop.With_Decimals,_xlfn.LET(_xlpm.rs,_xlfn.REGEXEXTRACT(_xlpm.Text,IF(_xlfn.ISOMITTED(_xlpm.With_Decimals),"[-+]?\d+","[-+]?\d*\.\d+|[-+]?\d+"),1)*1,IF(COUNTA(_xlpm.rs)=1,_xlfn.CONCAT(_xlpm.rs)*1,_xlpm.rs)))</definedName>
    <definedName name="Find_In_Map" localSheetId="1">_xlfn.LAMBDA(_xlpm.mp,_xlpm.items,_xlfn.LET(_xlpm.a,'Dashboard Summary'!Flatten(_xlpm.mp),_xlpm.incells,_xlfn.TAKE(_xlpm.a,,1),_xlpm.addresses,_xlfn.TAKE(_xlpm.a,,-1),_xlfn._xlws.FILTER(_xlpm.addresses,ISNUMBER(_xlfn.XMATCH(_xlpm.incells,_xlpm.items)),"Not Found")))</definedName>
    <definedName name="Find_In_Map">_xlfn.LAMBDA(_xlpm.mp,_xlpm.items,_xlfn.LET(_xlpm.a,Flatten(_xlpm.mp),_xlpm.incells,_xlfn.TAKE(_xlpm.a,,1),_xlpm.addresses,_xlfn.TAKE(_xlpm.a,,-1),_xlfn._xlws.FILTER(_xlpm.addresses,ISNUMBER(_xlfn.XMATCH(_xlpm.incells,_xlpm.items)),"Not Found")))</definedName>
    <definedName name="Flatten" localSheetId="1">_xlfn.LAMBDA(_xlpm.Array,_xlop.scan_by_column,_xlop.include_blanks,_xlfn.LET(_xlpm.celladdresses,'Dashboard Summary'!AddressOfCells(_xlpm.Array),_xlpm.incells,_xlfn.TOCOL(_xlpm.Array,,IF(_xlpm.scan_by_column,1,0)),_xlpm.flatten,_xlfn.HSTACK(_xlpm.incells,_xlfn.TOCOL(_xlpm.celladdresses,,IF(_xlpm.scan_by_column=1,1,0))),_xlpm.output,IF(_xlpm.include_blanks,_xlpm.flatten,_xlfn._xlws.FILTER(_xlpm.flatten,IFERROR(_xlfn.TAKE(_xlpm.flatten,,1)&lt;&gt;"",FALSE))),_xlpm.output))</definedName>
    <definedName name="Flatten">_xlfn.LAMBDA(_xlpm.Array,_xlop.scan_by_column,_xlop.include_blanks,_xlfn.LET(_xlpm.celladdresses,AddressOfCells(_xlpm.Array),_xlpm.incells,_xlfn.TOCOL(_xlpm.Array,,IF(_xlpm.scan_by_column,1,0)),_xlpm.flatten,_xlfn.HSTACK(_xlpm.incells,_xlfn.TOCOL(_xlpm.celladdresses,,IF(_xlpm.scan_by_column=1,1,0))),_xlpm.output,IF(_xlpm.include_blanks,_xlpm.flatten,_xlfn._xlws.FILTER(_xlpm.flatten,IFERROR(_xlfn.TAKE(_xlpm.flatten,,1)&lt;&gt;"",FALSE))),_xlpm.output))</definedName>
    <definedName name="ib_rate" localSheetId="1">[1]Assumptions!$H$25:$H$30</definedName>
    <definedName name="ib_rate">#REF!</definedName>
    <definedName name="inpal" localSheetId="1">[1]Assumptions!$G$25:$G$30</definedName>
    <definedName name="inpal">#REF!</definedName>
    <definedName name="Longaddition" localSheetId="1">_xlfn.LAMBDA(_xlpm.nums1,_xlpm.nums2,_xlop.multiply,_xlop.subtract,IF(_xlpm.multiply,_xlfn.LET(_xlpm.diagonals,_xlfn.SEQUENCE(LEN(_xlpm.nums1))+_xlfn.SEQUENCE(,LEN(_xlpm.nums2)), _xlpm.multiarray,MID(_xlpm.nums1,_xlfn.SEQUENCE(LEN(_xlpm.nums1),,LEN(_xlpm.nums1),-1),1)*_xlfn.TOROW(MID(_xlpm.nums2,_xlfn.SEQUENCE(LEN(_xlpm.nums2),,LEN(_xlpm.nums2),-1),1)), _xlpm.addednums,_xlfn.DROP(_xlfn.GROUPBY(_xlfn.TOCOL(_xlpm.diagonals),_xlfn.TOCOL(_xlpm.multiarray),_xleta.SUM,0,0),,1),_xlfn.CONCAT(_xlfn.REDUCE(_xlfn.HSTACK(0,""),_xlpm.addednums,_xlfn.LAMBDA(_xlpm.a,_xlpm.v,_xlfn.LET(_xlpm.nextpluscarry,INDEX(_xlpm.a,1,1)+_xlpm.v, _xlpm.nextdigit,MOD(_xlpm.nextpluscarry,10), _xlpm.carryfwd,(_xlpm.nextpluscarry-_xlpm.nextdigit)/10, _xlfn.HSTACK(_xlpm.carryfwd,_xlpm.nextdigit&amp;INDEX(_xlpm.a,1,2))))))),_xlfn.LET(_xlpm.nums1split,MID(_xlpm.nums1,_xlfn.SEQUENCE(LEN(_xlpm.nums1),,LEN(_xlpm.nums1),-1),1), _xlpm.nums2split,MID(_xlpm.nums2,_xlfn.SEQUENCE(LEN(_xlpm.nums2),,LEN(_xlpm.nums2),-1),1), _xlpm.subtraction,IF(_xlfn.ISOMITTED(_xlpm.subtract),1,-1), _xlpm.addednums,IFERROR(_xlpm.nums1split+_xlpm.subtraction*_xlpm.nums2split,IF(LEN(_xlpm.nums1)&gt;LEN(_xlpm.nums2),_xlpm.nums1split,_xlpm.subtraction*_xlpm.nums2split)),_xlfn.CONCAT(_xlfn.REDUCE(_xlfn.HSTACK(0,""),_xlpm.addednums,_xlfn.LAMBDA(_xlpm.a,_xlpm.v,_xlfn.LET( _xlpm.nextpluscarry,INDEX(_xlpm.a,1,1)+_xlpm.v, _xlpm.nextdigit,MOD(_xlpm.nextpluscarry,10), _xlpm.carryfwd,(_xlpm.nextpluscarry-_xlpm.nextdigit)/10, _xlfn.HSTACK(_xlpm.carryfwd,_xlpm.nextdigit&amp;INDEX(_xlpm.a,1,2)))))))))</definedName>
    <definedName name="Longaddition">_xlfn.LAMBDA(_xlpm.nums1,_xlpm.nums2,_xlop.multiply,_xlop.subtract,IF(_xlpm.multiply,_xlfn.LET(_xlpm.diagonals,_xlfn.SEQUENCE(LEN(_xlpm.nums1))+_xlfn.SEQUENCE(,LEN(_xlpm.nums2)), _xlpm.multiarray,MID(_xlpm.nums1,_xlfn.SEQUENCE(LEN(_xlpm.nums1),,LEN(_xlpm.nums1),-1),1)*_xlfn.TOROW(MID(_xlpm.nums2,_xlfn.SEQUENCE(LEN(_xlpm.nums2),,LEN(_xlpm.nums2),-1),1)), _xlpm.addednums,_xlfn.DROP(_xlfn.GROUPBY(_xlfn.TOCOL(_xlpm.diagonals),_xlfn.TOCOL(_xlpm.multiarray),_xleta.SUM,0,0),,1),_xlfn.CONCAT(_xlfn.REDUCE(_xlfn.HSTACK(0,""),_xlpm.addednums,_xlfn.LAMBDA(_xlpm.a,_xlpm.v,_xlfn.LET(_xlpm.nextpluscarry,INDEX(_xlpm.a,1,1)+_xlpm.v, _xlpm.nextdigit,MOD(_xlpm.nextpluscarry,10), _xlpm.carryfwd,(_xlpm.nextpluscarry-_xlpm.nextdigit)/10, _xlfn.HSTACK(_xlpm.carryfwd,_xlpm.nextdigit&amp;INDEX(_xlpm.a,1,2))))))),_xlfn.LET(_xlpm.nums1split,MID(_xlpm.nums1,_xlfn.SEQUENCE(LEN(_xlpm.nums1),,LEN(_xlpm.nums1),-1),1), _xlpm.nums2split,MID(_xlpm.nums2,_xlfn.SEQUENCE(LEN(_xlpm.nums2),,LEN(_xlpm.nums2),-1),1), _xlpm.subtraction,IF(_xlfn.ISOMITTED(_xlpm.subtract),1,-1), _xlpm.addednums,IFERROR(_xlpm.nums1split+_xlpm.subtraction*_xlpm.nums2split,IF(LEN(_xlpm.nums1)&gt;LEN(_xlpm.nums2),_xlpm.nums1split,_xlpm.subtraction*_xlpm.nums2split)),_xlfn.CONCAT(_xlfn.REDUCE(_xlfn.HSTACK(0,""),_xlpm.addednums,_xlfn.LAMBDA(_xlpm.a,_xlpm.v,_xlfn.LET( _xlpm.nextpluscarry,INDEX(_xlpm.a,1,1)+_xlpm.v, _xlpm.nextdigit,MOD(_xlpm.nextpluscarry,10), _xlpm.carryfwd,(_xlpm.nextpluscarry-_xlpm.nextdigit)/10, _xlfn.HSTACK(_xlpm.carryfwd,_xlpm.nextdigit&amp;INDEX(_xlpm.a,1,2)))))))))</definedName>
    <definedName name="Maze" localSheetId="1">_xlfn.LAMBDA(_xlpm.mp,_xlpm.St,_xlop.targets,_xlop.No_Diag,_xlop.AllowMp,_xlop.Custom_Directions,_xlfn.LET(_xlpm.directions,{-1000000,-1,1,1000000,-1000001,-999999,999999,1000001},_xlpm.xRC,IF(_xlfn.ISOMITTED(_xlpm.Custom_Directions),_xlfn.TAKE(_xlpm.directions,,8-4*_xlpm.No_Diag),_xlfn.TOROW(_xlpm.Custom_Directions,3)),_xlpm.nv,IF(ISERR(_xlfn.SINGLE(_xlfn.LET(_xlpm.rng,_xlpm.mp,ROW(_xlpm.rng)))),1,0),_xlpm.rn,IF(_xlpm.nv,_xlfn.SEQUENCE(ROWS(_xlpm.mp)),ROW(_xlpm.mp)),_xlpm.cn,IF(_xlpm.nv,_xlfn.SEQUENCE(,COLUMNS(_xlpm.mp)),COLUMN(_xlpm.mp)),_xlpm.m,1000000,_xlpm.rcn,_xlpm.rn*_xlpm.m+_xlpm.cn,_xlpm.mpA,IF(_xlfn.ISOMITTED(_xlpm.AllowMp),_xlpm.mp,_xlpm.AllowMp),_xlpm.al,IF('Dashboard Summary'!Exists("",_xlfn.TOCOL(_xlpm.mp)),"",0),  _xlpm.Rec,_xlfn.LAMBDA(_xlpm.f,_xlpm.a,_xlfn.LET(_xlpm.j,_xlfn.DROP(_xlpm.a,,1),_xlpm.i,MAX(_xlpm.j)+1,_xlpm.p,_xlfn._xlws.FILTER(_xlpm.a,_xlpm.j=_xlpm.i-1),    _xlpm.b,_xlfn.TAKE(_xlpm.p,,1)+_xlpm.xRC,_xlpm.br,INT(_xlpm.b/_xlpm.m),_xlpm.bc,MOD(_xlpm.b,_xlpm.m),_xlpm.c,_xlfn.IFS(_xlpm.br*_xlpm.bc*ISNA(_xlfn.XMATCH(_xlpm.b,_xlfn.TAKE(_xlpm.a,,1))),INDEX(_xlpm.mpA,_xlpm.br-_xlfn.SINGLE(_xlpm.rn)+1,_xlpm.bc-_xlfn.SINGLE(_xlpm.cn)+1)),    _xlpm.h,_xlfn.IFNA(_xlfn.HSTACK(_xlfn.UNIQUE(_xlfn.TOCOL(_xlfn.IFS(IF(_xlfn.ISOMITTED(_xlpm.AllowMp),_xlpm.c=_xlpm.al,_xlpm.c),_xlpm.b),3)),_xlpm.i),_xlpm.i),    IF(ISERR(_xlfn.SINGLE(_xlpm.h)),_xlpm.a,_xlpm.f(_xlpm.f,_xlfn.VSTACK(_xlpm.a,_xlpm.h))))),_xlpm.rs,_xlpm.Rec(_xlpm.Rec,_xlfn.IFNA(_xlfn.HSTACK(_xlfn.TOCOL('Dashboard Summary'!RowNum(_xlpm.St)*10^6+'Dashboard Summary'!ColNum(_xlpm.St)),0),0)),_xlpm.final,IF(_xlfn.ISOMITTED(_xlpm.targets),_xlfn.IFNA(VLOOKUP(_xlpm.rcn,_xlpm.rs,2,0),""),_xlfn.IFNA(VLOOKUP('Dashboard Summary'!RowNum(_xlpm.targets)*1000000+'Dashboard Summary'!ColNum(_xlpm.targets),_xlpm.rs,2,0),"OOB")),_xlpm.final))</definedName>
    <definedName name="Maze">_xlfn.LAMBDA(_xlpm.mp,_xlpm.St,_xlop.targets,_xlop.No_Diag,_xlop.AllowMp,_xlop.Custom_Directions,_xlfn.LET(_xlpm.directions,{-1000000,-1,1,1000000,-1000001,-999999,999999,1000001},_xlpm.xRC,IF(_xlfn.ISOMITTED(_xlpm.Custom_Directions),_xlfn.TAKE(_xlpm.directions,,8-4*_xlpm.No_Diag),_xlfn.TOROW(_xlpm.Custom_Directions,3)),_xlpm.nv,IF(ISERR(_xlfn.SINGLE(_xlfn.LET(_xlpm.rng,_xlpm.mp,ROW(_xlpm.rng)))),1,0),_xlpm.rn,IF(_xlpm.nv,_xlfn.SEQUENCE(ROWS(_xlpm.mp)),ROW(_xlpm.mp)),_xlpm.cn,IF(_xlpm.nv,_xlfn.SEQUENCE(,COLUMNS(_xlpm.mp)),COLUMN(_xlpm.mp)),_xlpm.m,1000000,_xlpm.rcn,_xlpm.rn*_xlpm.m+_xlpm.cn,_xlpm.mpA,IF(_xlfn.ISOMITTED(_xlpm.AllowMp),_xlpm.mp,_xlpm.AllowMp),_xlpm.al,IF(Exists("",_xlfn.TOCOL(_xlpm.mp)),"",0),  _xlpm.Rec,_xlfn.LAMBDA(_xlpm.f,_xlpm.a,_xlfn.LET(_xlpm.j,_xlfn.DROP(_xlpm.a,,1),_xlpm.i,MAX(_xlpm.j)+1,_xlpm.p,_xlfn._xlws.FILTER(_xlpm.a,_xlpm.j=_xlpm.i-1),    _xlpm.b,_xlfn.TAKE(_xlpm.p,,1)+_xlpm.xRC,_xlpm.br,INT(_xlpm.b/_xlpm.m),_xlpm.bc,MOD(_xlpm.b,_xlpm.m),_xlpm.c,_xlfn.IFS(_xlpm.br*_xlpm.bc*ISNA(_xlfn.XMATCH(_xlpm.b,_xlfn.TAKE(_xlpm.a,,1))),INDEX(_xlpm.mpA,_xlpm.br-_xlfn.SINGLE(_xlpm.rn)+1,_xlpm.bc-_xlfn.SINGLE(_xlpm.cn)+1)),    _xlpm.h,_xlfn.IFNA(_xlfn.HSTACK(_xlfn.UNIQUE(_xlfn.TOCOL(_xlfn.IFS(IF(_xlfn.ISOMITTED(_xlpm.AllowMp),_xlpm.c=_xlpm.al,_xlpm.c),_xlpm.b),3)),_xlpm.i),_xlpm.i),    IF(ISERR(_xlfn.SINGLE(_xlpm.h)),_xlpm.a,_xlpm.f(_xlpm.f,_xlfn.VSTACK(_xlpm.a,_xlpm.h))))),_xlpm.rs,_xlpm.Rec(_xlpm.Rec,_xlfn.IFNA(_xlfn.HSTACK(_xlfn.TOCOL(RowNum(_xlpm.St)*10^6+ColNum(_xlpm.St)),0),0)),_xlpm.final,IF(_xlfn.ISOMITTED(_xlpm.targets),_xlfn.IFNA(VLOOKUP(_xlpm.rcn,_xlpm.rs,2,0),""),_xlfn.IFNA(VLOOKUP(RowNum(_xlpm.targets)*1000000+ColNum(_xlpm.targets),_xlpm.rs,2,0),"OOB")),_xlpm.final))</definedName>
    <definedName name="MazeDistance" localSheetId="1">_xlfn.LAMBDA(_xlpm.mp,_xlpm.St,_xlop.targets,_xlop.No_Diag,_xlop.Show_Steps,_xlop.Cus_Dir,_xlop.Mazelam,_xlfn.LET(_xlpm.dir,{1000000,-1000000,1,-1,1000001,-1000001,999999,-999999},_xlpm.xRC,IF(_xlfn.ISOMITTED(_xlpm.Cus_Dir),_xlfn.TAKE(_xlpm.dir,,8-4*_xlpm.No_Diag),_xlfn.TOROW(_xlpm.Cus_Dir,3)),_xlpm.nv,IF(ISERR(_xlfn.SINGLE(_xlfn.LET(_xlpm.rng,_xlpm.mp,ROW(_xlpm.rng)))),1,0),_xlpm.cn,IF(_xlpm.nv,_xlfn.SEQUENCE(,COLUMNS(_xlpm.mp)),COLUMN(_xlpm.mp)),_xlpm.rn,IF(_xlpm.nv,_xlfn.SEQUENCE(ROWS(_xlpm.mp)),ROW(_xlpm.mp)),_xlpm.m,1000000,_xlpm.rcn,_xlpm.rn*_xlpm.m+_xlpm.cn,_xlpm.ir,_xlfn.SINGLE(_xlpm.rn)-1,_xlpm.ic,_xlfn.SINGLE(_xlpm.cn)-1,_xlpm.na,_xlfn.HSTACK(0,0,0),_xlpm.rcst,'Dashboard Summary'!RowNum(_xlpm.St)*_xlpm.m+'Dashboard Summary'!ColNum(_xlpm.St),   _xlpm.fx, _xlfn.LAMBDA(_xlpm.lfx,_xlpm.pool,_xlpm.ft,_xlpm.N,     _xlfn.LET(_xlpm.cf,_xlfn.TAKE(_xlpm.ft,,1)+_xlfn.SEQUENCE(,COUNTA(_xlpm.xRC),0,0),_xlpm.ct,_xlfn.TAKE(_xlpm.ft,,1)+_xlpm.xRC,_xlpm.St,_xlfn.SEQUENCE(ROWS(_xlpm.ft),,0,0)+_xlfn.SEQUENCE(,COUNTA(_xlpm.xRC),_xlpm.N+1,0),_xlpm.df,_xlfn.CHOOSECOLS(_xlpm.ft,2)+_xlfn.SEQUENCE(,COUNTA(_xlpm.xRC),0,0),_xlpm.con,INDEX(_xlpm.mp,INT(_xlpm.ct/_xlpm.m)-_xlpm.ir,MOD(_xlpm.ct,_xlpm.m)-_xlpm.ic),     _xlpm.expl,_xlfn.TOCOL(_xlpm.ct),_xlpm.er,INT(_xlpm.expl/_xlpm.m)-_xlpm.ir,_xlpm.ec,MOD(_xlpm.expl,_xlpm.m)-_xlpm.ic,_xlpm.fd,_xlfn.TOCOL(_xlpm.df),_xlpm.pd,_xlfn.IFNA(_xlfn.XLOOKUP(_xlpm.expl,_xlfn.TAKE(_xlpm.pool,,1),_xlfn.CHOOSECOLS(_xlpm.pool,2),,,2),""),_xlpm.s,_xlfn.TOCOL(_xlpm.St),     _xlpm.ift,_xlfn._xlws.SORT(IF(_xlpm.er*_xlpm.ec,_xlfn.LET(_xlpm.im,INDEX(_xlpm.mp,_xlpm.er,_xlpm.ec),_xlpm.nd,IF(_xlfn.ISOMITTED(_xlpm.Mazelam),_xlpm.im,_xlfn.TOCOL(_xlpm.Mazelam(_xlpm.cf,_xlpm.ct,_xlpm.df,_xlpm.St,_xlpm.con))),IF(NOT(ISNUMBER(_xlpm.im)),_xlpm.na,IFERROR(IF(_xlpm.nd+_xlpm.fd&lt;_xlpm.pd,_xlfn.HSTACK(_xlpm.expl,_xlpm.fd+_xlpm.nd,_xlpm.s),_xlpm.na),_xlpm.na))),_xlpm.na),{1,2},{1,-1}),     _xlpm.nft,_xlfn.LET(_xlpm.au,_xlfn.UNIQUE(_xlfn.TAKE(_xlpm.ift,,1)),_xlpm.a,_xlfn.HSTACK(_xlpm.au,VLOOKUP(_xlpm.au,_xlpm.ift,2),VLOOKUP(_xlpm.au,_xlpm.ift,3)),_xlfn._xlws.FILTER(_xlpm.a,_xlfn.TAKE(_xlpm.a,,1)&gt;0,_xlfn.HSTACK(0,0,0))),     _xlpm.npool,_xlfn.LET(_xlpm.b,_xlfn._xlws.SORT(_xlfn.VSTACK(_xlpm.pool,_xlpm.nft),{1,2},{1,-1}),_xlpm.bu,_xlfn.UNIQUE(_xlfn.TAKE(_xlpm.b,,1)),_xlfn.HSTACK(_xlpm.bu,VLOOKUP(_xlpm.bu,_xlpm.b,2),VLOOKUP(_xlpm.bu,_xlpm.b,3))),   IF(SUM(_xlpm.nft)=0,_xlpm.pool,_xlpm.lfx(_xlpm.lfx,_xlpm.npool,_xlpm.nft,_xlpm.N+1)))), _xlpm.rs,_xlpm.fx(_xlpm.fx,_xlfn.IFNA(_xlfn.HSTACK(_xlpm.rcst,0,0),0),_xlfn.IFNA(_xlfn.HSTACK(_xlpm.rcst,0,0),0),0),_xlpm.end,_xlfn.LET(_xlpm.z,IF(_xlfn.ISOMITTED(_xlpm.Show_Steps),2,3),IF(_xlfn.ISOMITTED(_xlpm.targets),_xlfn.IFNA(VLOOKUP(_xlpm.rcn,_xlpm.rs,_xlpm.z,),""),VLOOKUP('Dashboard Summary'!RowNum(_xlpm.targets)*_xlpm.m+'Dashboard Summary'!ColNum(_xlpm.targets),_xlpm.rs,_xlpm.z,))),_xlpm.end))</definedName>
    <definedName name="MazeDistance">_xlfn.LAMBDA(_xlpm.mp,_xlpm.St,_xlop.targets,_xlop.No_Diag,_xlop.Show_Steps,_xlop.Cus_Dir,_xlop.Mazelam,_xlfn.LET(_xlpm.dir,{1000000,-1000000,1,-1,1000001,-1000001,999999,-999999},_xlpm.xRC,IF(_xlfn.ISOMITTED(_xlpm.Cus_Dir),_xlfn.TAKE(_xlpm.dir,,8-4*_xlpm.No_Diag),_xlfn.TOROW(_xlpm.Cus_Dir,3)),_xlpm.nv,IF(ISERR(_xlfn.SINGLE(_xlfn.LET(_xlpm.rng,_xlpm.mp,ROW(_xlpm.rng)))),1,0),_xlpm.cn,IF(_xlpm.nv,_xlfn.SEQUENCE(,COLUMNS(_xlpm.mp)),COLUMN(_xlpm.mp)),_xlpm.rn,IF(_xlpm.nv,_xlfn.SEQUENCE(ROWS(_xlpm.mp)),ROW(_xlpm.mp)),_xlpm.m,1000000,_xlpm.rcn,_xlpm.rn*_xlpm.m+_xlpm.cn,_xlpm.ir,_xlfn.SINGLE(_xlpm.rn)-1,_xlpm.ic,_xlfn.SINGLE(_xlpm.cn)-1,_xlpm.na,_xlfn.HSTACK(0,0,0),_xlpm.rcst,RowNum(_xlpm.St)*_xlpm.m+ColNum(_xlpm.St),   _xlpm.fx, _xlfn.LAMBDA(_xlpm.lfx,_xlpm.pool,_xlpm.ft,_xlpm.N,     _xlfn.LET(_xlpm.cf,_xlfn.TAKE(_xlpm.ft,,1)+_xlfn.SEQUENCE(,COUNTA(_xlpm.xRC),0,0),_xlpm.ct,_xlfn.TAKE(_xlpm.ft,,1)+_xlpm.xRC,_xlpm.St,_xlfn.SEQUENCE(ROWS(_xlpm.ft),,0,0)+_xlfn.SEQUENCE(,COUNTA(_xlpm.xRC),_xlpm.N+1,0),_xlpm.df,_xlfn.CHOOSECOLS(_xlpm.ft,2)+_xlfn.SEQUENCE(,COUNTA(_xlpm.xRC),0,0),_xlpm.con,INDEX(_xlpm.mp,INT(_xlpm.ct/_xlpm.m)-_xlpm.ir,MOD(_xlpm.ct,_xlpm.m)-_xlpm.ic),     _xlpm.expl,_xlfn.TOCOL(_xlpm.ct),_xlpm.er,INT(_xlpm.expl/_xlpm.m)-_xlpm.ir,_xlpm.ec,MOD(_xlpm.expl,_xlpm.m)-_xlpm.ic,_xlpm.fd,_xlfn.TOCOL(_xlpm.df),_xlpm.pd,_xlfn.IFNA(_xlfn.XLOOKUP(_xlpm.expl,_xlfn.TAKE(_xlpm.pool,,1),_xlfn.CHOOSECOLS(_xlpm.pool,2),,,2),""),_xlpm.s,_xlfn.TOCOL(_xlpm.St),     _xlpm.ift,_xlfn._xlws.SORT(IF(_xlpm.er*_xlpm.ec,_xlfn.LET(_xlpm.im,INDEX(_xlpm.mp,_xlpm.er,_xlpm.ec),_xlpm.nd,IF(_xlfn.ISOMITTED(_xlpm.Mazelam),_xlpm.im,_xlfn.TOCOL(_xlpm.Mazelam(_xlpm.cf,_xlpm.ct,_xlpm.df,_xlpm.St,_xlpm.con))),IF(NOT(ISNUMBER(_xlpm.im)),_xlpm.na,IFERROR(IF(_xlpm.nd+_xlpm.fd&lt;_xlpm.pd,_xlfn.HSTACK(_xlpm.expl,_xlpm.fd+_xlpm.nd,_xlpm.s),_xlpm.na),_xlpm.na))),_xlpm.na),{1,2},{1,-1}),     _xlpm.nft,_xlfn.LET(_xlpm.au,_xlfn.UNIQUE(_xlfn.TAKE(_xlpm.ift,,1)),_xlpm.a,_xlfn.HSTACK(_xlpm.au,VLOOKUP(_xlpm.au,_xlpm.ift,2),VLOOKUP(_xlpm.au,_xlpm.ift,3)),_xlfn._xlws.FILTER(_xlpm.a,_xlfn.TAKE(_xlpm.a,,1)&gt;0,_xlfn.HSTACK(0,0,0))),     _xlpm.npool,_xlfn.LET(_xlpm.b,_xlfn._xlws.SORT(_xlfn.VSTACK(_xlpm.pool,_xlpm.nft),{1,2},{1,-1}),_xlpm.bu,_xlfn.UNIQUE(_xlfn.TAKE(_xlpm.b,,1)),_xlfn.HSTACK(_xlpm.bu,VLOOKUP(_xlpm.bu,_xlpm.b,2),VLOOKUP(_xlpm.bu,_xlpm.b,3))),   IF(SUM(_xlpm.nft)=0,_xlpm.pool,_xlpm.lfx(_xlpm.lfx,_xlpm.npool,_xlpm.nft,_xlpm.N+1)))), _xlpm.rs,_xlpm.fx(_xlpm.fx,_xlfn.IFNA(_xlfn.HSTACK(_xlpm.rcst,0,0),0),_xlfn.IFNA(_xlfn.HSTACK(_xlpm.rcst,0,0),0),0),_xlpm.end,_xlfn.LET(_xlpm.z,IF(_xlfn.ISOMITTED(_xlpm.Show_Steps),2,3),IF(_xlfn.ISOMITTED(_xlpm.targets),_xlfn.IFNA(VLOOKUP(_xlpm.rcn,_xlpm.rs,_xlpm.z,),""),VLOOKUP(RowNum(_xlpm.targets)*_xlpm.m+ColNum(_xlpm.targets),_xlpm.rs,_xlpm.z,))),_xlpm.end))</definedName>
    <definedName name="month" localSheetId="1">[1]Assumptions!$D$25:$D$30</definedName>
    <definedName name="month">#REF!</definedName>
    <definedName name="MostOf" localSheetId="1">_xlfn.LAMBDA(_xlpm.Array,_xlfn.GROUPBY(_xlfn.TOCOL(IF(COUNTA(_xlpm.Array)=1,'Dashboard Summary'!SplitText(_xlpm.Array),_xlpm.Array),3),_xlfn.TOCOL(IF(COUNTA(_xlpm.Array)=1,'Dashboard Summary'!SplitText(_xlpm.Array),_xlpm.Array),3),_xleta.ROWS,0,0,-2))</definedName>
    <definedName name="MostOf">_xlfn.LAMBDA(_xlpm.Array,_xlfn.GROUPBY(_xlfn.TOCOL(IF(COUNTA(_xlpm.Array)=1,SplitText(_xlpm.Array),_xlpm.Array),3),_xlfn.TOCOL(IF(COUNTA(_xlpm.Array)=1,SplitText(_xlpm.Array),_xlpm.Array),3),_xleta.ROWS,0,0,-2))</definedName>
    <definedName name="MoveOnMap" localSheetId="1">_xlfn.LAMBDA(_xlpm.St,_xlpm.Arrow,_xlop.Multiple,_xlop.mp,_xlop.Stop,_xlop.Glide,_xlop.Bounce,_xlop.WrapAround,_xlop.AllowMp,_xlop.ShowPath,_xlfn.LET(_xlpm.ar,_xlpm.Arrow,_xlpm.m,10^6,_xlpm.r,'Dashboard Summary'!RowNum(_xlpm.St),_xlpm.c,'Dashboard Summary'!ColNum(_xlpm.St),_xlpm.rcs,_xlpm.r*_xlpm.m+_xlpm.c,_xlpm.rmp,ROW(_xlpm.mp),_xlpm.cmp,COLUMN(_xlpm.mp),_xlpm.rcn,_xlpm.rmp*_xlpm.m+_xlpm.cmp,_xlpm.mir,MIN(_xlpm.rmp),_xlpm.mic,MIN(_xlpm.cmp),_xlpm.mar,MAX(_xlpm.rmp),_xlpm.mac,MAX(_xlpm.cmp),_xlpm.mlt,IF(_xlfn.ISOMITTED(_xlpm.Multiple),1,_xlpm.Multiple),_xlpm.ib,_xlfn.TOCOL(IF(_xlfn.ISOMITTED(_xlpm.AllowMp),_xlpm.rcn,_xlfn.IFS(_xlpm.AllowMp,_xlpm.rcn)),3),_xlpm.rm,_xlfn.XLOOKUP(_xlpm.ar,{"↗";"↖";"↙";"↓";"↘";"→";"↑";"←"},{-1;-1;1;1;1;0;-1;0}),_xlpm.cm,_xlfn.XLOOKUP(_xlpm.ar,{"↗";"↖";"↙";"↓";"↘";"→";"↑";"←"},{1;-1;-1;0;1;1;0;-1}),_xlpm.sp,_xlpm.ShowPath,_xlpm.b,_xlpm.Bounce,_xlpm.g,_xlpm.Glide,IF(_xlpm.mlt=0,_xlpm.St,IF(_xlpm.b+_xlpm.g&gt;0,_xlfn.LET(_xlpm.pth,_xlfn.REDUCE(_xlfn.HSTACK(_xlpm.rcs,_xlpm.ar),_xlfn.SEQUENCE(_xlpm.mlt),_xlfn.LAMBDA(_xlpm.a,_xlpm.v,_xlfn.LET(_xlpm.sc,_xlfn.CONCAT(_xlfn.TAKE(_xlpm.a,-1,1))*1,_xlpm.sa,_xlfn.CONCAT(_xlfn.TAKE(_xlpm.a,-1,-1)),_xlpm.gc,'Dashboard Summary'!RC_Ref_Convert(_xlpm.sa)+_xlpm.sc,_xlpm.rs,IF(ISNUMBER(_xlfn.XMATCH(_xlpm.gc,_xlpm.ib)),_xlfn.HSTACK(_xlpm.gc,IF(_xlpm.b,_xlpm.sa,_xlpm.ar)),_xlfn.LET(_xlpm.ck,_xlfn.XLOOKUP(_xlpm.sa,{"↘";"↖";"↙";"↗"},{1000000,1,"↗","↙","→","↓";-1000000,-1,"↙","↗","←","↑";1000000,-1,"↖","↘","←","↓";-1000000,1,"↘","↖","→","↑"}),_xlpm.cb,--ISNUMBER(_xlfn.XMATCH(_xlfn.TAKE(_xlpm.ck,,2)+_xlpm.sc,_xlpm.ib)),_xlpm.eao,IF(SUM(_xlpm.cb)&lt;&gt;1,IF(_xlpm.g,0,_xlfn.XLOOKUP(_xlpm.sa,{"↘";"↖";"↙";"↗"},{"↖";"↘";"↗";"↙"})),_xlfn.CONCAT(_xlfn.XLOOKUP(0,_xlpm.cb,IF(_xlpm.b,_xlfn.CHOOSECOLS(_xlpm.ck,3,4),_xlfn.DROP(_xlpm.ck,,4))))),_xlpm.ea,IF(ISERROR(_xlfn.SINGLE(_xlpm.ck)),IF(_xlpm.g,0,_xlfn.XLOOKUP(_xlpm.sa,{"↓";"↑";"→";"←"},{"↑";"↓";"←";"→"})),_xlpm.eao),_xlpm.nc,'Dashboard Summary'!RC_Ref_Convert(_xlpm.ea)+_xlpm.sc,_xlpm.ncc,_xlfn.IFNA(IF(ISNUMBER(_xlfn.XMATCH(_xlpm.nc,_xlpm.ib)),_xlpm.nc,_xlpm.sc),_xlpm.sc),_xlfn.HSTACK(_xlpm.ncc,IF(_xlpm.b,_xlpm.ea,_xlpm.ar)))),IF(_xlpm.sp,_xlfn.VSTACK(_xlpm.a,_xlpm.rs),_xlpm.rs)))),IF(_xlpm.sp,_xlfn.HSTACK('Dashboard Summary'!RC_Ref_Convert(_xlfn.TAKE(_xlpm.pth,,1)),_xlfn.TAKE(_xlpm.pth,,-1)),'Dashboard Summary'!RC_Ref_Convert(_xlfn.TAKE(_xlpm.pth,,1)))),_xlfn.REDUCE(_xlpm.St,_xlfn.SEQUENCE(_xlpm.mlt),_xlfn.LAMBDA(_xlpm.a,_xlpm.v,_xlfn.LET(_xlpm.ra,'Dashboard Summary'!RowNum(_xlfn.TAKE(_xlpm.a,-1)),_xlpm.ca,'Dashboard Summary'!ColNum(_xlfn.TAKE(_xlpm.a,-1)),_xlpm.gl,ADDRESS(IF(_xlpm.WrapAround,MOD(_xlpm.ra+_xlpm.rm-_xlpm.mir,_xlpm.mar-_xlpm.mir+1)+_xlpm.mir,_xlpm.ra+_xlpm.rm),IF(_xlpm.WrapAround,MOD(_xlpm.ca+_xlpm.cm-_xlpm.mic,_xlpm.mac-_xlpm.mic+1)+_xlpm.mic,_xlpm.ca+_xlpm.cm),4),_xlpm.gib,IF(_xlfn.ISOMITTED(_xlpm.mp),1,ISNUMBER(_xlfn.XMATCH('Dashboard Summary'!RC_Ref_Convert(_xlpm.gl),_xlpm.ib))),_xlpm.rs,IFERROR(IF(_xlpm.gib,_xlpm.gl,IF(_xlpm.Stop,_xlfn.TAKE(_xlpm.a,-1),"OOB")),"OOB"),IF(_xlpm.sp,_xlfn.VSTACK(_xlpm.a,_xlpm.rs),_xlpm.rs))))))))</definedName>
    <definedName name="MoveOnMap">_xlfn.LAMBDA(_xlpm.St,_xlpm.Arrow,_xlop.Multiple,_xlop.mp,_xlop.Stop,_xlop.Glide,_xlop.Bounce,_xlop.WrapAround,_xlop.AllowMp,_xlop.ShowPath,_xlfn.LET(_xlpm.ar,_xlpm.Arrow,_xlpm.m,10^6,_xlpm.r,RowNum(_xlpm.St),_xlpm.c,ColNum(_xlpm.St),_xlpm.rcs,_xlpm.r*_xlpm.m+_xlpm.c,_xlpm.rmp,ROW(_xlpm.mp),_xlpm.cmp,COLUMN(_xlpm.mp),_xlpm.rcn,_xlpm.rmp*_xlpm.m+_xlpm.cmp,_xlpm.mir,MIN(_xlpm.rmp),_xlpm.mic,MIN(_xlpm.cmp),_xlpm.mar,MAX(_xlpm.rmp),_xlpm.mac,MAX(_xlpm.cmp),_xlpm.mlt,IF(_xlfn.ISOMITTED(_xlpm.Multiple),1,_xlpm.Multiple),_xlpm.ib,_xlfn.TOCOL(IF(_xlfn.ISOMITTED(_xlpm.AllowMp),_xlpm.rcn,_xlfn.IFS(_xlpm.AllowMp,_xlpm.rcn)),3),_xlpm.rm,_xlfn.XLOOKUP(_xlpm.ar,{"↗";"↖";"↙";"↓";"↘";"→";"↑";"←"},{-1;-1;1;1;1;0;-1;0}),_xlpm.cm,_xlfn.XLOOKUP(_xlpm.ar,{"↗";"↖";"↙";"↓";"↘";"→";"↑";"←"},{1;-1;-1;0;1;1;0;-1}),_xlpm.sp,_xlpm.ShowPath,_xlpm.b,_xlpm.Bounce,_xlpm.g,_xlpm.Glide,IF(_xlpm.mlt=0,_xlpm.St,IF(_xlpm.b+_xlpm.g&gt;0,_xlfn.LET(_xlpm.pth,_xlfn.REDUCE(_xlfn.HSTACK(_xlpm.rcs,_xlpm.ar),_xlfn.SEQUENCE(_xlpm.mlt),_xlfn.LAMBDA(_xlpm.a,_xlpm.v,_xlfn.LET(_xlpm.sc,_xlfn.CONCAT(_xlfn.TAKE(_xlpm.a,-1,1))*1,_xlpm.sa,_xlfn.CONCAT(_xlfn.TAKE(_xlpm.a,-1,-1)),_xlpm.gc,RC_Ref_Convert(_xlpm.sa)+_xlpm.sc,_xlpm.rs,IF(ISNUMBER(_xlfn.XMATCH(_xlpm.gc,_xlpm.ib)),_xlfn.HSTACK(_xlpm.gc,IF(_xlpm.b,_xlpm.sa,_xlpm.ar)),_xlfn.LET(_xlpm.ck,_xlfn.XLOOKUP(_xlpm.sa,{"↘";"↖";"↙";"↗"},{1000000,1,"↗","↙","→","↓";-1000000,-1,"↙","↗","←","↑";1000000,-1,"↖","↘","←","↓";-1000000,1,"↘","↖","→","↑"}),_xlpm.cb,--ISNUMBER(_xlfn.XMATCH(_xlfn.TAKE(_xlpm.ck,,2)+_xlpm.sc,_xlpm.ib)),_xlpm.eao,IF(SUM(_xlpm.cb)&lt;&gt;1,IF(_xlpm.g,0,_xlfn.XLOOKUP(_xlpm.sa,{"↘";"↖";"↙";"↗"},{"↖";"↘";"↗";"↙"})),_xlfn.CONCAT(_xlfn.XLOOKUP(0,_xlpm.cb,IF(_xlpm.b,_xlfn.CHOOSECOLS(_xlpm.ck,3,4),_xlfn.DROP(_xlpm.ck,,4))))),_xlpm.ea,IF(ISERROR(_xlfn.SINGLE(_xlpm.ck)),IF(_xlpm.g,0,_xlfn.XLOOKUP(_xlpm.sa,{"↓";"↑";"→";"←"},{"↑";"↓";"←";"→"})),_xlpm.eao),_xlpm.nc,RC_Ref_Convert(_xlpm.ea)+_xlpm.sc,_xlpm.ncc,_xlfn.IFNA(IF(ISNUMBER(_xlfn.XMATCH(_xlpm.nc,_xlpm.ib)),_xlpm.nc,_xlpm.sc),_xlpm.sc),_xlfn.HSTACK(_xlpm.ncc,IF(_xlpm.b,_xlpm.ea,_xlpm.ar)))),IF(_xlpm.sp,_xlfn.VSTACK(_xlpm.a,_xlpm.rs),_xlpm.rs)))),IF(_xlpm.sp,_xlfn.HSTACK(RC_Ref_Convert(_xlfn.TAKE(_xlpm.pth,,1)),_xlfn.TAKE(_xlpm.pth,,-1)),RC_Ref_Convert(_xlfn.TAKE(_xlpm.pth,,1)))),_xlfn.REDUCE(_xlpm.St,_xlfn.SEQUENCE(_xlpm.mlt),_xlfn.LAMBDA(_xlpm.a,_xlpm.v,_xlfn.LET(_xlpm.ra,RowNum(_xlfn.TAKE(_xlpm.a,-1)),_xlpm.ca,ColNum(_xlfn.TAKE(_xlpm.a,-1)),_xlpm.gl,ADDRESS(IF(_xlpm.WrapAround,MOD(_xlpm.ra+_xlpm.rm-_xlpm.mir,_xlpm.mar-_xlpm.mir+1)+_xlpm.mir,_xlpm.ra+_xlpm.rm),IF(_xlpm.WrapAround,MOD(_xlpm.ca+_xlpm.cm-_xlpm.mic,_xlpm.mac-_xlpm.mic+1)+_xlpm.mic,_xlpm.ca+_xlpm.cm),4),_xlpm.gib,IF(_xlfn.ISOMITTED(_xlpm.mp),1,ISNUMBER(_xlfn.XMATCH(RC_Ref_Convert(_xlpm.gl),_xlpm.ib))),_xlpm.rs,IFERROR(IF(_xlpm.gib,_xlpm.gl,IF(_xlpm.Stop,_xlfn.TAKE(_xlpm.a,-1),"OOB")),"OOB"),IF(_xlpm.sp,_xlfn.VSTACK(_xlpm.a,_xlpm.rs),_xlpm.rs))))))))</definedName>
    <definedName name="pal">#REF!</definedName>
    <definedName name="Pokerhand" localSheetId="1">_xlfn.LAMBDA(_xlpm.pokercards,_xlfn.LET(_xlpm.cards,_xlfn.TOCOL(_xlpm.pokercards,3),_xlpm.cardnums,LEFT(_xlpm.cards),_xlpm.cardsuits,RIGHT(_xlpm.cards),_xlpm.Suitspresent,ROWS(_xlfn.UNIQUE(_xlpm.cardsuits)),_xlpm.cardspresent,ROWS(_xlfn.UNIQUE(_xlpm.cardnums)),_xlpm.cardvals,_xlfn.XLOOKUP(_xlpm.cards,_xlfn.CHOOSECOLS('Dashboard Summary'!Carddetails(),1),_xlfn.CHOOSECOLS('Dashboard Summary'!Carddetails(),4)),_xlpm.royalflush,AND(_xlpm.Suitspresent=1,AND(LEFT(_xlpm.cardvals)="1")), _xlpm.cardsinorder,AND(IFERROR('Dashboard Summary'!ArrayShift(_xlfn._xlws.SORT(_xlpm.cardvals),-1)-_xlfn._xlws.SORT(_xlpm.cardvals),1)=1),_xlpm.StraightFlush,AND(_xlpm.Suitspresent=1,_xlpm.cardsinorder),_xlpm.fourkind,IFERROR(ROWS(_xlfn._xlws.FILTER(_xlpm.cardvals,_xlpm.cardvals=_xlfn.MODE.SNGL(_xlpm.cardvals)))=4,FALSE),_xlpm.fullhouse,ROWS(_xlfn.UNIQUE(_xlpm.cardvals))=2,_xlpm.flush,_xlpm.Suitspresent=1,_xlpm.straight,_xlpm.cardsinorder,_xlpm.threekind,IFERROR(ROWS(_xlfn._xlws.FILTER(_xlpm.cardvals,_xlpm.cardvals=_xlfn.MODE.SNGL(_xlpm.cardvals)))=3,FALSE), _xlpm.twopair,ROWS(_xlfn.UNIQUE(_xlpm.cardvals))=3,_xlpm.pair,ROWS(_xlfn.UNIQUE(_xlpm.cardvals))=4,_xlpm.result,_xlfn.IFS(_xlpm.royalflush,"Royal Flush",_xlpm.StraightFlush,"Straight Flush",_xlpm.fourkind,"Four of a Kind",_xlpm.fullhouse,"Full House",_xlpm.flush,"Flush",_xlpm.straight,"Straight",_xlpm.threekind,"Three of a Kind",_xlpm.twopair,"Two Pair",_xlpm.pair,"Pair"),IFERROR(_xlpm.result,"High Card")))</definedName>
    <definedName name="Pokerhand">_xlfn.LAMBDA(_xlpm.pokercards,_xlfn.LET(_xlpm.cards,_xlfn.TOCOL(_xlpm.pokercards,3),_xlpm.cardnums,LEFT(_xlpm.cards),_xlpm.cardsuits,RIGHT(_xlpm.cards),_xlpm.Suitspresent,ROWS(_xlfn.UNIQUE(_xlpm.cardsuits)),_xlpm.cardspresent,ROWS(_xlfn.UNIQUE(_xlpm.cardnums)),_xlpm.cardvals,_xlfn.XLOOKUP(_xlpm.cards,_xlfn.CHOOSECOLS(Carddetails(),1),_xlfn.CHOOSECOLS(Carddetails(),4)),_xlpm.royalflush,AND(_xlpm.Suitspresent=1,AND(LEFT(_xlpm.cardvals)="1")), _xlpm.cardsinorder,AND(IFERROR(ArrayShift(_xlfn._xlws.SORT(_xlpm.cardvals),-1)-_xlfn._xlws.SORT(_xlpm.cardvals),1)=1),_xlpm.StraightFlush,AND(_xlpm.Suitspresent=1,_xlpm.cardsinorder),_xlpm.fourkind,IFERROR(ROWS(_xlfn._xlws.FILTER(_xlpm.cardvals,_xlpm.cardvals=_xlfn.MODE.SNGL(_xlpm.cardvals)))=4,FALSE),_xlpm.fullhouse,ROWS(_xlfn.UNIQUE(_xlpm.cardvals))=2,_xlpm.flush,_xlpm.Suitspresent=1,_xlpm.straight,_xlpm.cardsinorder,_xlpm.threekind,IFERROR(ROWS(_xlfn._xlws.FILTER(_xlpm.cardvals,_xlpm.cardvals=_xlfn.MODE.SNGL(_xlpm.cardvals)))=3,FALSE), _xlpm.twopair,ROWS(_xlfn.UNIQUE(_xlpm.cardvals))=3,_xlpm.pair,ROWS(_xlfn.UNIQUE(_xlpm.cardvals))=4,_xlpm.result,_xlfn.IFS(_xlpm.royalflush,"Royal Flush",_xlpm.StraightFlush,"Straight Flush",_xlpm.fourkind,"Four of a Kind",_xlpm.fullhouse,"Full House",_xlpm.flush,"Flush",_xlpm.straight,"Straight",_xlpm.threekind,"Three of a Kind",_xlpm.twopair,"Two Pair",_xlpm.pair,"Pair"),IFERROR(_xlpm.result,"High Card")))</definedName>
    <definedName name="PPP" localSheetId="1">[1]Assumptions!$F$25:$F$30</definedName>
    <definedName name="PPP">#REF!</definedName>
    <definedName name="Primes" localSheetId="1">_xlfn.LAMBDA(_xlop.First,_xlfn.LET(_xlpm.p,{2;3;5;7;11;13;17;19;23;29;31;37;41;43;47;53;59;61;67;71;73;79;83;89;97;101;103;107;109;113;127;131;137;139;149;151;157;163;167;173;179;181;191;193;197;199;211;223;227;229;233;239;241;251;257;263;269;271;277;281;283;293;307;311;313;317;331;337;347;349;353;359;367;373;379;383;389;397;401;409;419;421;431;433;439;443;449;457;461;463;467;479;487;491;499;503;509;521;523;541;547;557;563;569;571;577;587;593;599;601;607;613;617;619;631;641;643;647;653;659;661;673;677;683;691;701;709;719;727;733;739;743;751;757;761;769;773;787;797;809;811;821;823;827;829;839;853;857;859;863;877;881;883;887;907;911;919;929;937;941;947;953;967;971;977;983;991;997;1009;1013;1019;1021;1031;1033;1039;1049;1051;1061;1063;1069;1087;1091;1093;1097;1103;1109;1117;1123;1129;1151;1153;1163;1171;1181;1187;1193;1201;1213;1217;1223;1229;1231;1237;1249;1259;1277;1279;1283;1289;1291;1297;1301;1303;1307;1319;1321;1327;1361;1367;1373;1381;1399;1409;1423;1427;1429;1433;1439;1447;1451;1453;1459;1471;1481;1483;1487;1489;1493;1499;1511;1523;1531;1543;1549;1553;1559;1567;1571;1579;1583;1597;1601;1607;1609;1613;1619;1621;1627;1637;1657;1663;1667;1669;1693;1697;1699;1709;1721;1723;1733;1741;1747;1753;1759;1777;1783;1787;1789;1801;1811;1823;1831;1847;1861;1867;1871;1873;1877;1879;1889;1901;1907;1913;1931;1933;1949;1951;1973;1979;1987;1993;1997;1999;2003;2011;2017;2027;2029;2039;2053;2063;2069;2081;2083;2087;2089;2099;2111;2113;2129;2131;2137;2141;2143;2153;2161;2179;2203;2207;2213;2221;2237;2239;2243;2251;2267;2269;2273;2281;2287;2293;2297;2309;2311;2333;2339;2341;2347;2351;2357;2371;2377;2381;2383;2389;2393;2399;2411;2417;2423;2437;2441;2447;2459;2467;2473;2477;2503;2521;2531;2539;2543;2549;2551;2557;2579;2591;2593;2609;2617;2621;2633;2647;2657;2659;2663;2671;2677;2683;2687;2689;2693;2699;2707;2711;2713;2719;2729;2731;2741;2749;2753;2767;2777;2789;2791;2797;2801;2803;2819;2833;2837;2843;2851;2857;2861;2879;2887;2897;2903;2909;2917;2927;2939;2953;2957;2963;2969;2971;2999},IF(_xlpm.First,_xlfn.TAKE(_xlpm.p,_xlpm.First),_xlpm.p)))</definedName>
    <definedName name="Primes">_xlfn.LAMBDA(_xlop.First,_xlfn.LET(_xlpm.p,{2;3;5;7;11;13;17;19;23;29;31;37;41;43;47;53;59;61;67;71;73;79;83;89;97;101;103;107;109;113;127;131;137;139;149;151;157;163;167;173;179;181;191;193;197;199;211;223;227;229;233;239;241;251;257;263;269;271;277;281;283;293;307;311;313;317;331;337;347;349;353;359;367;373;379;383;389;397;401;409;419;421;431;433;439;443;449;457;461;463;467;479;487;491;499;503;509;521;523;541;547;557;563;569;571;577;587;593;599;601;607;613;617;619;631;641;643;647;653;659;661;673;677;683;691;701;709;719;727;733;739;743;751;757;761;769;773;787;797;809;811;821;823;827;829;839;853;857;859;863;877;881;883;887;907;911;919;929;937;941;947;953;967;971;977;983;991;997;1009;1013;1019;1021;1031;1033;1039;1049;1051;1061;1063;1069;1087;1091;1093;1097;1103;1109;1117;1123;1129;1151;1153;1163;1171;1181;1187;1193;1201;1213;1217;1223;1229;1231;1237;1249;1259;1277;1279;1283;1289;1291;1297;1301;1303;1307;1319;1321;1327;1361;1367;1373;1381;1399;1409;1423;1427;1429;1433;1439;1447;1451;1453;1459;1471;1481;1483;1487;1489;1493;1499;1511;1523;1531;1543;1549;1553;1559;1567;1571;1579;1583;1597;1601;1607;1609;1613;1619;1621;1627;1637;1657;1663;1667;1669;1693;1697;1699;1709;1721;1723;1733;1741;1747;1753;1759;1777;1783;1787;1789;1801;1811;1823;1831;1847;1861;1867;1871;1873;1877;1879;1889;1901;1907;1913;1931;1933;1949;1951;1973;1979;1987;1993;1997;1999;2003;2011;2017;2027;2029;2039;2053;2063;2069;2081;2083;2087;2089;2099;2111;2113;2129;2131;2137;2141;2143;2153;2161;2179;2203;2207;2213;2221;2237;2239;2243;2251;2267;2269;2273;2281;2287;2293;2297;2309;2311;2333;2339;2341;2347;2351;2357;2371;2377;2381;2383;2389;2393;2399;2411;2417;2423;2437;2441;2447;2459;2467;2473;2477;2503;2521;2531;2539;2543;2549;2551;2557;2579;2591;2593;2609;2617;2621;2633;2647;2657;2659;2663;2671;2677;2683;2687;2689;2693;2699;2707;2711;2713;2719;2729;2731;2741;2749;2753;2767;2777;2789;2791;2797;2801;2803;2819;2833;2837;2843;2851;2857;2861;2879;2887;2897;2903;2909;2917;2927;2939;2953;2957;2963;2969;2971;2999},IF(_xlpm.First,_xlfn.TAKE(_xlpm.p,_xlpm.First),_xlpm.p)))</definedName>
    <definedName name="PriorityMovement" localSheetId="1">_xlfn.LAMBDA(_xlpm.mp,_xlpm.St,_xlpm.prioarrows,_xlpm.blockers,_xlpm.Steps,_xlop.allow_loops,_xlfn.LET(_xlpm.cn,COLUMN(_xlpm.mp),_xlpm.rn,ROW(_xlpm.mp),_xlpm.m,10^6,_xlpm.rcn,_xlfn.TOCOL(_xlpm.rn*_xlpm.m+_xlpm.cn),_xlpm.p,'Dashboard Summary'!RC_Ref_Convert(_xlpm.prioarrows),   _xlpm.iter,_xlfn.REDUCE(_xlfn.HSTACK('Dashboard Summary'!RowNum(_xlpm.St)*_xlpm.m+'Dashboard Summary'!ColNum(_xlpm.St),'Dashboard Summary'!Ad_to_Contents(_xlpm.St,_xlpm.mp)),_xlfn.SEQUENCE(_xlpm.Steps),_xlfn.LAMBDA(_xlpm.a,_xlpm.v, _xlfn.LET(       _xlpm.cnd,_xlfn.TAKE(_xlpm.a,-1,1)+_xlpm.p,_xlpm.valid,ISNUMBER(_xlfn.XMATCH(_xlpm.cnd,_xlpm.rcn))*IF(_xlfn.ISOMITTED(_xlpm.allow_loops),ISNA(_xlfn.XMATCH(_xlpm.cnd,_xlfn.TAKE(_xlpm.a,,1))),1),       _xlpm.cont,IF(_xlpm.valid,'Dashboard Summary'!Ad_to_Contents(_xlpm.cnd,_xlpm.mp),_xlfn.SINGLE(_xlpm.blockers)), _xlpm.nextarrow,_xlfn.XLOOKUP(TRUE,ISNA(_xlfn.XMATCH(_xlpm.cont,_xlpm.blockers)),_xlpm.p),_xlpm.res,_xlfn.TAKE(_xlpm.a,-1,1)+_xlpm.nextarrow,   _xlpm.rs,_xlfn.VSTACK(_xlpm.a,_xlfn.HSTACK(_xlpm.res,'Dashboard Summary'!Ad_to_Contents(_xlpm.res,_xlpm.mp))), _xlpm.rs))),_xlfn.HSTACK('Dashboard Summary'!RC_Ref_Convert(_xlfn.TAKE(_xlpm.iter,,1)),_xlfn.DROP(_xlpm.iter,,1))))</definedName>
    <definedName name="PriorityMovement">_xlfn.LAMBDA(_xlpm.mp,_xlpm.St,_xlpm.prioarrows,_xlpm.blockers,_xlpm.Steps,_xlop.allow_loops,_xlfn.LET(_xlpm.cn,COLUMN(_xlpm.mp),_xlpm.rn,ROW(_xlpm.mp),_xlpm.m,10^6,_xlpm.rcn,_xlfn.TOCOL(_xlpm.rn*_xlpm.m+_xlpm.cn),_xlpm.p,RC_Ref_Convert(_xlpm.prioarrows),   _xlpm.iter,_xlfn.REDUCE(_xlfn.HSTACK(RowNum(_xlpm.St)*_xlpm.m+ColNum(_xlpm.St),Ad_to_Contents(_xlpm.St,_xlpm.mp)),_xlfn.SEQUENCE(_xlpm.Steps),_xlfn.LAMBDA(_xlpm.a,_xlpm.v, _xlfn.LET(       _xlpm.cnd,_xlfn.TAKE(_xlpm.a,-1,1)+_xlpm.p,_xlpm.valid,ISNUMBER(_xlfn.XMATCH(_xlpm.cnd,_xlpm.rcn))*IF(_xlfn.ISOMITTED(_xlpm.allow_loops),ISNA(_xlfn.XMATCH(_xlpm.cnd,_xlfn.TAKE(_xlpm.a,,1))),1),       _xlpm.cont,IF(_xlpm.valid,Ad_to_Contents(_xlpm.cnd,_xlpm.mp),_xlfn.SINGLE(_xlpm.blockers)), _xlpm.nextarrow,_xlfn.XLOOKUP(TRUE,ISNA(_xlfn.XMATCH(_xlpm.cont,_xlpm.blockers)),_xlpm.p),_xlpm.res,_xlfn.TAKE(_xlpm.a,-1,1)+_xlpm.nextarrow,   _xlpm.rs,_xlfn.VSTACK(_xlpm.a,_xlfn.HSTACK(_xlpm.res,Ad_to_Contents(_xlpm.res,_xlpm.mp))), _xlpm.rs))),_xlfn.HSTACK(RC_Ref_Convert(_xlfn.TAKE(_xlpm.iter,,1)),_xlfn.DROP(_xlpm.iter,,1))))</definedName>
    <definedName name="RC_Ref_Convert" localSheetId="1">_xlfn.LAMBDA(_xlpm.St,IFERROR(IF(ISNUMBER(_xlpm.St),ADDRESS(INT(_xlpm.St/10^6),MOD(_xlpm.St,10^6),4),'Dashboard Summary'!RowNum(_xlpm.St)*10^6+'Dashboard Summary'!ColNum(_xlpm.St)),_xlfn.XLOOKUP(_xlpm.St,{"↓";"↑";"→";"←";"↘";"↖";"↙";"↗"},{1000000;-1000000;1;-1;1000001;-1000001;999999;-999999})))</definedName>
    <definedName name="RC_Ref_Convert">_xlfn.LAMBDA(_xlpm.St,IFERROR(IF(ISNUMBER(_xlpm.St),ADDRESS(INT(_xlpm.St/10^6),MOD(_xlpm.St,10^6),4),RowNum(_xlpm.St)*10^6+ColNum(_xlpm.St)),_xlfn.XLOOKUP(_xlpm.St,{"↓";"↑";"→";"←";"↘";"↖";"↙";"↗"},{1000000;-1000000;1;-1;1000001;-1000001;999999;-999999})))</definedName>
    <definedName name="RemoveCharacters" localSheetId="1">_xlfn.LAMBDA(_xlpm.TextToRemove,_xlpm.Text,_xlop.CaseSensitive,IF(_xlfn.ISOMITTED(_xlpm.CaseSensitive),_xlfn.REDUCE(LOWER(_xlpm.Text),LOWER('Dashboard Summary'!SplitText(_xlpm.TextToRemove)),_xlfn.LAMBDA(_xlpm.i,_xlpm.a,SUBSTITUTE(_xlpm.i,_xlpm.a,""))),_xlfn.REDUCE(_xlpm.Text,'Dashboard Summary'!SplitText(_xlpm.TextToRemove),_xlfn.LAMBDA(_xlpm.i,_xlpm.a,SUBSTITUTE(_xlpm.i,_xlpm.a,"")))))</definedName>
    <definedName name="RemoveCharacters">_xlfn.LAMBDA(_xlpm.TextToRemove,_xlpm.Text,_xlop.CaseSensitive,IF(_xlfn.ISOMITTED(_xlpm.CaseSensitive),_xlfn.REDUCE(LOWER(_xlpm.Text),LOWER(SplitText(_xlpm.TextToRemove)),_xlfn.LAMBDA(_xlpm.i,_xlpm.a,SUBSTITUTE(_xlpm.i,_xlpm.a,""))),_xlfn.REDUCE(_xlpm.Text,SplitText(_xlpm.TextToRemove),_xlfn.LAMBDA(_xlpm.i,_xlpm.a,SUBSTITUTE(_xlpm.i,_xlpm.a,"")))))</definedName>
    <definedName name="Reverse" localSheetId="1">_xlfn.LAMBDA(_xlpm.TextOrArray,IF(COUNTA(_xlpm.TextOrArray)=1,_xlfn.CONCAT(MID(_xlpm.TextOrArray,_xlfn.SEQUENCE(LEN(_xlpm.TextOrArray),,LEN(_xlpm.TextOrArray),-1),1)),INDEX(_xlpm.TextOrArray,_xlfn.SEQUENCE(ROWS(_xlpm.TextOrArray),,ROWS(_xlpm.TextOrArray),-1),_xlfn.SEQUENCE(,COLUMNS(_xlpm.TextOrArray),COLUMNS(_xlpm.TextOrArray),-1))))</definedName>
    <definedName name="Reverse">_xlfn.LAMBDA(_xlpm.TextOrArray,IF(COUNTA(_xlpm.TextOrArray)=1,_xlfn.CONCAT(MID(_xlpm.TextOrArray,_xlfn.SEQUENCE(LEN(_xlpm.TextOrArray),,LEN(_xlpm.TextOrArray),-1),1)),INDEX(_xlpm.TextOrArray,_xlfn.SEQUENCE(ROWS(_xlpm.TextOrArray),,ROWS(_xlpm.TextOrArray),-1),_xlfn.SEQUENCE(,COLUMNS(_xlpm.TextOrArray),COLUMNS(_xlpm.TextOrArray),-1))))</definedName>
    <definedName name="RowNum" localSheetId="1">_xlfn.LAMBDA(_xlpm.addresses,IF(ISNUMBER(_xlpm.addresses),INT(_xlpm.addresses/10^6),1*_xlfn.TEXTAFTER(UPPER(_xlpm.addresses),Alphabet(),-1)))</definedName>
    <definedName name="RowNum">_xlfn.LAMBDA(_xlpm.addresses,IF(ISNUMBER(_xlpm.addresses),INT(_xlpm.addresses/10^6),1*_xlfn.TEXTAFTER(UPPER(_xlpm.addresses),Alphabet(),-1)))</definedName>
    <definedName name="seg" localSheetId="1">[1]Assumptions!$C$25:$C$30</definedName>
    <definedName name="seg">#REF!</definedName>
    <definedName name="ShiftText" localSheetId="1">_xlfn.LAMBDA(_xlpm.Text,_xlpm.Shift,_xlop.AlongShift,_xlop.AlongLettersOnly,_xlop.NoWrapAround,_xlfn.LET(_xlpm.l,'Dashboard Summary'!SplitText(_xlpm.Text),_xlpm.als,IF(_xlpm.AlongShift,_xlpm.AlongShift,0),_xlpm.sym,EXACT(LOWER(_xlpm.l),UPPER(_xlpm.l)), _xlpm.upp,EXACT(UPPER(_xlpm.l),_xlpm.l),_xlpm.al,IF(_xlpm.AlongLettersOnly,_xlfn.SCAN(-_xlpm.als,_xlpm.sym,_xlfn.LAMBDA(_xlpm.a,_xlpm.v,IF(_xlpm.v,_xlpm.a,_xlpm.a+_xlpm.als))),_xlfn.SEQUENCE(LEN(_xlpm.Text),,0,_xlpm.als)),_xlpm.mu,MOD(CODE(_xlpm.l)-65+_xlpm.Shift+_xlpm.al,26)+65, _xlpm.ml,MOD(CODE(_xlpm.l)-97+_xlpm.Shift+_xlpm.al,26)+97,_xlpm.nw,IFERROR(_xlfn.UNICHAR(_xlfn.UNICODE(_xlpm.l)+_xlpm.Shift+_xlpm.al),_xlpm.l),_xlpm.rs,IF(_xlpm.sym,_xlpm.l,IF(_xlpm.upp,CHAR(_xlpm.mu),CHAR(_xlpm.ml))),_xlfn.CONCAT(IF(_xlpm.NoWrapAround,_xlpm.nw,_xlpm.rs))))</definedName>
    <definedName name="ShiftText">_xlfn.LAMBDA(_xlpm.Text,_xlpm.Shift,_xlop.AlongShift,_xlop.AlongLettersOnly,_xlop.NoWrapAround,_xlfn.LET(_xlpm.l,SplitText(_xlpm.Text),_xlpm.als,IF(_xlpm.AlongShift,_xlpm.AlongShift,0),_xlpm.sym,EXACT(LOWER(_xlpm.l),UPPER(_xlpm.l)), _xlpm.upp,EXACT(UPPER(_xlpm.l),_xlpm.l),_xlpm.al,IF(_xlpm.AlongLettersOnly,_xlfn.SCAN(-_xlpm.als,_xlpm.sym,_xlfn.LAMBDA(_xlpm.a,_xlpm.v,IF(_xlpm.v,_xlpm.a,_xlpm.a+_xlpm.als))),_xlfn.SEQUENCE(LEN(_xlpm.Text),,0,_xlpm.als)),_xlpm.mu,MOD(CODE(_xlpm.l)-65+_xlpm.Shift+_xlpm.al,26)+65, _xlpm.ml,MOD(CODE(_xlpm.l)-97+_xlpm.Shift+_xlpm.al,26)+97,_xlpm.nw,IFERROR(_xlfn.UNICHAR(_xlfn.UNICODE(_xlpm.l)+_xlpm.Shift+_xlpm.al),_xlpm.l),_xlpm.rs,IF(_xlpm.sym,_xlpm.l,IF(_xlpm.upp,CHAR(_xlpm.mu),CHAR(_xlpm.ml))),_xlfn.CONCAT(IF(_xlpm.NoWrapAround,_xlpm.nw,_xlpm.rs))))</definedName>
    <definedName name="Spiral" localSheetId="1">_xlfn.LAMBDA(_xlpm.grid,_xlop.downward, _xlfn.LET(_xlpm.sp,_xlfn.LAMBDA(_xlpm.sp,_xlpm.a,_xlfn.LET(_xlpm.r,ROWS(_xlpm.a),_xlpm.c,COLUMNS(_xlpm.a),_xlpm.i,_xlfn.SEQUENCE(_xlpm.r),_xlpm.j,_xlfn.SEQUENCE(,_xlpm.c), IF(_xlpm.r=1,_xlpm.j,IF(_xlpm.c=1,_xlpm.i,IF(_xlpm.downward,_xleta.HSTACK,_xleta.VSTACK)(IF(_xlpm.downward,_xlpm.i,_xlpm.j),IF(_xlpm.downward,_xlpm.r,_xlpm.c)+ _xlfn.SORTBY(TRANSPOSE(_xlpm.sp(_xlpm.sp,_xlfn.SORTBY(TRANSPOSE(_xlfn.DROP(_xlpm.a,IF(_xlpm.downward,,1),IF(_xlpm.downward,1))),-_xlfn.SEQUENCE(IF(_xlpm.downward,_xlpm.c-1,),IF(_xlpm.downward,,_xlpm.r-1))))),-IF(_xlpm.downward,_xlpm.i,_xlpm.j))))))), _xlpm.sp(_xlpm.sp,_xlpm.grid)))</definedName>
    <definedName name="Spiral">_xlfn.LAMBDA(_xlpm.grid,_xlop.downward, _xlfn.LET(_xlpm.sp,_xlfn.LAMBDA(_xlpm.sp,_xlpm.a,_xlfn.LET(_xlpm.r,ROWS(_xlpm.a),_xlpm.c,COLUMNS(_xlpm.a),_xlpm.i,_xlfn.SEQUENCE(_xlpm.r),_xlpm.j,_xlfn.SEQUENCE(,_xlpm.c), IF(_xlpm.r=1,_xlpm.j,IF(_xlpm.c=1,_xlpm.i,IF(_xlpm.downward,_xleta.HSTACK,_xleta.VSTACK)(IF(_xlpm.downward,_xlpm.i,_xlpm.j),IF(_xlpm.downward,_xlpm.r,_xlpm.c)+ _xlfn.SORTBY(TRANSPOSE(_xlpm.sp(_xlpm.sp,_xlfn.SORTBY(TRANSPOSE(_xlfn.DROP(_xlpm.a,IF(_xlpm.downward,,1),IF(_xlpm.downward,1))),-_xlfn.SEQUENCE(IF(_xlpm.downward,_xlpm.c-1,),IF(_xlpm.downward,,_xlpm.r-1))))),-IF(_xlpm.downward,_xlpm.i,_xlpm.j))))))), _xlpm.sp(_xlpm.sp,_xlpm.grid)))</definedName>
    <definedName name="SplitText" localSheetId="1">_xlfn.LAMBDA(_xlpm.Text,_xlop.Groups,_xlop.Overlap,_xlfn.LET(_xlpm.t,_xlfn.CONCAT(_xlpm.Text), _xlpm._groups,MAX(_xlpm.Groups,1), IF(_xlpm.Overlap,MID(_xlpm.t,_xlfn.SEQUENCE(LEN(_xlpm.t)-_xlpm._groups+1),_xlpm._groups),MID(_xlpm.t,_xlfn.SEQUENCE(ROUNDUP(LEN(_xlpm.t)/_xlpm._groups,0),,,_xlpm._groups),_xlpm._groups))))</definedName>
    <definedName name="SplitText">_xlfn.LAMBDA(_xlpm.Text,_xlop.Groups,_xlop.Overlap,_xlfn.LET(_xlpm.t,_xlfn.CONCAT(_xlpm.Text), _xlpm._groups,MAX(_xlpm.Groups,1), IF(_xlpm.Overlap,MID(_xlpm.t,_xlfn.SEQUENCE(LEN(_xlpm.t)-_xlpm._groups+1),_xlpm._groups),MID(_xlpm.t,_xlfn.SEQUENCE(ROUNDUP(LEN(_xlpm.t)/_xlpm._groups,0),,,_xlpm._groups),_xlpm._groups))))</definedName>
    <definedName name="starting_parc" localSheetId="1">[1]Assumptions!$E$25:$E$30</definedName>
    <definedName name="starting_parc">#REF!</definedName>
    <definedName name="Timeline" localSheetId="1">_xlfn.LAMBDA(_xlpm.St,_xlpm.yrs,_xlop.per,_xlop.perNum,_xlop.MonSt,_xlop.MonEnd,_xlop.YrNum,_xlop.MonNum,_xlop.QNum,_xlop.QTxt,        _xlfn.LET(_xlpm.stClean, IF(_xlpm.St&lt;3000,DATE(_xlpm.St,1,1),_xlpm.St), _xlpm.perClean, IF(_xlfn.ISOMITTED(_xlpm.per), 1, _xlpm.per),        _xlpm.seq, _xlfn.SEQUENCE(,_xlpm.yrs*12/_xlpm.perClean),        _xlpm.som, EOMONTH(_xlpm.stClean, (_xlpm.seq-1)*_xlpm.perClean-1)+1,        _xlpm.out, _xlfn.VSTACK(_xlpm.seq, _xlpm.som, EOMONTH(_xlpm.som, _xlpm.perClean-1), YEAR(_xlpm.som), MONTH(_xlpm.som), ROUNDUP(MONTH(_xlpm.som)/3,0), YEAR(_xlpm.som)&amp;"-Q"&amp;ROUNDUP(MONTH(_xlpm.som)/3,0)),        _xlfn._xlws.FILTER(_xlpm.out,_xlfn.VSTACK(1-_xlpm.perNum,1-_xlpm.MonSt,1-_xlpm.MonEnd,1-_xlpm.YrNum,IF(_xlfn.ISOMITTED(_xlpm.MonNum), _xlpm.perClean=1, 1-_xlpm.MonNum),IF(_xlfn.ISOMITTED(_xlpm.QNum), _xlpm.perClean&lt;=3, 1-_xlpm.QNum),IF(_xlfn.ISOMITTED(_xlpm.QTxt), _xlpm.perClean&lt;=3, 1-_xlpm.QTxt)))))</definedName>
    <definedName name="Timeline">_xlfn.LAMBDA(_xlpm.St,_xlpm.yrs,_xlop.per,_xlop.perNum,_xlop.MonSt,_xlop.MonEnd,_xlop.YrNum,_xlop.MonNum,_xlop.QNum,_xlop.QTxt,        _xlfn.LET(_xlpm.stClean, IF(_xlpm.St&lt;3000,DATE(_xlpm.St,1,1),_xlpm.St), _xlpm.perClean, IF(_xlfn.ISOMITTED(_xlpm.per), 1, _xlpm.per),        _xlpm.seq, _xlfn.SEQUENCE(,_xlpm.yrs*12/_xlpm.perClean),        _xlpm.som, EOMONTH(_xlpm.stClean, (_xlpm.seq-1)*_xlpm.perClean-1)+1,        _xlpm.out, _xlfn.VSTACK(_xlpm.seq, _xlpm.som, EOMONTH(_xlpm.som, _xlpm.perClean-1), YEAR(_xlpm.som), MONTH(_xlpm.som), ROUNDUP(MONTH(_xlpm.som)/3,0), YEAR(_xlpm.som)&amp;"-Q"&amp;ROUNDUP(MONTH(_xlpm.som)/3,0)),        _xlfn._xlws.FILTER(_xlpm.out,_xlfn.VSTACK(1-_xlpm.perNum,1-_xlpm.MonSt,1-_xlpm.MonEnd,1-_xlpm.YrNum,IF(_xlfn.ISOMITTED(_xlpm.MonNum), _xlpm.perClean=1, 1-_xlpm.MonNum),IF(_xlfn.ISOMITTED(_xlpm.QNum), _xlpm.perClean&lt;=3, 1-_xlpm.QNum),IF(_xlfn.ISOMITTED(_xlpm.QTxt), _xlpm.perClean&lt;=3, 1-_xlpm.QTxt)))))</definedName>
    <definedName name="Tlookup" localSheetId="1">_xlfn.LAMBDA(_xlpm.Table,_xlpm.Rowitem,_xlpm.Columnitem,INDEX(_xlpm.Table,_xlfn.XMATCH(_xlpm.Rowitem,_xlfn.TAKE(_xlpm.Table,,1)),_xlfn.XMATCH(_xlpm.Columnitem,_xlfn.TAKE(_xlpm.Table,1))))</definedName>
    <definedName name="Tlookup">_xlfn.LAMBDA(_xlpm.Table,_xlpm.Rowitem,_xlpm.Columnitem,INDEX(_xlpm.Table,_xlfn.XMATCH(_xlpm.Rowitem,_xlfn.TAKE(_xlpm.Table,,1)),_xlfn.XMATCH(_xlpm.Columnitem,_xlfn.TAKE(_xlpm.Table,1))))</definedName>
    <definedName name="Vstacks" localSheetId="1">_xlfn.LAMBDA(_xlpm.Array,_xlpm.NoTimes,_xlop.Hstk,IFERROR(_xlfn.REDUCE(_xlpm.Array,_xlfn.SEQUENCE(_xlpm.NoTimes-1),_xlfn.LAMBDA(_xlpm.a,_xlpm.v,IF(_xlpm.Hstk,_xleta.HSTACK,_xleta.VSTACK)(_xlpm.a,_xlpm.Array))),_xlpm.Array))</definedName>
    <definedName name="Vstacks">_xlfn.LAMBDA(_xlpm.Array,_xlpm.NoTimes,_xlop.Hstk,IFERROR(_xlfn.REDUCE(_xlpm.Array,_xlfn.SEQUENCE(_xlpm.NoTimes-1),_xlfn.LAMBDA(_xlpm.a,_xlpm.v,IF(_xlpm.Hstk,_xleta.HSTACK,_xleta.VSTACK)(_xlpm.a,_xlpm.Array))),_xlpm.Array))</definedName>
    <definedName name="WordMaker" localSheetId="1">_xlfn.LAMBDA(_xlpm.Word_to_Make,_xlpm.Tiles,_xlop.Case_Sensitive,_xlfn.MAP(_xlpm.Word_to_Make,_xlfn.LAMBDA(_xlpm.wl,_xlfn.LET(_xlpm.t,IF(_xlpm.Case_Sensitive,_xlpm.Tiles,UPPER(_xlpm.Tiles)),_xlpm.w,IF(_xlpm.Case_Sensitive,'Dashboard Summary'!SplitText(_xlpm.wl),'Dashboard Summary'!SplitText(UPPER(_xlpm.wl))),_xlpm.lg,LEN(_xlpm.t)-LEN(_xlfn.REDUCE(_xlpm.t,_xlpm.w,_xlfn.LAMBDA(_xlpm.a,_xlpm.v,SUBSTITUTE(_xlpm.a,_xlpm.v,"",1)))),LEN(_xlpm.wl)=_xlpm.lg))))</definedName>
    <definedName name="WordMaker">_xlfn.LAMBDA(_xlpm.Word_to_Make,_xlpm.Tiles,_xlop.Case_Sensitive,_xlfn.MAP(_xlpm.Word_to_Make,_xlfn.LAMBDA(_xlpm.wl,_xlfn.LET(_xlpm.t,IF(_xlpm.Case_Sensitive,_xlpm.Tiles,UPPER(_xlpm.Tiles)),_xlpm.w,IF(_xlpm.Case_Sensitive,SplitText(_xlpm.wl),SplitText(UPPER(_xlpm.wl))),_xlpm.lg,LEN(_xlpm.t)-LEN(_xlfn.REDUCE(_xlpm.t,_xlpm.w,_xlfn.LAMBDA(_xlpm.a,_xlpm.v,SUBSTITUTE(_xlpm.a,_xlpm.v,"",1)))),LEN(_xlpm.wl)=_xlpm.lg))))</definedName>
    <definedName name="WordValue" localSheetId="1">_xlfn.LAMBDA(_xlpm.Text,_xlpm.Letters,_xlpm.Values,_xlop.Case_Sensitive,_xlop.join,_xlop.Delimiter,_xlfn.MAP(_xlpm.Text,_xlfn.LAMBDA(_xlpm.b,_xlfn.LET(_xlpm.dl,IF(_xlfn.ISOMITTED(_xlpm.Delimiter),"-",_xlpm.Delimiter),_xlpm.m,IF(_xlfn.ISOMITTED(_xlpm.join),0,""),_xlpm.l,'Dashboard Summary'!SplitText(_xlpm.b),_xlpm.lu,IF(_xlfn.ISOMITTED(_xlpm.Case_Sensitive),_xlfn.XLOOKUP(_xlpm.l,_xlpm.Letters,_xlpm.Values,_xlpm.m),_xlfn.MAP(_xlpm.l,_xlfn.LAMBDA(_xlpm.a,IFERROR(_xlfn.TOCOL(IF(EXACT(_xlpm.a,_xlpm.Letters),_xlpm.Values,NA()),3),IF(_xlpm.join,"",0))))),_xlpm.rs,IF(_xlfn.ISOMITTED(_xlpm.join),SUM(_xlpm.lu),_xlfn.TEXTJOIN(_xlpm.dl,TRUE,_xlpm.lu)),_xlpm.rs))))</definedName>
    <definedName name="WordValue">_xlfn.LAMBDA(_xlpm.Text,_xlpm.Letters,_xlpm.Values,_xlop.Case_Sensitive,_xlop.join,_xlop.Delimiter,_xlfn.MAP(_xlpm.Text,_xlfn.LAMBDA(_xlpm.b,_xlfn.LET(_xlpm.dl,IF(_xlfn.ISOMITTED(_xlpm.Delimiter),"-",_xlpm.Delimiter),_xlpm.m,IF(_xlfn.ISOMITTED(_xlpm.join),0,""),_xlpm.l,SplitText(_xlpm.b),_xlpm.lu,IF(_xlfn.ISOMITTED(_xlpm.Case_Sensitive),_xlfn.XLOOKUP(_xlpm.l,_xlpm.Letters,_xlpm.Values,_xlpm.m),_xlfn.MAP(_xlpm.l,_xlfn.LAMBDA(_xlpm.a,IFERROR(_xlfn.TOCOL(IF(EXACT(_xlpm.a,_xlpm.Letters),_xlpm.Values,NA()),3),IF(_xlpm.join,"",0))))),_xlpm.rs,IF(_xlfn.ISOMITTED(_xlpm.join),SUM(_xlpm.lu),_xlfn.TEXTJOIN(_xlpm.dl,TRUE,_xlpm.lu)),_xlpm.rs))))</definedName>
  </definedNames>
  <calcPr calcId="191028" iterate="1"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7" i="14" l="1" a="1"/>
  <c r="C27" i="14" s="1"/>
  <c r="C24" i="14" a="1"/>
  <c r="C24" i="14" s="1"/>
  <c r="C19" i="14" a="1"/>
  <c r="C19" i="14" s="1"/>
  <c r="C16" i="14" a="1"/>
  <c r="C16" i="14" s="1"/>
  <c r="C9" i="14" a="1"/>
  <c r="C9" i="14" s="1"/>
  <c r="C26" i="14" a="1"/>
  <c r="C26" i="14" s="1"/>
  <c r="C6" i="14" a="1"/>
  <c r="C6" i="14" s="1"/>
  <c r="C4" i="14" a="1"/>
  <c r="C4" i="14" s="1"/>
  <c r="C3" i="14" a="1"/>
  <c r="C3" i="14" s="1"/>
  <c r="C13" i="14" a="1"/>
  <c r="C13" i="14" s="1"/>
  <c r="C23" i="14" a="1"/>
  <c r="C23" i="14" s="1"/>
  <c r="C7" i="14" a="1"/>
  <c r="C7" i="14" s="1"/>
  <c r="C15" i="14" a="1"/>
  <c r="C15" i="14" s="1"/>
  <c r="C25" i="14" a="1"/>
  <c r="C25" i="14" s="1"/>
  <c r="C18" i="14" a="1"/>
  <c r="C18" i="14" s="1"/>
  <c r="C22" i="14" a="1"/>
  <c r="C22" i="14" s="1"/>
  <c r="C12" i="14" a="1"/>
  <c r="C12" i="14" s="1"/>
  <c r="C11" i="14" a="1"/>
  <c r="C11" i="14" s="1"/>
  <c r="C2" i="14" a="1"/>
  <c r="C2" i="14" s="1"/>
  <c r="C5" i="14" a="1"/>
  <c r="C5" i="14" s="1"/>
  <c r="C21" i="14" a="1"/>
  <c r="C21" i="14" s="1"/>
  <c r="C20" i="14" a="1"/>
  <c r="C20" i="14" s="1"/>
  <c r="C10" i="14" a="1"/>
  <c r="C10" i="14" s="1"/>
  <c r="C17" i="14" a="1"/>
  <c r="C17" i="14" s="1"/>
  <c r="C8" i="14" a="1"/>
  <c r="C8" i="14" s="1"/>
  <c r="C14" i="14" a="1"/>
  <c r="C14" i="14"/>
  <c r="B27" i="14" a="1"/>
  <c r="B27" i="14" s="1"/>
  <c r="B24" i="14" a="1"/>
  <c r="B24" i="14" s="1"/>
  <c r="B19" i="14" a="1"/>
  <c r="B19" i="14" s="1"/>
  <c r="B16" i="14" a="1"/>
  <c r="B16" i="14" s="1"/>
  <c r="B9" i="14" a="1"/>
  <c r="B9" i="14" s="1"/>
  <c r="B26" i="14" a="1"/>
  <c r="B26" i="14" s="1"/>
  <c r="B6" i="14" a="1"/>
  <c r="B6" i="14" s="1"/>
  <c r="B4" i="14" a="1"/>
  <c r="B4" i="14" s="1"/>
  <c r="B3" i="14" a="1"/>
  <c r="B3" i="14" s="1"/>
  <c r="B13" i="14" a="1"/>
  <c r="B13" i="14" s="1"/>
  <c r="B23" i="14" a="1"/>
  <c r="B23" i="14" s="1"/>
  <c r="B7" i="14" a="1"/>
  <c r="B7" i="14" s="1"/>
  <c r="B15" i="14" a="1"/>
  <c r="B15" i="14" s="1"/>
  <c r="B25" i="14" a="1"/>
  <c r="B25" i="14" s="1"/>
  <c r="B18" i="14" a="1"/>
  <c r="B18" i="14" s="1"/>
  <c r="B22" i="14" a="1"/>
  <c r="B22" i="14" s="1"/>
  <c r="B12" i="14" a="1"/>
  <c r="B12" i="14" s="1"/>
  <c r="B11" i="14" a="1"/>
  <c r="B11" i="14" s="1"/>
  <c r="B2" i="14" a="1"/>
  <c r="B2" i="14" s="1"/>
  <c r="B5" i="14" a="1"/>
  <c r="B5" i="14" s="1"/>
  <c r="B21" i="14" a="1"/>
  <c r="B21" i="14" s="1"/>
  <c r="B20" i="14" a="1"/>
  <c r="B20" i="14" s="1"/>
  <c r="B10" i="14" a="1"/>
  <c r="B10" i="14" s="1"/>
  <c r="B17" i="14" a="1"/>
  <c r="B17" i="14" s="1"/>
  <c r="B8" i="14" a="1"/>
  <c r="B8" i="14" s="1"/>
  <c r="B14" i="14" a="1"/>
  <c r="B14" i="14"/>
  <c r="BQ244" i="10"/>
  <c r="BQ243" i="10"/>
  <c r="BQ242" i="10"/>
  <c r="BQ241" i="10"/>
  <c r="BQ240" i="10"/>
  <c r="BQ239" i="10"/>
  <c r="BQ238" i="10"/>
  <c r="BQ237" i="10"/>
  <c r="BQ236" i="10"/>
  <c r="BQ235" i="10"/>
  <c r="BQ234" i="10"/>
  <c r="BQ233" i="10"/>
  <c r="BQ232" i="10"/>
  <c r="BQ231" i="10"/>
  <c r="BQ230" i="10"/>
  <c r="BQ229" i="10"/>
  <c r="BQ228" i="10"/>
  <c r="BQ227" i="10"/>
  <c r="BQ226" i="10"/>
  <c r="BQ225" i="10"/>
  <c r="BQ224" i="10"/>
  <c r="BQ223" i="10"/>
  <c r="BQ222" i="10"/>
  <c r="BQ221" i="10"/>
  <c r="BQ220" i="10"/>
  <c r="BQ219" i="10"/>
  <c r="BQ218" i="10"/>
  <c r="BP279" i="10"/>
  <c r="BP278" i="10"/>
  <c r="BP276" i="10"/>
  <c r="BP275" i="10"/>
  <c r="BP274" i="10"/>
  <c r="BP246" i="10"/>
  <c r="BP245" i="10"/>
  <c r="CF39" i="10"/>
  <c r="CE39" i="10"/>
  <c r="CD39" i="10"/>
  <c r="CC39" i="10"/>
  <c r="CB39" i="10"/>
  <c r="CA39" i="10"/>
  <c r="BZ39" i="10"/>
  <c r="BY39" i="10"/>
  <c r="BX39" i="10"/>
  <c r="BW39" i="10"/>
  <c r="BV39" i="10"/>
  <c r="BU39" i="10"/>
  <c r="BT39" i="10"/>
  <c r="BS39" i="10"/>
  <c r="BR39" i="10"/>
  <c r="B14" i="13"/>
  <c r="F16" i="11" l="1"/>
  <c r="E8" i="11"/>
  <c r="D8" i="11" s="1"/>
  <c r="D34" i="11"/>
  <c r="H502" i="10"/>
  <c r="G451" i="10"/>
  <c r="G450" i="10"/>
  <c r="G449" i="10"/>
  <c r="G448" i="10"/>
  <c r="G452" i="10" s="1"/>
  <c r="H104" i="10" a="1"/>
  <c r="H104" i="10" s="1"/>
  <c r="G57" i="10"/>
  <c r="G83" i="10"/>
  <c r="G530" i="10"/>
  <c r="G6" i="10" a="1"/>
  <c r="G6" i="10" s="1"/>
  <c r="D50" i="10"/>
  <c r="D443" i="10"/>
  <c r="G112" i="10"/>
  <c r="D497" i="10"/>
  <c r="G99" i="10"/>
  <c r="G95" i="10"/>
  <c r="G72" i="10"/>
  <c r="G71" i="10"/>
  <c r="G76" i="10"/>
  <c r="G77" i="10"/>
  <c r="G64" i="10"/>
  <c r="G63" i="10"/>
  <c r="G59" i="10"/>
  <c r="G58" i="10"/>
  <c r="G60" i="10" l="1"/>
  <c r="G73" i="10"/>
  <c r="G78" i="10"/>
  <c r="G65" i="10"/>
  <c r="C31" i="10" l="1" a="1"/>
  <c r="C31" i="10" s="1"/>
  <c r="C23" i="10" a="1"/>
  <c r="C23" i="10" s="1"/>
  <c r="C17" i="10" a="1"/>
  <c r="C17" i="10" s="1"/>
  <c r="D506" i="10"/>
  <c r="H506" i="10" s="1"/>
  <c r="D507" i="10"/>
  <c r="G507" i="10" s="1"/>
  <c r="D504" i="10"/>
  <c r="D492" i="10"/>
  <c r="J492" i="10" s="1"/>
  <c r="D495" i="10"/>
  <c r="H495" i="10" s="1"/>
  <c r="D499" i="10"/>
  <c r="BO477" i="10"/>
  <c r="BN477" i="10"/>
  <c r="BM477" i="10"/>
  <c r="BL477" i="10"/>
  <c r="BK477" i="10"/>
  <c r="BJ477" i="10"/>
  <c r="BI477" i="10"/>
  <c r="BH477" i="10"/>
  <c r="BG477" i="10"/>
  <c r="BF477" i="10"/>
  <c r="BE477" i="10"/>
  <c r="BD477" i="10"/>
  <c r="BC477" i="10"/>
  <c r="BB477" i="10"/>
  <c r="BA477" i="10"/>
  <c r="AZ477" i="10"/>
  <c r="AY477" i="10"/>
  <c r="AX477" i="10"/>
  <c r="AW477" i="10"/>
  <c r="AV477" i="10"/>
  <c r="AU477" i="10"/>
  <c r="AT477" i="10"/>
  <c r="AS477" i="10"/>
  <c r="AR477" i="10"/>
  <c r="AQ477" i="10"/>
  <c r="AP477" i="10"/>
  <c r="AO477" i="10"/>
  <c r="AN477" i="10"/>
  <c r="AM477" i="10"/>
  <c r="AL477" i="10"/>
  <c r="AK477" i="10"/>
  <c r="AJ477" i="10"/>
  <c r="AI477" i="10"/>
  <c r="AH477" i="10"/>
  <c r="AG477" i="10"/>
  <c r="AF477" i="10"/>
  <c r="AE477" i="10"/>
  <c r="AD477" i="10"/>
  <c r="AC477" i="10"/>
  <c r="AB477" i="10"/>
  <c r="AA477" i="10"/>
  <c r="Z477" i="10"/>
  <c r="Y477" i="10"/>
  <c r="X477" i="10"/>
  <c r="W477" i="10"/>
  <c r="V477" i="10"/>
  <c r="U477" i="10"/>
  <c r="T477" i="10"/>
  <c r="S477" i="10"/>
  <c r="R477" i="10"/>
  <c r="Q477" i="10"/>
  <c r="P477" i="10"/>
  <c r="O477" i="10"/>
  <c r="N477" i="10"/>
  <c r="M477" i="10"/>
  <c r="L477" i="10"/>
  <c r="K477" i="10"/>
  <c r="J477" i="10"/>
  <c r="I477" i="10"/>
  <c r="H477" i="10"/>
  <c r="BO459" i="10"/>
  <c r="BN459" i="10"/>
  <c r="BM459" i="10"/>
  <c r="BL459" i="10"/>
  <c r="BK459" i="10"/>
  <c r="BJ459" i="10"/>
  <c r="BI459" i="10"/>
  <c r="BH459" i="10"/>
  <c r="BG459" i="10"/>
  <c r="BF459" i="10"/>
  <c r="BE459" i="10"/>
  <c r="BD459" i="10"/>
  <c r="BC459" i="10"/>
  <c r="BB459" i="10"/>
  <c r="BA459" i="10"/>
  <c r="AZ459" i="10"/>
  <c r="AY459" i="10"/>
  <c r="AX459" i="10"/>
  <c r="AW459" i="10"/>
  <c r="AV459" i="10"/>
  <c r="AU459" i="10"/>
  <c r="AT459" i="10"/>
  <c r="AS459" i="10"/>
  <c r="AR459" i="10"/>
  <c r="AQ459" i="10"/>
  <c r="AP459" i="10"/>
  <c r="AO459" i="10"/>
  <c r="AN459" i="10"/>
  <c r="AM459" i="10"/>
  <c r="AL459" i="10"/>
  <c r="AK459" i="10"/>
  <c r="AJ459" i="10"/>
  <c r="AI459" i="10"/>
  <c r="AH459" i="10"/>
  <c r="AG459" i="10"/>
  <c r="AF459" i="10"/>
  <c r="AE459" i="10"/>
  <c r="AD459" i="10"/>
  <c r="AC459" i="10"/>
  <c r="AB459" i="10"/>
  <c r="AA459" i="10"/>
  <c r="Z459" i="10"/>
  <c r="Y459" i="10"/>
  <c r="X459" i="10"/>
  <c r="W459" i="10"/>
  <c r="V459" i="10"/>
  <c r="U459" i="10"/>
  <c r="T459" i="10"/>
  <c r="S459" i="10"/>
  <c r="R459" i="10"/>
  <c r="Q459" i="10"/>
  <c r="P459" i="10"/>
  <c r="O459" i="10"/>
  <c r="N459" i="10"/>
  <c r="M459" i="10"/>
  <c r="L459" i="10"/>
  <c r="K459" i="10"/>
  <c r="J459" i="10"/>
  <c r="I459" i="10"/>
  <c r="H459" i="10"/>
  <c r="D484" i="10"/>
  <c r="H484" i="10" s="1"/>
  <c r="D488" i="10"/>
  <c r="D486" i="10"/>
  <c r="D478" i="10"/>
  <c r="D476" i="10"/>
  <c r="H476" i="10" s="1"/>
  <c r="D466" i="10"/>
  <c r="D465" i="10"/>
  <c r="H464" i="10"/>
  <c r="D460" i="10"/>
  <c r="D458" i="10"/>
  <c r="H458" i="10" s="1"/>
  <c r="D445" i="10"/>
  <c r="BO445" i="10" s="1"/>
  <c r="BD443" i="10"/>
  <c r="D444" i="10"/>
  <c r="G444" i="10" s="1"/>
  <c r="G427" i="10" a="1"/>
  <c r="G427" i="10" s="1"/>
  <c r="D425" i="10"/>
  <c r="D328" i="10"/>
  <c r="D426" i="10"/>
  <c r="C395" i="10" a="1"/>
  <c r="C395" i="10" s="1"/>
  <c r="C363" i="10" a="1"/>
  <c r="C363" i="10" s="1"/>
  <c r="C331" i="10" a="1"/>
  <c r="C331" i="10" s="1"/>
  <c r="D363" i="10" s="1"/>
  <c r="D359" i="10"/>
  <c r="C280" i="10" a="1"/>
  <c r="C280" i="10" s="1"/>
  <c r="D326" i="10"/>
  <c r="D318" i="10"/>
  <c r="D317" i="10"/>
  <c r="S497" i="10" l="1"/>
  <c r="AE497" i="10"/>
  <c r="AQ497" i="10"/>
  <c r="BC497" i="10"/>
  <c r="BO497" i="10"/>
  <c r="AC497" i="10"/>
  <c r="AD497" i="10"/>
  <c r="H497" i="10"/>
  <c r="T497" i="10"/>
  <c r="AF497" i="10"/>
  <c r="AR497" i="10"/>
  <c r="BD497" i="10"/>
  <c r="J497" i="10"/>
  <c r="AH497" i="10"/>
  <c r="AT497" i="10"/>
  <c r="BF497" i="10"/>
  <c r="K497" i="10"/>
  <c r="W497" i="10"/>
  <c r="AI497" i="10"/>
  <c r="AU497" i="10"/>
  <c r="BG497" i="10"/>
  <c r="L497" i="10"/>
  <c r="X497" i="10"/>
  <c r="AJ497" i="10"/>
  <c r="AV497" i="10"/>
  <c r="BH497" i="10"/>
  <c r="M497" i="10"/>
  <c r="AK497" i="10"/>
  <c r="AW497" i="10"/>
  <c r="BI497" i="10"/>
  <c r="N497" i="10"/>
  <c r="Z497" i="10"/>
  <c r="AL497" i="10"/>
  <c r="AX497" i="10"/>
  <c r="BJ497" i="10"/>
  <c r="O497" i="10"/>
  <c r="AM497" i="10"/>
  <c r="AY497" i="10"/>
  <c r="BK497" i="10"/>
  <c r="P497" i="10"/>
  <c r="AB497" i="10"/>
  <c r="AN497" i="10"/>
  <c r="AZ497" i="10"/>
  <c r="BL497" i="10"/>
  <c r="Q497" i="10"/>
  <c r="BA497" i="10"/>
  <c r="BM497" i="10"/>
  <c r="R497" i="10"/>
  <c r="AP497" i="10"/>
  <c r="BB497" i="10"/>
  <c r="BN497" i="10"/>
  <c r="I497" i="10"/>
  <c r="U497" i="10"/>
  <c r="AG497" i="10"/>
  <c r="AS497" i="10"/>
  <c r="BE497" i="10"/>
  <c r="V497" i="10"/>
  <c r="Y497" i="10"/>
  <c r="AA497" i="10"/>
  <c r="AO497" i="10"/>
  <c r="H98" i="10" a="1"/>
  <c r="H98" i="10" s="1"/>
  <c r="BD492" i="10"/>
  <c r="AE492" i="10"/>
  <c r="AP492" i="10"/>
  <c r="BA492" i="10"/>
  <c r="BL492" i="10"/>
  <c r="AZ492" i="10"/>
  <c r="AN492" i="10"/>
  <c r="AB492" i="10"/>
  <c r="P492" i="10"/>
  <c r="BJ492" i="10"/>
  <c r="AX492" i="10"/>
  <c r="AL492" i="10"/>
  <c r="Z492" i="10"/>
  <c r="N492" i="10"/>
  <c r="BE492" i="10"/>
  <c r="AS492" i="10"/>
  <c r="AG492" i="10"/>
  <c r="U492" i="10"/>
  <c r="I492" i="10"/>
  <c r="H492" i="10"/>
  <c r="AR492" i="10"/>
  <c r="AF492" i="10"/>
  <c r="T492" i="10"/>
  <c r="BO492" i="10"/>
  <c r="BC492" i="10"/>
  <c r="AQ492" i="10"/>
  <c r="S492" i="10"/>
  <c r="BN492" i="10"/>
  <c r="BB492" i="10"/>
  <c r="AD492" i="10"/>
  <c r="R492" i="10"/>
  <c r="BM492" i="10"/>
  <c r="AO492" i="10"/>
  <c r="AC492" i="10"/>
  <c r="Q492" i="10"/>
  <c r="BK492" i="10"/>
  <c r="AY492" i="10"/>
  <c r="AM492" i="10"/>
  <c r="AA492" i="10"/>
  <c r="O492" i="10"/>
  <c r="BI492" i="10"/>
  <c r="AW492" i="10"/>
  <c r="AK492" i="10"/>
  <c r="Y492" i="10"/>
  <c r="M492" i="10"/>
  <c r="BH492" i="10"/>
  <c r="AV492" i="10"/>
  <c r="AJ492" i="10"/>
  <c r="X492" i="10"/>
  <c r="L492" i="10"/>
  <c r="BG492" i="10"/>
  <c r="AU492" i="10"/>
  <c r="AI492" i="10"/>
  <c r="W492" i="10"/>
  <c r="K492" i="10"/>
  <c r="BF492" i="10"/>
  <c r="AT492" i="10"/>
  <c r="AH492" i="10"/>
  <c r="V492" i="10"/>
  <c r="BH486" i="10"/>
  <c r="AV486" i="10"/>
  <c r="AJ486" i="10"/>
  <c r="X486" i="10"/>
  <c r="L486" i="10"/>
  <c r="BG486" i="10"/>
  <c r="AU486" i="10"/>
  <c r="AI486" i="10"/>
  <c r="W486" i="10"/>
  <c r="K486" i="10"/>
  <c r="BE486" i="10"/>
  <c r="AS486" i="10"/>
  <c r="AG486" i="10"/>
  <c r="U486" i="10"/>
  <c r="BN486" i="10"/>
  <c r="BB486" i="10"/>
  <c r="AP486" i="10"/>
  <c r="AD486" i="10"/>
  <c r="R486" i="10"/>
  <c r="BM486" i="10"/>
  <c r="BA486" i="10"/>
  <c r="AO486" i="10"/>
  <c r="AC486" i="10"/>
  <c r="Q486" i="10"/>
  <c r="Y486" i="10"/>
  <c r="BF486" i="10"/>
  <c r="AH486" i="10"/>
  <c r="J486" i="10"/>
  <c r="AF486" i="10"/>
  <c r="BC486" i="10"/>
  <c r="AE486" i="10"/>
  <c r="AW486" i="10"/>
  <c r="BL486" i="10"/>
  <c r="AZ486" i="10"/>
  <c r="AN486" i="10"/>
  <c r="AB486" i="10"/>
  <c r="P486" i="10"/>
  <c r="H488" i="10"/>
  <c r="BK486" i="10"/>
  <c r="AY486" i="10"/>
  <c r="AM486" i="10"/>
  <c r="AA486" i="10"/>
  <c r="O486" i="10"/>
  <c r="H486" i="10"/>
  <c r="BJ486" i="10"/>
  <c r="AX486" i="10"/>
  <c r="AL486" i="10"/>
  <c r="Z486" i="10"/>
  <c r="N486" i="10"/>
  <c r="BI486" i="10"/>
  <c r="AK486" i="10"/>
  <c r="M486" i="10"/>
  <c r="AT486" i="10"/>
  <c r="V486" i="10"/>
  <c r="BD486" i="10"/>
  <c r="AR486" i="10"/>
  <c r="T486" i="10"/>
  <c r="BO486" i="10"/>
  <c r="AQ486" i="10"/>
  <c r="S486" i="10"/>
  <c r="I486" i="10"/>
  <c r="H445" i="10"/>
  <c r="I445" i="10"/>
  <c r="AR445" i="10"/>
  <c r="AY445" i="10"/>
  <c r="AZ445" i="10"/>
  <c r="BF443" i="10"/>
  <c r="W445" i="10"/>
  <c r="AA445" i="10"/>
  <c r="BF445" i="10"/>
  <c r="N445" i="10"/>
  <c r="O443" i="10"/>
  <c r="V445" i="10"/>
  <c r="AG443" i="10"/>
  <c r="AW443" i="10"/>
  <c r="AK445" i="10"/>
  <c r="G445" i="10"/>
  <c r="M445" i="10"/>
  <c r="M443" i="10"/>
  <c r="BG445" i="10"/>
  <c r="V443" i="10"/>
  <c r="AH443" i="10"/>
  <c r="AB445" i="10"/>
  <c r="G443" i="10"/>
  <c r="AM443" i="10"/>
  <c r="AJ445" i="10"/>
  <c r="AY443" i="10"/>
  <c r="AO445" i="10"/>
  <c r="K443" i="10"/>
  <c r="AB443" i="10"/>
  <c r="AU443" i="10"/>
  <c r="BL443" i="10"/>
  <c r="T445" i="10"/>
  <c r="AH445" i="10"/>
  <c r="AV445" i="10"/>
  <c r="BL445" i="10"/>
  <c r="W443" i="10"/>
  <c r="AN443" i="10"/>
  <c r="BG443" i="10"/>
  <c r="X443" i="10"/>
  <c r="AO443" i="10"/>
  <c r="BH443" i="10"/>
  <c r="O445" i="10"/>
  <c r="AC445" i="10"/>
  <c r="AS445" i="10"/>
  <c r="BH445" i="10"/>
  <c r="I443" i="10"/>
  <c r="Y443" i="10"/>
  <c r="AS443" i="10"/>
  <c r="BI443" i="10"/>
  <c r="P445" i="10"/>
  <c r="AF445" i="10"/>
  <c r="AT445" i="10"/>
  <c r="BJ445" i="10"/>
  <c r="J443" i="10"/>
  <c r="AA443" i="10"/>
  <c r="AT443" i="10"/>
  <c r="BK443" i="10"/>
  <c r="Q445" i="10"/>
  <c r="AG445" i="10"/>
  <c r="AU445" i="10"/>
  <c r="BK445" i="10"/>
  <c r="L443" i="10"/>
  <c r="AC443" i="10"/>
  <c r="AV443" i="10"/>
  <c r="BM443" i="10"/>
  <c r="U445" i="10"/>
  <c r="AI445" i="10"/>
  <c r="AX445" i="10"/>
  <c r="BM445" i="10"/>
  <c r="P443" i="10"/>
  <c r="AI443" i="10"/>
  <c r="AZ443" i="10"/>
  <c r="J445" i="10"/>
  <c r="X445" i="10"/>
  <c r="AL445" i="10"/>
  <c r="BA445" i="10"/>
  <c r="Q443" i="10"/>
  <c r="AJ443" i="10"/>
  <c r="BA443" i="10"/>
  <c r="K445" i="10"/>
  <c r="Y445" i="10"/>
  <c r="AM445" i="10"/>
  <c r="BD445" i="10"/>
  <c r="U443" i="10"/>
  <c r="AK443" i="10"/>
  <c r="BE443" i="10"/>
  <c r="L445" i="10"/>
  <c r="Z445" i="10"/>
  <c r="AN445" i="10"/>
  <c r="BE445" i="10"/>
  <c r="N443" i="10"/>
  <c r="Z443" i="10"/>
  <c r="AL443" i="10"/>
  <c r="AX443" i="10"/>
  <c r="BJ443" i="10"/>
  <c r="AW445" i="10"/>
  <c r="BI445" i="10"/>
  <c r="AD443" i="10"/>
  <c r="BB443" i="10"/>
  <c r="S443" i="10"/>
  <c r="AE443" i="10"/>
  <c r="AQ443" i="10"/>
  <c r="BC443" i="10"/>
  <c r="BO443" i="10"/>
  <c r="R445" i="10"/>
  <c r="AD445" i="10"/>
  <c r="AP445" i="10"/>
  <c r="BB445" i="10"/>
  <c r="BN445" i="10"/>
  <c r="R443" i="10"/>
  <c r="AP443" i="10"/>
  <c r="BN443" i="10"/>
  <c r="H443" i="10"/>
  <c r="T443" i="10"/>
  <c r="AF443" i="10"/>
  <c r="AR443" i="10"/>
  <c r="S445" i="10"/>
  <c r="AE445" i="10"/>
  <c r="AQ445" i="10"/>
  <c r="BC445" i="10"/>
  <c r="D340" i="10"/>
  <c r="D352" i="10"/>
  <c r="D353" i="10"/>
  <c r="D354" i="10"/>
  <c r="D331" i="10"/>
  <c r="D343" i="10"/>
  <c r="D355" i="10"/>
  <c r="D341" i="10"/>
  <c r="D342" i="10"/>
  <c r="D332" i="10"/>
  <c r="D344" i="10"/>
  <c r="D356" i="10"/>
  <c r="D333" i="10"/>
  <c r="D345" i="10"/>
  <c r="D351" i="10"/>
  <c r="D336" i="10"/>
  <c r="D348" i="10"/>
  <c r="D339" i="10"/>
  <c r="D334" i="10"/>
  <c r="D346" i="10"/>
  <c r="D335" i="10"/>
  <c r="D347" i="10"/>
  <c r="D337" i="10"/>
  <c r="D349" i="10"/>
  <c r="D338" i="10"/>
  <c r="D350" i="10"/>
  <c r="D385" i="10"/>
  <c r="D373" i="10"/>
  <c r="D374" i="10"/>
  <c r="D386" i="10"/>
  <c r="D375" i="10"/>
  <c r="D387" i="10"/>
  <c r="D380" i="10"/>
  <c r="D381" i="10"/>
  <c r="D370" i="10"/>
  <c r="D382" i="10"/>
  <c r="D371" i="10"/>
  <c r="D372" i="10"/>
  <c r="D384" i="10"/>
  <c r="D364" i="10"/>
  <c r="D376" i="10"/>
  <c r="D388" i="10"/>
  <c r="D367" i="10"/>
  <c r="D368" i="10"/>
  <c r="D369" i="10"/>
  <c r="D383" i="10"/>
  <c r="D365" i="10"/>
  <c r="D377" i="10"/>
  <c r="D379" i="10"/>
  <c r="D366" i="10"/>
  <c r="D378" i="10"/>
  <c r="L9" i="9" a="1"/>
  <c r="L9" i="9" s="1"/>
  <c r="C247" i="10" a="1"/>
  <c r="D284" i="10" s="1"/>
  <c r="D277" i="10"/>
  <c r="D185" i="10"/>
  <c r="D183" i="10"/>
  <c r="C218" i="10" a="1"/>
  <c r="E243" i="10" s="1"/>
  <c r="C188" i="10" a="1"/>
  <c r="C127" i="10" a="1"/>
  <c r="C156" i="10" a="1"/>
  <c r="C156" i="10" s="1"/>
  <c r="D156" i="10" s="1"/>
  <c r="H102" i="10" l="1" a="1"/>
  <c r="H102" i="10" s="1"/>
  <c r="C127" i="10"/>
  <c r="C188" i="10"/>
  <c r="H519" i="10" a="1"/>
  <c r="H519" i="10" s="1"/>
  <c r="H487" i="10"/>
  <c r="I484" i="10" s="1"/>
  <c r="H498" i="10"/>
  <c r="I495" i="10" s="1"/>
  <c r="H103" i="10" a="1"/>
  <c r="H103" i="10" s="1"/>
  <c r="E223" i="10"/>
  <c r="E239" i="10"/>
  <c r="E253" i="10"/>
  <c r="E260" i="10"/>
  <c r="E267" i="10"/>
  <c r="D288" i="10"/>
  <c r="D232" i="10"/>
  <c r="E257" i="10"/>
  <c r="E271" i="10"/>
  <c r="E293" i="10"/>
  <c r="D250" i="10"/>
  <c r="D265" i="10"/>
  <c r="D301" i="10"/>
  <c r="E282" i="10"/>
  <c r="E251" i="10"/>
  <c r="E258" i="10"/>
  <c r="E272" i="10"/>
  <c r="E300" i="10"/>
  <c r="E292" i="10"/>
  <c r="D282" i="10"/>
  <c r="E233" i="10"/>
  <c r="E281" i="10"/>
  <c r="D219" i="10"/>
  <c r="E238" i="10"/>
  <c r="E252" i="10"/>
  <c r="E259" i="10"/>
  <c r="E266" i="10"/>
  <c r="E299" i="10"/>
  <c r="E289" i="10"/>
  <c r="D281" i="10"/>
  <c r="D225" i="10"/>
  <c r="D240" i="10"/>
  <c r="D254" i="10"/>
  <c r="D261" i="10"/>
  <c r="D268" i="10"/>
  <c r="D298" i="10"/>
  <c r="E249" i="10"/>
  <c r="E264" i="10"/>
  <c r="E301" i="10"/>
  <c r="D283" i="10"/>
  <c r="E232" i="10"/>
  <c r="D258" i="10"/>
  <c r="D272" i="10"/>
  <c r="D293" i="10"/>
  <c r="D233" i="10"/>
  <c r="E265" i="10"/>
  <c r="D252" i="10"/>
  <c r="D259" i="10"/>
  <c r="D266" i="10"/>
  <c r="D300" i="10"/>
  <c r="D292" i="10"/>
  <c r="E219" i="10"/>
  <c r="D239" i="10"/>
  <c r="D253" i="10"/>
  <c r="D260" i="10"/>
  <c r="D267" i="10"/>
  <c r="D299" i="10"/>
  <c r="D289" i="10"/>
  <c r="E298" i="10"/>
  <c r="E288" i="10"/>
  <c r="D226" i="10"/>
  <c r="D255" i="10"/>
  <c r="D262" i="10"/>
  <c r="D270" i="10"/>
  <c r="D295" i="10"/>
  <c r="D287" i="10"/>
  <c r="E226" i="10"/>
  <c r="E248" i="10"/>
  <c r="E255" i="10"/>
  <c r="E263" i="10"/>
  <c r="E270" i="10"/>
  <c r="E304" i="10"/>
  <c r="E294" i="10"/>
  <c r="D286" i="10"/>
  <c r="E225" i="10"/>
  <c r="E240" i="10"/>
  <c r="E254" i="10"/>
  <c r="E261" i="10"/>
  <c r="E269" i="10"/>
  <c r="E305" i="10"/>
  <c r="E295" i="10"/>
  <c r="E287" i="10"/>
  <c r="D248" i="10"/>
  <c r="D305" i="10"/>
  <c r="E231" i="10"/>
  <c r="D249" i="10"/>
  <c r="D256" i="10"/>
  <c r="D264" i="10"/>
  <c r="D271" i="10"/>
  <c r="D304" i="10"/>
  <c r="D294" i="10"/>
  <c r="E283" i="10"/>
  <c r="E220" i="10"/>
  <c r="E227" i="10"/>
  <c r="E234" i="10"/>
  <c r="E241" i="10"/>
  <c r="E221" i="10"/>
  <c r="E228" i="10"/>
  <c r="E235" i="10"/>
  <c r="E242" i="10"/>
  <c r="E236" i="10"/>
  <c r="E230" i="10"/>
  <c r="E224" i="10"/>
  <c r="D242" i="10"/>
  <c r="D236" i="10"/>
  <c r="D230" i="10"/>
  <c r="D224" i="10"/>
  <c r="D221" i="10"/>
  <c r="D228" i="10"/>
  <c r="D235" i="10"/>
  <c r="D243" i="10"/>
  <c r="D222" i="10"/>
  <c r="D229" i="10"/>
  <c r="D237" i="10"/>
  <c r="D220" i="10"/>
  <c r="D227" i="10"/>
  <c r="D234" i="10"/>
  <c r="D241" i="10"/>
  <c r="E222" i="10"/>
  <c r="E229" i="10"/>
  <c r="E237" i="10"/>
  <c r="D223" i="10"/>
  <c r="D231" i="10"/>
  <c r="D238" i="10"/>
  <c r="E286" i="10"/>
  <c r="E303" i="10"/>
  <c r="E297" i="10"/>
  <c r="E291" i="10"/>
  <c r="E285" i="10"/>
  <c r="E250" i="10"/>
  <c r="E256" i="10"/>
  <c r="E262" i="10"/>
  <c r="E268" i="10"/>
  <c r="D303" i="10"/>
  <c r="D297" i="10"/>
  <c r="D291" i="10"/>
  <c r="D285" i="10"/>
  <c r="D251" i="10"/>
  <c r="D257" i="10"/>
  <c r="D263" i="10"/>
  <c r="D269" i="10"/>
  <c r="C247" i="10"/>
  <c r="E302" i="10"/>
  <c r="E296" i="10"/>
  <c r="E290" i="10"/>
  <c r="E284" i="10"/>
  <c r="D302" i="10"/>
  <c r="D296" i="10"/>
  <c r="D290" i="10"/>
  <c r="C218" i="10"/>
  <c r="D167" i="10"/>
  <c r="D179" i="10"/>
  <c r="D168" i="10"/>
  <c r="D180" i="10"/>
  <c r="D161" i="10"/>
  <c r="D162" i="10"/>
  <c r="D175" i="10"/>
  <c r="D176" i="10"/>
  <c r="D177" i="10"/>
  <c r="D166" i="10"/>
  <c r="D178" i="10"/>
  <c r="D157" i="10"/>
  <c r="D169" i="10"/>
  <c r="D181" i="10"/>
  <c r="D173" i="10"/>
  <c r="D174" i="10"/>
  <c r="D163" i="10"/>
  <c r="D164" i="10"/>
  <c r="D165" i="10"/>
  <c r="D158" i="10"/>
  <c r="D170" i="10"/>
  <c r="D159" i="10"/>
  <c r="D171" i="10"/>
  <c r="D160" i="10"/>
  <c r="D172" i="10"/>
  <c r="C12" i="13" l="1"/>
  <c r="H124" i="10" a="1"/>
  <c r="BB124" i="10" s="1"/>
  <c r="I498" i="10"/>
  <c r="J495" i="10" s="1"/>
  <c r="J498" i="10" s="1"/>
  <c r="K495" i="10" s="1"/>
  <c r="I487" i="10"/>
  <c r="J484" i="10" s="1"/>
  <c r="J487" i="10" s="1"/>
  <c r="K484" i="10" s="1"/>
  <c r="I488" i="10"/>
  <c r="J488" i="10"/>
  <c r="E280" i="10"/>
  <c r="D280" i="10"/>
  <c r="D247" i="10"/>
  <c r="E247" i="10"/>
  <c r="D218" i="10"/>
  <c r="E218" i="10"/>
  <c r="E12" i="11" s="1"/>
  <c r="D12" i="11" s="1"/>
  <c r="H124" i="10"/>
  <c r="BD124" i="10"/>
  <c r="AR124" i="10"/>
  <c r="AK124" i="10"/>
  <c r="BK124" i="10" s="1"/>
  <c r="AW124" i="10"/>
  <c r="AI124" i="10"/>
  <c r="BI124" i="10" s="1"/>
  <c r="AU124" i="10"/>
  <c r="AT124" i="10"/>
  <c r="BG124" i="10"/>
  <c r="AS124" i="10"/>
  <c r="AV124" i="10"/>
  <c r="AM124" i="10"/>
  <c r="BM124" i="10" s="1"/>
  <c r="BE124" i="10"/>
  <c r="BC124" i="10"/>
  <c r="BA124" i="10"/>
  <c r="AZ124" i="10"/>
  <c r="AX124" i="10"/>
  <c r="AN124" i="10"/>
  <c r="BN124" i="10" s="1"/>
  <c r="AQ124" i="10"/>
  <c r="AO124" i="10"/>
  <c r="BO124" i="10" s="1"/>
  <c r="BF124" i="10" l="1"/>
  <c r="AY124" i="10"/>
  <c r="AJ124" i="10"/>
  <c r="BJ124" i="10" s="1"/>
  <c r="AP124" i="10"/>
  <c r="AL124" i="10"/>
  <c r="BL124" i="10" s="1"/>
  <c r="K498" i="10"/>
  <c r="K487" i="10"/>
  <c r="L484" i="10" s="1"/>
  <c r="K488" i="10"/>
  <c r="AH124" i="10"/>
  <c r="BH124" i="10" s="1"/>
  <c r="L495" i="10" l="1"/>
  <c r="L498" i="10" s="1"/>
  <c r="M495" i="10" s="1"/>
  <c r="L487" i="10"/>
  <c r="M484" i="10" s="1"/>
  <c r="L488" i="10"/>
  <c r="M498" i="10" l="1"/>
  <c r="N495" i="10" s="1"/>
  <c r="M487" i="10"/>
  <c r="N484" i="10" s="1"/>
  <c r="M488" i="10"/>
  <c r="N498" i="10" l="1"/>
  <c r="O495" i="10" s="1"/>
  <c r="N487" i="10"/>
  <c r="O484" i="10" s="1"/>
  <c r="N488" i="10"/>
  <c r="O498" i="10" l="1"/>
  <c r="P495" i="10" s="1"/>
  <c r="O487" i="10"/>
  <c r="P484" i="10" s="1"/>
  <c r="O488" i="10"/>
  <c r="P498" i="10" l="1"/>
  <c r="Q495" i="10" s="1"/>
  <c r="P488" i="10"/>
  <c r="P487" i="10"/>
  <c r="Q484" i="10" s="1"/>
  <c r="Q498" i="10" l="1"/>
  <c r="R495" i="10" s="1"/>
  <c r="Q488" i="10"/>
  <c r="Q487" i="10"/>
  <c r="R484" i="10" s="1"/>
  <c r="R498" i="10" l="1"/>
  <c r="S495" i="10" s="1"/>
  <c r="R488" i="10"/>
  <c r="R487" i="10"/>
  <c r="S484" i="10" s="1"/>
  <c r="S498" i="10" l="1"/>
  <c r="T495" i="10" s="1"/>
  <c r="S488" i="10"/>
  <c r="S487" i="10"/>
  <c r="T484" i="10" s="1"/>
  <c r="T498" i="10" l="1"/>
  <c r="U495" i="10" s="1"/>
  <c r="T487" i="10"/>
  <c r="U484" i="10" s="1"/>
  <c r="T488" i="10"/>
  <c r="U498" i="10" l="1"/>
  <c r="V495" i="10" s="1"/>
  <c r="U487" i="10"/>
  <c r="V484" i="10" s="1"/>
  <c r="U488" i="10"/>
  <c r="V498" i="10" l="1"/>
  <c r="W495" i="10" s="1"/>
  <c r="V487" i="10"/>
  <c r="W484" i="10" s="1"/>
  <c r="V488" i="10"/>
  <c r="W498" i="10" l="1"/>
  <c r="X495" i="10" s="1"/>
  <c r="W487" i="10"/>
  <c r="X484" i="10" s="1"/>
  <c r="W488" i="10"/>
  <c r="X498" i="10" l="1"/>
  <c r="Y495" i="10" s="1"/>
  <c r="X487" i="10"/>
  <c r="Y484" i="10" s="1"/>
  <c r="X488" i="10"/>
  <c r="Y498" i="10" l="1"/>
  <c r="Z495" i="10" s="1"/>
  <c r="Y487" i="10"/>
  <c r="Z484" i="10" s="1"/>
  <c r="Y488" i="10"/>
  <c r="Z498" i="10" l="1"/>
  <c r="AA495" i="10" s="1"/>
  <c r="Z487" i="10"/>
  <c r="AA484" i="10" s="1"/>
  <c r="Z488" i="10"/>
  <c r="AA498" i="10" l="1"/>
  <c r="AB495" i="10" s="1"/>
  <c r="AA487" i="10"/>
  <c r="AB484" i="10" s="1"/>
  <c r="AA488" i="10"/>
  <c r="AB498" i="10" l="1"/>
  <c r="AC495" i="10" s="1"/>
  <c r="AB488" i="10"/>
  <c r="AB487" i="10"/>
  <c r="AC484" i="10" s="1"/>
  <c r="AC498" i="10" l="1"/>
  <c r="AD495" i="10" s="1"/>
  <c r="AC488" i="10"/>
  <c r="AC487" i="10"/>
  <c r="AD484" i="10" s="1"/>
  <c r="AD498" i="10" l="1"/>
  <c r="AE495" i="10" s="1"/>
  <c r="AD488" i="10"/>
  <c r="AD487" i="10"/>
  <c r="AE484" i="10" s="1"/>
  <c r="AE498" i="10" l="1"/>
  <c r="AF495" i="10" s="1"/>
  <c r="AE487" i="10"/>
  <c r="AF484" i="10" s="1"/>
  <c r="AE488" i="10"/>
  <c r="AF498" i="10" l="1"/>
  <c r="AG495" i="10" s="1"/>
  <c r="AF488" i="10"/>
  <c r="AF487" i="10"/>
  <c r="AG484" i="10" s="1"/>
  <c r="AG498" i="10" l="1"/>
  <c r="AH495" i="10" s="1"/>
  <c r="AG488" i="10"/>
  <c r="AG487" i="10"/>
  <c r="AH484" i="10" s="1"/>
  <c r="AH498" i="10" l="1"/>
  <c r="AI495" i="10" s="1"/>
  <c r="AH487" i="10"/>
  <c r="AI484" i="10" s="1"/>
  <c r="AH488" i="10"/>
  <c r="AI498" i="10" l="1"/>
  <c r="AJ495" i="10" s="1"/>
  <c r="AI487" i="10"/>
  <c r="AJ484" i="10" s="1"/>
  <c r="AI488" i="10"/>
  <c r="AJ498" i="10" l="1"/>
  <c r="AK495" i="10" s="1"/>
  <c r="AJ487" i="10"/>
  <c r="AK484" i="10" s="1"/>
  <c r="AJ488" i="10"/>
  <c r="AK498" i="10" l="1"/>
  <c r="AL495" i="10" s="1"/>
  <c r="AK487" i="10"/>
  <c r="AL484" i="10" s="1"/>
  <c r="AK488" i="10"/>
  <c r="AL498" i="10" l="1"/>
  <c r="AM495" i="10" s="1"/>
  <c r="AL487" i="10"/>
  <c r="AM484" i="10" s="1"/>
  <c r="AL488" i="10"/>
  <c r="AM498" i="10" l="1"/>
  <c r="AN495" i="10" s="1"/>
  <c r="AM488" i="10"/>
  <c r="AM487" i="10"/>
  <c r="AN484" i="10" s="1"/>
  <c r="AN498" i="10" l="1"/>
  <c r="AO495" i="10" s="1"/>
  <c r="AN487" i="10"/>
  <c r="AO484" i="10" s="1"/>
  <c r="AN488" i="10"/>
  <c r="AO498" i="10" l="1"/>
  <c r="AP495" i="10" s="1"/>
  <c r="AO488" i="10"/>
  <c r="AO487" i="10"/>
  <c r="AP484" i="10" s="1"/>
  <c r="AP498" i="10" l="1"/>
  <c r="AQ495" i="10" s="1"/>
  <c r="AP488" i="10"/>
  <c r="AP487" i="10"/>
  <c r="AQ484" i="10" s="1"/>
  <c r="AQ498" i="10" l="1"/>
  <c r="AR495" i="10" s="1"/>
  <c r="AQ488" i="10"/>
  <c r="AQ487" i="10"/>
  <c r="AR484" i="10" s="1"/>
  <c r="AR498" i="10" l="1"/>
  <c r="AS495" i="10" s="1"/>
  <c r="AR488" i="10"/>
  <c r="AR487" i="10"/>
  <c r="AS484" i="10" s="1"/>
  <c r="AS498" i="10" l="1"/>
  <c r="AT495" i="10" s="1"/>
  <c r="AS487" i="10"/>
  <c r="AT484" i="10" s="1"/>
  <c r="AS488" i="10"/>
  <c r="AT498" i="10" l="1"/>
  <c r="AU495" i="10" s="1"/>
  <c r="AT487" i="10"/>
  <c r="AU484" i="10" s="1"/>
  <c r="AT488" i="10"/>
  <c r="AU498" i="10" l="1"/>
  <c r="AV495" i="10" s="1"/>
  <c r="AU488" i="10"/>
  <c r="AU487" i="10"/>
  <c r="AV484" i="10" s="1"/>
  <c r="AV498" i="10" l="1"/>
  <c r="AW495" i="10" s="1"/>
  <c r="AV487" i="10"/>
  <c r="AW484" i="10" s="1"/>
  <c r="AV488" i="10"/>
  <c r="AW498" i="10" l="1"/>
  <c r="AX495" i="10" s="1"/>
  <c r="AW487" i="10"/>
  <c r="AX484" i="10" s="1"/>
  <c r="AW488" i="10"/>
  <c r="AX498" i="10" l="1"/>
  <c r="AY495" i="10" s="1"/>
  <c r="AX487" i="10"/>
  <c r="AY484" i="10" s="1"/>
  <c r="AX488" i="10"/>
  <c r="AY498" i="10" l="1"/>
  <c r="AZ495" i="10" s="1"/>
  <c r="AY487" i="10"/>
  <c r="AZ484" i="10" s="1"/>
  <c r="AY488" i="10"/>
  <c r="AZ498" i="10" l="1"/>
  <c r="BA495" i="10" s="1"/>
  <c r="AZ488" i="10"/>
  <c r="AZ487" i="10"/>
  <c r="BA484" i="10" s="1"/>
  <c r="BA498" i="10" l="1"/>
  <c r="BB495" i="10" s="1"/>
  <c r="BA487" i="10"/>
  <c r="BB484" i="10" s="1"/>
  <c r="BA488" i="10"/>
  <c r="BB498" i="10" l="1"/>
  <c r="BC495" i="10" s="1"/>
  <c r="BB487" i="10"/>
  <c r="BC484" i="10" s="1"/>
  <c r="BB488" i="10"/>
  <c r="BC498" i="10" l="1"/>
  <c r="BD495" i="10" s="1"/>
  <c r="BC487" i="10"/>
  <c r="BD484" i="10" s="1"/>
  <c r="BC488" i="10"/>
  <c r="BD498" i="10" l="1"/>
  <c r="BE495" i="10" s="1"/>
  <c r="BD488" i="10"/>
  <c r="BD487" i="10"/>
  <c r="BE484" i="10" s="1"/>
  <c r="BE498" i="10" l="1"/>
  <c r="BF495" i="10" s="1"/>
  <c r="BE487" i="10"/>
  <c r="BF484" i="10" s="1"/>
  <c r="BE488" i="10"/>
  <c r="BF498" i="10" l="1"/>
  <c r="BG495" i="10" s="1"/>
  <c r="BF488" i="10"/>
  <c r="BF487" i="10"/>
  <c r="BG484" i="10" s="1"/>
  <c r="BG498" i="10" l="1"/>
  <c r="BH495" i="10" s="1"/>
  <c r="BG487" i="10"/>
  <c r="BH484" i="10" s="1"/>
  <c r="BG488" i="10"/>
  <c r="BH498" i="10" l="1"/>
  <c r="BI495" i="10" s="1"/>
  <c r="BH488" i="10"/>
  <c r="BH487" i="10"/>
  <c r="BI484" i="10" s="1"/>
  <c r="BI498" i="10" l="1"/>
  <c r="BJ495" i="10" s="1"/>
  <c r="BI487" i="10"/>
  <c r="BJ484" i="10" s="1"/>
  <c r="BI488" i="10"/>
  <c r="BJ498" i="10" l="1"/>
  <c r="BK495" i="10" s="1"/>
  <c r="BJ487" i="10"/>
  <c r="BK484" i="10" s="1"/>
  <c r="BJ488" i="10"/>
  <c r="BK498" i="10" l="1"/>
  <c r="BL495" i="10" s="1"/>
  <c r="BK487" i="10"/>
  <c r="BL484" i="10" s="1"/>
  <c r="BK488" i="10"/>
  <c r="BL498" i="10" l="1"/>
  <c r="BM495" i="10" s="1"/>
  <c r="BL488" i="10"/>
  <c r="BL487" i="10"/>
  <c r="BM484" i="10" s="1"/>
  <c r="BM498" i="10" l="1"/>
  <c r="BN495" i="10" s="1"/>
  <c r="BM488" i="10"/>
  <c r="BM487" i="10"/>
  <c r="BN484" i="10" s="1"/>
  <c r="BN498" i="10" l="1"/>
  <c r="BO495" i="10" s="1"/>
  <c r="BN488" i="10"/>
  <c r="BN487" i="10"/>
  <c r="BO484" i="10" s="1"/>
  <c r="BO498" i="10" l="1"/>
  <c r="H77" i="10" s="1" a="1"/>
  <c r="H77" i="10" s="1"/>
  <c r="BO488" i="10"/>
  <c r="H510" i="10" s="1" a="1"/>
  <c r="BO487" i="10"/>
  <c r="H76" i="10" s="1" a="1"/>
  <c r="H510" i="10" l="1"/>
  <c r="H76" i="10"/>
  <c r="H78" i="10" s="1"/>
  <c r="BO78" i="10"/>
  <c r="C11" i="13" s="1"/>
  <c r="BC78" i="10"/>
  <c r="AQ78" i="10"/>
  <c r="AE78" i="10"/>
  <c r="S78" i="10"/>
  <c r="BN78" i="10"/>
  <c r="BB78" i="10"/>
  <c r="AP78" i="10"/>
  <c r="AD78" i="10"/>
  <c r="R78" i="10"/>
  <c r="AH78" i="10"/>
  <c r="AG78" i="10"/>
  <c r="BM78" i="10"/>
  <c r="BA78" i="10"/>
  <c r="AO78" i="10"/>
  <c r="AC78" i="10"/>
  <c r="Q78" i="10"/>
  <c r="BF78" i="10"/>
  <c r="V78" i="10"/>
  <c r="J78" i="10"/>
  <c r="BE78" i="10"/>
  <c r="BL78" i="10"/>
  <c r="AZ78" i="10"/>
  <c r="AN78" i="10"/>
  <c r="AB78" i="10"/>
  <c r="P78" i="10"/>
  <c r="AT78" i="10"/>
  <c r="AS78" i="10"/>
  <c r="BK78" i="10"/>
  <c r="AY78" i="10"/>
  <c r="AM78" i="10"/>
  <c r="AA78" i="10"/>
  <c r="O78" i="10"/>
  <c r="BJ78" i="10"/>
  <c r="AX78" i="10"/>
  <c r="AL78" i="10"/>
  <c r="Z78" i="10"/>
  <c r="N78" i="10"/>
  <c r="BI78" i="10"/>
  <c r="AW78" i="10"/>
  <c r="AK78" i="10"/>
  <c r="Y78" i="10"/>
  <c r="M78" i="10"/>
  <c r="BH78" i="10"/>
  <c r="AV78" i="10"/>
  <c r="AJ78" i="10"/>
  <c r="X78" i="10"/>
  <c r="L78" i="10"/>
  <c r="BG78" i="10"/>
  <c r="AU78" i="10"/>
  <c r="AI78" i="10"/>
  <c r="W78" i="10"/>
  <c r="K78" i="10"/>
  <c r="U78" i="10"/>
  <c r="I78" i="10"/>
  <c r="BD78" i="10"/>
  <c r="AR78" i="10"/>
  <c r="AF78" i="10"/>
  <c r="T78" i="10"/>
  <c r="H7" i="10"/>
  <c r="H8" i="10" s="1"/>
  <c r="D118" i="10"/>
  <c r="I7" i="10" l="1"/>
  <c r="G127" i="10" a="1"/>
  <c r="J1009" i="9"/>
  <c r="G1009" i="9"/>
  <c r="F1009" i="9"/>
  <c r="E1009" i="9"/>
  <c r="I1008" i="9"/>
  <c r="I1007" i="9"/>
  <c r="I1006" i="9"/>
  <c r="I1005" i="9"/>
  <c r="I1004" i="9"/>
  <c r="I1003" i="9"/>
  <c r="I1002" i="9"/>
  <c r="I1001" i="9"/>
  <c r="I1000" i="9"/>
  <c r="I999" i="9"/>
  <c r="I998" i="9"/>
  <c r="I997" i="9"/>
  <c r="I996" i="9"/>
  <c r="I995" i="9"/>
  <c r="I994" i="9"/>
  <c r="I993" i="9"/>
  <c r="I992" i="9"/>
  <c r="I991" i="9"/>
  <c r="I990" i="9"/>
  <c r="I989" i="9"/>
  <c r="I988" i="9"/>
  <c r="I987" i="9"/>
  <c r="I986" i="9"/>
  <c r="I985" i="9"/>
  <c r="I984" i="9"/>
  <c r="I983" i="9"/>
  <c r="I982" i="9"/>
  <c r="I981" i="9"/>
  <c r="I980" i="9"/>
  <c r="I979" i="9"/>
  <c r="I978" i="9"/>
  <c r="I977" i="9"/>
  <c r="I976" i="9"/>
  <c r="I975" i="9"/>
  <c r="I974" i="9"/>
  <c r="I973" i="9"/>
  <c r="I972" i="9"/>
  <c r="I971" i="9"/>
  <c r="I970" i="9"/>
  <c r="I969" i="9"/>
  <c r="I968" i="9"/>
  <c r="I967" i="9"/>
  <c r="I966" i="9"/>
  <c r="I965" i="9"/>
  <c r="I964" i="9"/>
  <c r="I963" i="9"/>
  <c r="I962" i="9"/>
  <c r="I961" i="9"/>
  <c r="I960" i="9"/>
  <c r="I959" i="9"/>
  <c r="I958" i="9"/>
  <c r="I957" i="9"/>
  <c r="I956" i="9"/>
  <c r="I955" i="9"/>
  <c r="I954" i="9"/>
  <c r="I953" i="9"/>
  <c r="I952" i="9"/>
  <c r="I951" i="9"/>
  <c r="I950" i="9"/>
  <c r="I949" i="9"/>
  <c r="I948" i="9"/>
  <c r="I947" i="9"/>
  <c r="I946" i="9"/>
  <c r="I945" i="9"/>
  <c r="I944" i="9"/>
  <c r="I943" i="9"/>
  <c r="I942" i="9"/>
  <c r="I941" i="9"/>
  <c r="I940" i="9"/>
  <c r="I939" i="9"/>
  <c r="I938" i="9"/>
  <c r="I937" i="9"/>
  <c r="I936" i="9"/>
  <c r="I935" i="9"/>
  <c r="I934" i="9"/>
  <c r="I933" i="9"/>
  <c r="I932" i="9"/>
  <c r="I931" i="9"/>
  <c r="I930" i="9"/>
  <c r="I929" i="9"/>
  <c r="I928" i="9"/>
  <c r="I927" i="9"/>
  <c r="I926" i="9"/>
  <c r="I925" i="9"/>
  <c r="I924" i="9"/>
  <c r="I923" i="9"/>
  <c r="I922" i="9"/>
  <c r="I921" i="9"/>
  <c r="I920" i="9"/>
  <c r="I919" i="9"/>
  <c r="I918" i="9"/>
  <c r="I917" i="9"/>
  <c r="I916" i="9"/>
  <c r="I915" i="9"/>
  <c r="I914" i="9"/>
  <c r="I913" i="9"/>
  <c r="I912" i="9"/>
  <c r="I911" i="9"/>
  <c r="I910" i="9"/>
  <c r="I909" i="9"/>
  <c r="I908" i="9"/>
  <c r="I907" i="9"/>
  <c r="I906" i="9"/>
  <c r="I905" i="9"/>
  <c r="I904" i="9"/>
  <c r="I903" i="9"/>
  <c r="I902" i="9"/>
  <c r="I901" i="9"/>
  <c r="I900" i="9"/>
  <c r="I899" i="9"/>
  <c r="I898" i="9"/>
  <c r="I897" i="9"/>
  <c r="I896" i="9"/>
  <c r="I895" i="9"/>
  <c r="I894" i="9"/>
  <c r="I893" i="9"/>
  <c r="I892" i="9"/>
  <c r="I891" i="9"/>
  <c r="I890" i="9"/>
  <c r="I889" i="9"/>
  <c r="I888" i="9"/>
  <c r="I887" i="9"/>
  <c r="I886" i="9"/>
  <c r="I885" i="9"/>
  <c r="I884" i="9"/>
  <c r="I883" i="9"/>
  <c r="I882" i="9"/>
  <c r="I881" i="9"/>
  <c r="I880" i="9"/>
  <c r="I879" i="9"/>
  <c r="I878" i="9"/>
  <c r="I877" i="9"/>
  <c r="I876" i="9"/>
  <c r="I875" i="9"/>
  <c r="I874" i="9"/>
  <c r="I873" i="9"/>
  <c r="I872" i="9"/>
  <c r="I871" i="9"/>
  <c r="I870" i="9"/>
  <c r="I869" i="9"/>
  <c r="I868" i="9"/>
  <c r="I867" i="9"/>
  <c r="I866" i="9"/>
  <c r="I865" i="9"/>
  <c r="I864" i="9"/>
  <c r="I863" i="9"/>
  <c r="I862" i="9"/>
  <c r="I861" i="9"/>
  <c r="I860" i="9"/>
  <c r="I859" i="9"/>
  <c r="I858" i="9"/>
  <c r="I857" i="9"/>
  <c r="I856" i="9"/>
  <c r="I855" i="9"/>
  <c r="I854" i="9"/>
  <c r="I853" i="9"/>
  <c r="I852" i="9"/>
  <c r="I851" i="9"/>
  <c r="I850" i="9"/>
  <c r="I849" i="9"/>
  <c r="I848" i="9"/>
  <c r="I847" i="9"/>
  <c r="I846" i="9"/>
  <c r="I845" i="9"/>
  <c r="I844" i="9"/>
  <c r="I843" i="9"/>
  <c r="I842" i="9"/>
  <c r="I841" i="9"/>
  <c r="I840" i="9"/>
  <c r="I839" i="9"/>
  <c r="I838" i="9"/>
  <c r="I837" i="9"/>
  <c r="I836" i="9"/>
  <c r="I835" i="9"/>
  <c r="I834" i="9"/>
  <c r="I833" i="9"/>
  <c r="I832" i="9"/>
  <c r="I831" i="9"/>
  <c r="I830" i="9"/>
  <c r="I829" i="9"/>
  <c r="I828" i="9"/>
  <c r="I827" i="9"/>
  <c r="I826" i="9"/>
  <c r="I825" i="9"/>
  <c r="I824" i="9"/>
  <c r="I823" i="9"/>
  <c r="I822" i="9"/>
  <c r="I821" i="9"/>
  <c r="I820" i="9"/>
  <c r="I819" i="9"/>
  <c r="I818" i="9"/>
  <c r="I817" i="9"/>
  <c r="I816" i="9"/>
  <c r="I815" i="9"/>
  <c r="I814" i="9"/>
  <c r="I813" i="9"/>
  <c r="I812" i="9"/>
  <c r="I811" i="9"/>
  <c r="I810" i="9"/>
  <c r="I809" i="9"/>
  <c r="I808" i="9"/>
  <c r="I807" i="9"/>
  <c r="I806" i="9"/>
  <c r="I805" i="9"/>
  <c r="I804" i="9"/>
  <c r="I803" i="9"/>
  <c r="I802" i="9"/>
  <c r="I801" i="9"/>
  <c r="I800" i="9"/>
  <c r="I799" i="9"/>
  <c r="I798" i="9"/>
  <c r="I797" i="9"/>
  <c r="I796" i="9"/>
  <c r="I795" i="9"/>
  <c r="I794" i="9"/>
  <c r="I793" i="9"/>
  <c r="I792" i="9"/>
  <c r="I791" i="9"/>
  <c r="I790" i="9"/>
  <c r="I789" i="9"/>
  <c r="I788" i="9"/>
  <c r="I787" i="9"/>
  <c r="I786" i="9"/>
  <c r="I785" i="9"/>
  <c r="I784" i="9"/>
  <c r="I783" i="9"/>
  <c r="I782" i="9"/>
  <c r="I781" i="9"/>
  <c r="I780" i="9"/>
  <c r="I779" i="9"/>
  <c r="I778" i="9"/>
  <c r="I777" i="9"/>
  <c r="I776" i="9"/>
  <c r="I775" i="9"/>
  <c r="I774" i="9"/>
  <c r="I773" i="9"/>
  <c r="I772" i="9"/>
  <c r="I771" i="9"/>
  <c r="I770" i="9"/>
  <c r="I769" i="9"/>
  <c r="I768" i="9"/>
  <c r="I767" i="9"/>
  <c r="I766" i="9"/>
  <c r="I765" i="9"/>
  <c r="I764" i="9"/>
  <c r="I763" i="9"/>
  <c r="I762" i="9"/>
  <c r="I761" i="9"/>
  <c r="I760" i="9"/>
  <c r="I759" i="9"/>
  <c r="I758" i="9"/>
  <c r="I757" i="9"/>
  <c r="I756" i="9"/>
  <c r="I755" i="9"/>
  <c r="I754" i="9"/>
  <c r="I753" i="9"/>
  <c r="I752" i="9"/>
  <c r="I751" i="9"/>
  <c r="I750" i="9"/>
  <c r="I749" i="9"/>
  <c r="I748" i="9"/>
  <c r="I747" i="9"/>
  <c r="I746" i="9"/>
  <c r="I745" i="9"/>
  <c r="I744" i="9"/>
  <c r="I743" i="9"/>
  <c r="I742" i="9"/>
  <c r="I741" i="9"/>
  <c r="I740" i="9"/>
  <c r="I739" i="9"/>
  <c r="I738" i="9"/>
  <c r="I737" i="9"/>
  <c r="I736" i="9"/>
  <c r="I735" i="9"/>
  <c r="I734" i="9"/>
  <c r="I733" i="9"/>
  <c r="I732" i="9"/>
  <c r="I731" i="9"/>
  <c r="I730" i="9"/>
  <c r="I729" i="9"/>
  <c r="I728" i="9"/>
  <c r="I727" i="9"/>
  <c r="I726" i="9"/>
  <c r="I725" i="9"/>
  <c r="I724" i="9"/>
  <c r="I723" i="9"/>
  <c r="I722" i="9"/>
  <c r="I721" i="9"/>
  <c r="I720" i="9"/>
  <c r="I719" i="9"/>
  <c r="I718" i="9"/>
  <c r="I717" i="9"/>
  <c r="I716" i="9"/>
  <c r="I715" i="9"/>
  <c r="I714" i="9"/>
  <c r="I713" i="9"/>
  <c r="I712" i="9"/>
  <c r="I711" i="9"/>
  <c r="I710" i="9"/>
  <c r="I709" i="9"/>
  <c r="I708" i="9"/>
  <c r="I707" i="9"/>
  <c r="I706" i="9"/>
  <c r="I705" i="9"/>
  <c r="I704" i="9"/>
  <c r="I703" i="9"/>
  <c r="I702" i="9"/>
  <c r="I701" i="9"/>
  <c r="I700" i="9"/>
  <c r="I699" i="9"/>
  <c r="I698" i="9"/>
  <c r="I697" i="9"/>
  <c r="I696" i="9"/>
  <c r="I695" i="9"/>
  <c r="I694" i="9"/>
  <c r="I693" i="9"/>
  <c r="I692" i="9"/>
  <c r="I691" i="9"/>
  <c r="I690" i="9"/>
  <c r="I689" i="9"/>
  <c r="I688" i="9"/>
  <c r="I687" i="9"/>
  <c r="I686" i="9"/>
  <c r="I685" i="9"/>
  <c r="I684" i="9"/>
  <c r="I683" i="9"/>
  <c r="I682" i="9"/>
  <c r="I681" i="9"/>
  <c r="I680" i="9"/>
  <c r="I679" i="9"/>
  <c r="I678" i="9"/>
  <c r="I677" i="9"/>
  <c r="I676" i="9"/>
  <c r="I675" i="9"/>
  <c r="I674" i="9"/>
  <c r="I673" i="9"/>
  <c r="I672" i="9"/>
  <c r="I671" i="9"/>
  <c r="I670" i="9"/>
  <c r="I669" i="9"/>
  <c r="I668" i="9"/>
  <c r="I667" i="9"/>
  <c r="I666" i="9"/>
  <c r="I665" i="9"/>
  <c r="I664" i="9"/>
  <c r="I663" i="9"/>
  <c r="I662" i="9"/>
  <c r="I661" i="9"/>
  <c r="I660" i="9"/>
  <c r="I659" i="9"/>
  <c r="I658" i="9"/>
  <c r="I657" i="9"/>
  <c r="I656" i="9"/>
  <c r="I655" i="9"/>
  <c r="I654" i="9"/>
  <c r="I653" i="9"/>
  <c r="I652" i="9"/>
  <c r="I651" i="9"/>
  <c r="I650" i="9"/>
  <c r="I649" i="9"/>
  <c r="I648" i="9"/>
  <c r="I647" i="9"/>
  <c r="I646" i="9"/>
  <c r="I645" i="9"/>
  <c r="I644" i="9"/>
  <c r="I643" i="9"/>
  <c r="I642" i="9"/>
  <c r="I641" i="9"/>
  <c r="I640" i="9"/>
  <c r="I639" i="9"/>
  <c r="I638" i="9"/>
  <c r="I637" i="9"/>
  <c r="I636" i="9"/>
  <c r="I635" i="9"/>
  <c r="I634" i="9"/>
  <c r="I633" i="9"/>
  <c r="I632" i="9"/>
  <c r="I631" i="9"/>
  <c r="I630" i="9"/>
  <c r="I629" i="9"/>
  <c r="I628" i="9"/>
  <c r="I627" i="9"/>
  <c r="I626" i="9"/>
  <c r="I625" i="9"/>
  <c r="I624" i="9"/>
  <c r="I623" i="9"/>
  <c r="I622" i="9"/>
  <c r="I621" i="9"/>
  <c r="I620" i="9"/>
  <c r="I619" i="9"/>
  <c r="I618" i="9"/>
  <c r="I617" i="9"/>
  <c r="I616" i="9"/>
  <c r="I615" i="9"/>
  <c r="I614" i="9"/>
  <c r="I613" i="9"/>
  <c r="I612" i="9"/>
  <c r="I611" i="9"/>
  <c r="I610" i="9"/>
  <c r="I609" i="9"/>
  <c r="I608" i="9"/>
  <c r="I607" i="9"/>
  <c r="I606" i="9"/>
  <c r="I605" i="9"/>
  <c r="I604" i="9"/>
  <c r="I603" i="9"/>
  <c r="I602" i="9"/>
  <c r="I601" i="9"/>
  <c r="I600" i="9"/>
  <c r="I599" i="9"/>
  <c r="I598" i="9"/>
  <c r="I597" i="9"/>
  <c r="I596" i="9"/>
  <c r="I595" i="9"/>
  <c r="I594" i="9"/>
  <c r="I593" i="9"/>
  <c r="I592" i="9"/>
  <c r="I591" i="9"/>
  <c r="I590" i="9"/>
  <c r="I589" i="9"/>
  <c r="I588" i="9"/>
  <c r="I587" i="9"/>
  <c r="I586" i="9"/>
  <c r="I585" i="9"/>
  <c r="I584" i="9"/>
  <c r="I583" i="9"/>
  <c r="I582" i="9"/>
  <c r="I581" i="9"/>
  <c r="I580" i="9"/>
  <c r="I579" i="9"/>
  <c r="I578" i="9"/>
  <c r="I577" i="9"/>
  <c r="I576" i="9"/>
  <c r="I575" i="9"/>
  <c r="I574" i="9"/>
  <c r="I573" i="9"/>
  <c r="I572" i="9"/>
  <c r="I571" i="9"/>
  <c r="I570" i="9"/>
  <c r="I569" i="9"/>
  <c r="I568" i="9"/>
  <c r="I567" i="9"/>
  <c r="I566" i="9"/>
  <c r="I565" i="9"/>
  <c r="I564" i="9"/>
  <c r="I563" i="9"/>
  <c r="I562" i="9"/>
  <c r="I561" i="9"/>
  <c r="I560" i="9"/>
  <c r="I559" i="9"/>
  <c r="I558" i="9"/>
  <c r="I557" i="9"/>
  <c r="I556" i="9"/>
  <c r="I555" i="9"/>
  <c r="I554" i="9"/>
  <c r="I553" i="9"/>
  <c r="I552" i="9"/>
  <c r="I551" i="9"/>
  <c r="I550" i="9"/>
  <c r="I549" i="9"/>
  <c r="I548" i="9"/>
  <c r="I547" i="9"/>
  <c r="I546" i="9"/>
  <c r="I545" i="9"/>
  <c r="I544" i="9"/>
  <c r="I543" i="9"/>
  <c r="I542" i="9"/>
  <c r="I541" i="9"/>
  <c r="I540" i="9"/>
  <c r="I539" i="9"/>
  <c r="I538" i="9"/>
  <c r="I537" i="9"/>
  <c r="I536" i="9"/>
  <c r="I535" i="9"/>
  <c r="I534" i="9"/>
  <c r="I533" i="9"/>
  <c r="I532" i="9"/>
  <c r="I531" i="9"/>
  <c r="I530" i="9"/>
  <c r="I529" i="9"/>
  <c r="I528" i="9"/>
  <c r="I527" i="9"/>
  <c r="I526" i="9"/>
  <c r="I525" i="9"/>
  <c r="I524" i="9"/>
  <c r="I523" i="9"/>
  <c r="I522" i="9"/>
  <c r="I521" i="9"/>
  <c r="I520" i="9"/>
  <c r="I519" i="9"/>
  <c r="I518" i="9"/>
  <c r="I517" i="9"/>
  <c r="I516" i="9"/>
  <c r="I515" i="9"/>
  <c r="I514" i="9"/>
  <c r="I513" i="9"/>
  <c r="I512" i="9"/>
  <c r="I511" i="9"/>
  <c r="I510" i="9"/>
  <c r="I509" i="9"/>
  <c r="I508" i="9"/>
  <c r="I507" i="9"/>
  <c r="I506" i="9"/>
  <c r="I505" i="9"/>
  <c r="I504" i="9"/>
  <c r="I503" i="9"/>
  <c r="I502" i="9"/>
  <c r="I501" i="9"/>
  <c r="I500" i="9"/>
  <c r="I499" i="9"/>
  <c r="I498" i="9"/>
  <c r="I497" i="9"/>
  <c r="I496" i="9"/>
  <c r="I495" i="9"/>
  <c r="I494" i="9"/>
  <c r="I493" i="9"/>
  <c r="I492" i="9"/>
  <c r="I491" i="9"/>
  <c r="I490" i="9"/>
  <c r="I489" i="9"/>
  <c r="I488" i="9"/>
  <c r="I487" i="9"/>
  <c r="I486" i="9"/>
  <c r="I485" i="9"/>
  <c r="I484" i="9"/>
  <c r="I483" i="9"/>
  <c r="I482" i="9"/>
  <c r="I481" i="9"/>
  <c r="I480" i="9"/>
  <c r="I479" i="9"/>
  <c r="I478" i="9"/>
  <c r="I477" i="9"/>
  <c r="I476" i="9"/>
  <c r="I475" i="9"/>
  <c r="I474" i="9"/>
  <c r="I473" i="9"/>
  <c r="I472" i="9"/>
  <c r="I471" i="9"/>
  <c r="I470" i="9"/>
  <c r="I469" i="9"/>
  <c r="I468" i="9"/>
  <c r="I467" i="9"/>
  <c r="I466" i="9"/>
  <c r="I465" i="9"/>
  <c r="I464" i="9"/>
  <c r="I463" i="9"/>
  <c r="I462" i="9"/>
  <c r="I461" i="9"/>
  <c r="I460" i="9"/>
  <c r="I459" i="9"/>
  <c r="I458" i="9"/>
  <c r="I457" i="9"/>
  <c r="I456" i="9"/>
  <c r="I455" i="9"/>
  <c r="I454" i="9"/>
  <c r="I453" i="9"/>
  <c r="I452" i="9"/>
  <c r="I451" i="9"/>
  <c r="I450" i="9"/>
  <c r="I449" i="9"/>
  <c r="I448" i="9"/>
  <c r="I447" i="9"/>
  <c r="I446" i="9"/>
  <c r="I445" i="9"/>
  <c r="I444" i="9"/>
  <c r="I443" i="9"/>
  <c r="I442" i="9"/>
  <c r="I441" i="9"/>
  <c r="I440" i="9"/>
  <c r="I439" i="9"/>
  <c r="I438" i="9"/>
  <c r="I437" i="9"/>
  <c r="I436" i="9"/>
  <c r="I435" i="9"/>
  <c r="I434" i="9"/>
  <c r="I433" i="9"/>
  <c r="I432" i="9"/>
  <c r="I431" i="9"/>
  <c r="I430" i="9"/>
  <c r="I429" i="9"/>
  <c r="I428" i="9"/>
  <c r="I427" i="9"/>
  <c r="I426" i="9"/>
  <c r="I425" i="9"/>
  <c r="I424" i="9"/>
  <c r="I423" i="9"/>
  <c r="I422" i="9"/>
  <c r="I421" i="9"/>
  <c r="I420" i="9"/>
  <c r="I419" i="9"/>
  <c r="I418" i="9"/>
  <c r="I417" i="9"/>
  <c r="I416" i="9"/>
  <c r="I415" i="9"/>
  <c r="I414" i="9"/>
  <c r="I413" i="9"/>
  <c r="I412" i="9"/>
  <c r="I411" i="9"/>
  <c r="I410" i="9"/>
  <c r="I409" i="9"/>
  <c r="I408" i="9"/>
  <c r="I407" i="9"/>
  <c r="I406" i="9"/>
  <c r="I405" i="9"/>
  <c r="I404" i="9"/>
  <c r="I403" i="9"/>
  <c r="I402" i="9"/>
  <c r="I401" i="9"/>
  <c r="I400" i="9"/>
  <c r="I399" i="9"/>
  <c r="I398" i="9"/>
  <c r="I397" i="9"/>
  <c r="I396" i="9"/>
  <c r="I395" i="9"/>
  <c r="I394" i="9"/>
  <c r="I393" i="9"/>
  <c r="I392" i="9"/>
  <c r="I391" i="9"/>
  <c r="I390" i="9"/>
  <c r="I389" i="9"/>
  <c r="I388" i="9"/>
  <c r="I387" i="9"/>
  <c r="I386" i="9"/>
  <c r="I385" i="9"/>
  <c r="I384" i="9"/>
  <c r="I383" i="9"/>
  <c r="I382" i="9"/>
  <c r="I381" i="9"/>
  <c r="I380" i="9"/>
  <c r="I379" i="9"/>
  <c r="I378" i="9"/>
  <c r="I377" i="9"/>
  <c r="I376" i="9"/>
  <c r="I375" i="9"/>
  <c r="I374" i="9"/>
  <c r="I373" i="9"/>
  <c r="I372" i="9"/>
  <c r="I371" i="9"/>
  <c r="I370" i="9"/>
  <c r="I369" i="9"/>
  <c r="I368" i="9"/>
  <c r="I367" i="9"/>
  <c r="I366" i="9"/>
  <c r="I365" i="9"/>
  <c r="I364" i="9"/>
  <c r="I363" i="9"/>
  <c r="I362" i="9"/>
  <c r="I361" i="9"/>
  <c r="I360" i="9"/>
  <c r="I359" i="9"/>
  <c r="I358" i="9"/>
  <c r="I357" i="9"/>
  <c r="I356" i="9"/>
  <c r="I355" i="9"/>
  <c r="I354" i="9"/>
  <c r="I353" i="9"/>
  <c r="I352" i="9"/>
  <c r="I351" i="9"/>
  <c r="I350" i="9"/>
  <c r="I349" i="9"/>
  <c r="I348" i="9"/>
  <c r="I347" i="9"/>
  <c r="I346" i="9"/>
  <c r="I345" i="9"/>
  <c r="I344" i="9"/>
  <c r="I343" i="9"/>
  <c r="I342" i="9"/>
  <c r="I341" i="9"/>
  <c r="I340" i="9"/>
  <c r="I339" i="9"/>
  <c r="I338" i="9"/>
  <c r="I337" i="9"/>
  <c r="I336" i="9"/>
  <c r="I335" i="9"/>
  <c r="I334" i="9"/>
  <c r="I333" i="9"/>
  <c r="I332" i="9"/>
  <c r="I331" i="9"/>
  <c r="I330" i="9"/>
  <c r="I329" i="9"/>
  <c r="I328" i="9"/>
  <c r="I327" i="9"/>
  <c r="I326" i="9"/>
  <c r="I325" i="9"/>
  <c r="I324" i="9"/>
  <c r="I323" i="9"/>
  <c r="I322" i="9"/>
  <c r="I321" i="9"/>
  <c r="I320" i="9"/>
  <c r="I319" i="9"/>
  <c r="I318" i="9"/>
  <c r="I317" i="9"/>
  <c r="I316" i="9"/>
  <c r="I315" i="9"/>
  <c r="I314" i="9"/>
  <c r="I313" i="9"/>
  <c r="I312" i="9"/>
  <c r="I311" i="9"/>
  <c r="I310" i="9"/>
  <c r="I309" i="9"/>
  <c r="I308" i="9"/>
  <c r="I307" i="9"/>
  <c r="I306" i="9"/>
  <c r="I305" i="9"/>
  <c r="I304" i="9"/>
  <c r="I303" i="9"/>
  <c r="I302" i="9"/>
  <c r="I301" i="9"/>
  <c r="I300" i="9"/>
  <c r="I299" i="9"/>
  <c r="I298" i="9"/>
  <c r="I297" i="9"/>
  <c r="I296" i="9"/>
  <c r="I295" i="9"/>
  <c r="I294" i="9"/>
  <c r="I293" i="9"/>
  <c r="I292" i="9"/>
  <c r="I291" i="9"/>
  <c r="I290" i="9"/>
  <c r="I289" i="9"/>
  <c r="I288" i="9"/>
  <c r="I287" i="9"/>
  <c r="I286" i="9"/>
  <c r="I285" i="9"/>
  <c r="I284" i="9"/>
  <c r="I283" i="9"/>
  <c r="I282" i="9"/>
  <c r="I281" i="9"/>
  <c r="I280" i="9"/>
  <c r="I279" i="9"/>
  <c r="I278" i="9"/>
  <c r="I277" i="9"/>
  <c r="I276" i="9"/>
  <c r="I275" i="9"/>
  <c r="I274" i="9"/>
  <c r="I273" i="9"/>
  <c r="I272" i="9"/>
  <c r="I271" i="9"/>
  <c r="I270" i="9"/>
  <c r="I269" i="9"/>
  <c r="I268" i="9"/>
  <c r="I267" i="9"/>
  <c r="I266" i="9"/>
  <c r="I265" i="9"/>
  <c r="I264" i="9"/>
  <c r="I263" i="9"/>
  <c r="I262" i="9"/>
  <c r="I261" i="9"/>
  <c r="I260" i="9"/>
  <c r="I259" i="9"/>
  <c r="I258" i="9"/>
  <c r="I257" i="9"/>
  <c r="I256" i="9"/>
  <c r="I255" i="9"/>
  <c r="I254" i="9"/>
  <c r="I253" i="9"/>
  <c r="I252" i="9"/>
  <c r="I251" i="9"/>
  <c r="I250" i="9"/>
  <c r="I249" i="9"/>
  <c r="I248" i="9"/>
  <c r="I247" i="9"/>
  <c r="I246" i="9"/>
  <c r="I245" i="9"/>
  <c r="I244" i="9"/>
  <c r="I243" i="9"/>
  <c r="I242" i="9"/>
  <c r="I241" i="9"/>
  <c r="I240" i="9"/>
  <c r="I239" i="9"/>
  <c r="I238" i="9"/>
  <c r="I237" i="9"/>
  <c r="I236" i="9"/>
  <c r="I235" i="9"/>
  <c r="I234" i="9"/>
  <c r="I233" i="9"/>
  <c r="I232" i="9"/>
  <c r="I231" i="9"/>
  <c r="I230" i="9"/>
  <c r="I229" i="9"/>
  <c r="I228" i="9"/>
  <c r="I227" i="9"/>
  <c r="I226" i="9"/>
  <c r="I225" i="9"/>
  <c r="I224" i="9"/>
  <c r="I223" i="9"/>
  <c r="I222" i="9"/>
  <c r="I221" i="9"/>
  <c r="I220" i="9"/>
  <c r="I219" i="9"/>
  <c r="I218" i="9"/>
  <c r="I217" i="9"/>
  <c r="I216" i="9"/>
  <c r="I215" i="9"/>
  <c r="I214" i="9"/>
  <c r="I213" i="9"/>
  <c r="I212" i="9"/>
  <c r="I211" i="9"/>
  <c r="I210" i="9"/>
  <c r="I209" i="9"/>
  <c r="I208" i="9"/>
  <c r="I207" i="9"/>
  <c r="I206" i="9"/>
  <c r="I205" i="9"/>
  <c r="I204" i="9"/>
  <c r="I203" i="9"/>
  <c r="I202" i="9"/>
  <c r="I201" i="9"/>
  <c r="I200" i="9"/>
  <c r="I199" i="9"/>
  <c r="I198" i="9"/>
  <c r="I197" i="9"/>
  <c r="I196" i="9"/>
  <c r="I195" i="9"/>
  <c r="I194" i="9"/>
  <c r="I193" i="9"/>
  <c r="I192" i="9"/>
  <c r="I191" i="9"/>
  <c r="I190" i="9"/>
  <c r="I189" i="9"/>
  <c r="I188" i="9"/>
  <c r="I187" i="9"/>
  <c r="I186" i="9"/>
  <c r="I185" i="9"/>
  <c r="I184" i="9"/>
  <c r="I183" i="9"/>
  <c r="I182" i="9"/>
  <c r="I181" i="9"/>
  <c r="I180" i="9"/>
  <c r="I179" i="9"/>
  <c r="I178" i="9"/>
  <c r="I177" i="9"/>
  <c r="I176" i="9"/>
  <c r="I175" i="9"/>
  <c r="I174" i="9"/>
  <c r="I173" i="9"/>
  <c r="I172" i="9"/>
  <c r="I171" i="9"/>
  <c r="I170" i="9"/>
  <c r="I169" i="9"/>
  <c r="I168" i="9"/>
  <c r="I167" i="9"/>
  <c r="I166" i="9"/>
  <c r="I165" i="9"/>
  <c r="I164" i="9"/>
  <c r="I163" i="9"/>
  <c r="I162" i="9"/>
  <c r="I161" i="9"/>
  <c r="I160" i="9"/>
  <c r="I159" i="9"/>
  <c r="I158" i="9"/>
  <c r="I157" i="9"/>
  <c r="I156" i="9"/>
  <c r="I155" i="9"/>
  <c r="I154" i="9"/>
  <c r="I153" i="9"/>
  <c r="I152" i="9"/>
  <c r="I151" i="9"/>
  <c r="I150" i="9"/>
  <c r="I149" i="9"/>
  <c r="I148" i="9"/>
  <c r="I147" i="9"/>
  <c r="I146" i="9"/>
  <c r="I145" i="9"/>
  <c r="I144" i="9"/>
  <c r="I143" i="9"/>
  <c r="I142" i="9"/>
  <c r="I141" i="9"/>
  <c r="I140" i="9"/>
  <c r="I139" i="9"/>
  <c r="I138" i="9"/>
  <c r="I137" i="9"/>
  <c r="I136" i="9"/>
  <c r="I135" i="9"/>
  <c r="I134" i="9"/>
  <c r="I133" i="9"/>
  <c r="I132" i="9"/>
  <c r="I131" i="9"/>
  <c r="I130" i="9"/>
  <c r="I129" i="9"/>
  <c r="I128" i="9"/>
  <c r="I127" i="9"/>
  <c r="I126" i="9"/>
  <c r="I125" i="9"/>
  <c r="I124" i="9"/>
  <c r="I123" i="9"/>
  <c r="I122" i="9"/>
  <c r="I121" i="9"/>
  <c r="I120" i="9"/>
  <c r="I119" i="9"/>
  <c r="I118" i="9"/>
  <c r="I117" i="9"/>
  <c r="I116" i="9"/>
  <c r="I115" i="9"/>
  <c r="I114" i="9"/>
  <c r="I113" i="9"/>
  <c r="I112" i="9"/>
  <c r="I111" i="9"/>
  <c r="I110" i="9"/>
  <c r="I109" i="9"/>
  <c r="I108" i="9"/>
  <c r="I107" i="9"/>
  <c r="I106" i="9"/>
  <c r="I105" i="9"/>
  <c r="I104" i="9"/>
  <c r="I103" i="9"/>
  <c r="I102" i="9"/>
  <c r="I101" i="9"/>
  <c r="I100" i="9"/>
  <c r="I99" i="9"/>
  <c r="I98" i="9"/>
  <c r="I97" i="9"/>
  <c r="I96" i="9"/>
  <c r="I95" i="9"/>
  <c r="I94" i="9"/>
  <c r="I93" i="9"/>
  <c r="I92" i="9"/>
  <c r="I91" i="9"/>
  <c r="I90" i="9"/>
  <c r="I89" i="9"/>
  <c r="I88" i="9"/>
  <c r="I87" i="9"/>
  <c r="I86" i="9"/>
  <c r="I85" i="9"/>
  <c r="I84" i="9"/>
  <c r="I83" i="9"/>
  <c r="I82" i="9"/>
  <c r="I81" i="9"/>
  <c r="I80" i="9"/>
  <c r="I79" i="9"/>
  <c r="I78" i="9"/>
  <c r="I77" i="9"/>
  <c r="I76" i="9"/>
  <c r="I75" i="9"/>
  <c r="I74" i="9"/>
  <c r="I73" i="9"/>
  <c r="I72" i="9"/>
  <c r="I71" i="9"/>
  <c r="I70" i="9"/>
  <c r="I69" i="9"/>
  <c r="I68" i="9"/>
  <c r="I67" i="9"/>
  <c r="I66" i="9"/>
  <c r="I65" i="9"/>
  <c r="I64" i="9"/>
  <c r="I63" i="9"/>
  <c r="I62" i="9"/>
  <c r="I61" i="9"/>
  <c r="I60" i="9"/>
  <c r="I59" i="9"/>
  <c r="I58" i="9"/>
  <c r="I57" i="9"/>
  <c r="I56" i="9"/>
  <c r="I55" i="9"/>
  <c r="I54" i="9"/>
  <c r="I53" i="9"/>
  <c r="I52" i="9"/>
  <c r="I51" i="9"/>
  <c r="I50" i="9"/>
  <c r="I49" i="9"/>
  <c r="I48" i="9"/>
  <c r="I47" i="9"/>
  <c r="I46" i="9"/>
  <c r="I45" i="9"/>
  <c r="I44" i="9"/>
  <c r="I43" i="9"/>
  <c r="I42" i="9"/>
  <c r="I41" i="9"/>
  <c r="I40" i="9"/>
  <c r="I39" i="9"/>
  <c r="I38" i="9"/>
  <c r="I37" i="9"/>
  <c r="I36" i="9"/>
  <c r="I35" i="9"/>
  <c r="I34" i="9"/>
  <c r="I33" i="9"/>
  <c r="I32" i="9"/>
  <c r="I31" i="9"/>
  <c r="I30" i="9"/>
  <c r="I29" i="9"/>
  <c r="I28" i="9"/>
  <c r="I27" i="9"/>
  <c r="I26" i="9"/>
  <c r="I25" i="9"/>
  <c r="I24" i="9"/>
  <c r="I23" i="9"/>
  <c r="I22" i="9"/>
  <c r="I21" i="9"/>
  <c r="I20" i="9"/>
  <c r="I19" i="9"/>
  <c r="I18" i="9"/>
  <c r="I17" i="9"/>
  <c r="I16" i="9"/>
  <c r="I15" i="9"/>
  <c r="I14" i="9"/>
  <c r="I13" i="9"/>
  <c r="I12" i="9"/>
  <c r="I11" i="9"/>
  <c r="I10" i="9"/>
  <c r="I9" i="9"/>
  <c r="I1009" i="9" s="1"/>
  <c r="B9" i="9" a="1"/>
  <c r="B9" i="9" s="1"/>
  <c r="F67" i="8"/>
  <c r="F68" i="8" s="1"/>
  <c r="F66" i="8"/>
  <c r="F65" i="8"/>
  <c r="F64" i="8"/>
  <c r="H47" i="8"/>
  <c r="G127" i="10" l="1"/>
  <c r="G153" i="10" s="1"/>
  <c r="X152" i="10"/>
  <c r="L152" i="10"/>
  <c r="Y151" i="10"/>
  <c r="M151" i="10"/>
  <c r="Z150" i="10"/>
  <c r="N150" i="10"/>
  <c r="AA149" i="10"/>
  <c r="O149" i="10"/>
  <c r="AC148" i="10"/>
  <c r="Q148" i="10"/>
  <c r="AD147" i="10"/>
  <c r="R147" i="10"/>
  <c r="AE146" i="10"/>
  <c r="S146" i="10"/>
  <c r="AF145" i="10"/>
  <c r="T145" i="10"/>
  <c r="AG144" i="10"/>
  <c r="U144" i="10"/>
  <c r="I144" i="10"/>
  <c r="V143" i="10"/>
  <c r="J143" i="10"/>
  <c r="W142" i="10"/>
  <c r="K142" i="10"/>
  <c r="X141" i="10"/>
  <c r="L141" i="10"/>
  <c r="Z140" i="10"/>
  <c r="N140" i="10"/>
  <c r="AB139" i="10"/>
  <c r="P139" i="10"/>
  <c r="AC138" i="10"/>
  <c r="Q138" i="10"/>
  <c r="AD137" i="10"/>
  <c r="W152" i="10"/>
  <c r="K152" i="10"/>
  <c r="X151" i="10"/>
  <c r="L151" i="10"/>
  <c r="Y150" i="10"/>
  <c r="M150" i="10"/>
  <c r="Z149" i="10"/>
  <c r="N149" i="10"/>
  <c r="AB148" i="10"/>
  <c r="P148" i="10"/>
  <c r="AC147" i="10"/>
  <c r="Q147" i="10"/>
  <c r="AD146" i="10"/>
  <c r="R146" i="10"/>
  <c r="AE145" i="10"/>
  <c r="S145" i="10"/>
  <c r="AF144" i="10"/>
  <c r="T144" i="10"/>
  <c r="AG143" i="10"/>
  <c r="U143" i="10"/>
  <c r="I143" i="10"/>
  <c r="V142" i="10"/>
  <c r="J142" i="10"/>
  <c r="W141" i="10"/>
  <c r="K141" i="10"/>
  <c r="Y140" i="10"/>
  <c r="M140" i="10"/>
  <c r="AA139" i="10"/>
  <c r="O139" i="10"/>
  <c r="AB138" i="10"/>
  <c r="P138" i="10"/>
  <c r="AC137" i="10"/>
  <c r="Q137" i="10"/>
  <c r="AD136" i="10"/>
  <c r="R136" i="10"/>
  <c r="AF135" i="10"/>
  <c r="T135" i="10"/>
  <c r="AG134" i="10"/>
  <c r="U134" i="10"/>
  <c r="I134" i="10"/>
  <c r="V133" i="10"/>
  <c r="J133" i="10"/>
  <c r="W132" i="10"/>
  <c r="K132" i="10"/>
  <c r="X131" i="10"/>
  <c r="L131" i="10"/>
  <c r="Y130" i="10"/>
  <c r="M130" i="10"/>
  <c r="Z129" i="10"/>
  <c r="N129" i="10"/>
  <c r="AB128" i="10"/>
  <c r="P128" i="10"/>
  <c r="H148" i="10"/>
  <c r="H136" i="10"/>
  <c r="AG152" i="10"/>
  <c r="U152" i="10"/>
  <c r="I152" i="10"/>
  <c r="V151" i="10"/>
  <c r="J151" i="10"/>
  <c r="W150" i="10"/>
  <c r="K150" i="10"/>
  <c r="X149" i="10"/>
  <c r="L149" i="10"/>
  <c r="Z148" i="10"/>
  <c r="N148" i="10"/>
  <c r="AA147" i="10"/>
  <c r="O147" i="10"/>
  <c r="AB146" i="10"/>
  <c r="P146" i="10"/>
  <c r="AC145" i="10"/>
  <c r="Q145" i="10"/>
  <c r="AD144" i="10"/>
  <c r="R144" i="10"/>
  <c r="AE143" i="10"/>
  <c r="S143" i="10"/>
  <c r="AF142" i="10"/>
  <c r="T142" i="10"/>
  <c r="AG141" i="10"/>
  <c r="U141" i="10"/>
  <c r="I141" i="10"/>
  <c r="W140" i="10"/>
  <c r="K140" i="10"/>
  <c r="Y139" i="10"/>
  <c r="M139" i="10"/>
  <c r="Z138" i="10"/>
  <c r="N138" i="10"/>
  <c r="AA137" i="10"/>
  <c r="O137" i="10"/>
  <c r="AB136" i="10"/>
  <c r="P136" i="10"/>
  <c r="AD135" i="10"/>
  <c r="R135" i="10"/>
  <c r="AE134" i="10"/>
  <c r="S134" i="10"/>
  <c r="AF133" i="10"/>
  <c r="T133" i="10"/>
  <c r="AG132" i="10"/>
  <c r="U132" i="10"/>
  <c r="I132" i="10"/>
  <c r="V131" i="10"/>
  <c r="J131" i="10"/>
  <c r="W130" i="10"/>
  <c r="K130" i="10"/>
  <c r="X129" i="10"/>
  <c r="L129" i="10"/>
  <c r="Z128" i="10"/>
  <c r="N128" i="10"/>
  <c r="H146" i="10"/>
  <c r="H134" i="10"/>
  <c r="AF152" i="10"/>
  <c r="T152" i="10"/>
  <c r="AG151" i="10"/>
  <c r="U151" i="10"/>
  <c r="I151" i="10"/>
  <c r="V150" i="10"/>
  <c r="J150" i="10"/>
  <c r="W149" i="10"/>
  <c r="K149" i="10"/>
  <c r="Y148" i="10"/>
  <c r="M148" i="10"/>
  <c r="Z147" i="10"/>
  <c r="N147" i="10"/>
  <c r="AA146" i="10"/>
  <c r="O146" i="10"/>
  <c r="AB145" i="10"/>
  <c r="P145" i="10"/>
  <c r="AC144" i="10"/>
  <c r="Q144" i="10"/>
  <c r="AD143" i="10"/>
  <c r="R143" i="10"/>
  <c r="AE142" i="10"/>
  <c r="S142" i="10"/>
  <c r="AF141" i="10"/>
  <c r="T141" i="10"/>
  <c r="AH140" i="10"/>
  <c r="V140" i="10"/>
  <c r="J140" i="10"/>
  <c r="Q152" i="10"/>
  <c r="Z151" i="10"/>
  <c r="AE150" i="10"/>
  <c r="O150" i="10"/>
  <c r="T149" i="10"/>
  <c r="AD148" i="10"/>
  <c r="J148" i="10"/>
  <c r="S147" i="10"/>
  <c r="X146" i="10"/>
  <c r="AG145" i="10"/>
  <c r="M145" i="10"/>
  <c r="V144" i="10"/>
  <c r="AA143" i="10"/>
  <c r="K143" i="10"/>
  <c r="P142" i="10"/>
  <c r="Y141" i="10"/>
  <c r="AE140" i="10"/>
  <c r="O140" i="10"/>
  <c r="V139" i="10"/>
  <c r="AF138" i="10"/>
  <c r="O138" i="10"/>
  <c r="X137" i="10"/>
  <c r="J137" i="10"/>
  <c r="U136" i="10"/>
  <c r="AG135" i="10"/>
  <c r="Q135" i="10"/>
  <c r="AB134" i="10"/>
  <c r="N134" i="10"/>
  <c r="Y133" i="10"/>
  <c r="K133" i="10"/>
  <c r="T132" i="10"/>
  <c r="AE131" i="10"/>
  <c r="Q131" i="10"/>
  <c r="AB130" i="10"/>
  <c r="N130" i="10"/>
  <c r="W129" i="10"/>
  <c r="I129" i="10"/>
  <c r="U128" i="10"/>
  <c r="H151" i="10"/>
  <c r="P152" i="10"/>
  <c r="AE152" i="10"/>
  <c r="O152" i="10"/>
  <c r="T151" i="10"/>
  <c r="AC150" i="10"/>
  <c r="I150" i="10"/>
  <c r="R149" i="10"/>
  <c r="X148" i="10"/>
  <c r="AG147" i="10"/>
  <c r="M147" i="10"/>
  <c r="V146" i="10"/>
  <c r="AA145" i="10"/>
  <c r="K145" i="10"/>
  <c r="P144" i="10"/>
  <c r="Y143" i="10"/>
  <c r="AD142" i="10"/>
  <c r="N142" i="10"/>
  <c r="S141" i="10"/>
  <c r="AC140" i="10"/>
  <c r="I140" i="10"/>
  <c r="T139" i="10"/>
  <c r="AD138" i="10"/>
  <c r="L138" i="10"/>
  <c r="V137" i="10"/>
  <c r="AG136" i="10"/>
  <c r="S136" i="10"/>
  <c r="AC135" i="10"/>
  <c r="O135" i="10"/>
  <c r="Z134" i="10"/>
  <c r="L134" i="10"/>
  <c r="W133" i="10"/>
  <c r="AF132" i="10"/>
  <c r="R132" i="10"/>
  <c r="AC131" i="10"/>
  <c r="O131" i="10"/>
  <c r="Z130" i="10"/>
  <c r="J130" i="10"/>
  <c r="U129" i="10"/>
  <c r="AG128" i="10"/>
  <c r="S128" i="10"/>
  <c r="H149" i="10"/>
  <c r="H133" i="10"/>
  <c r="AD152" i="10"/>
  <c r="N152" i="10"/>
  <c r="S151" i="10"/>
  <c r="AB150" i="10"/>
  <c r="AG149" i="10"/>
  <c r="Q149" i="10"/>
  <c r="W148" i="10"/>
  <c r="AF147" i="10"/>
  <c r="L147" i="10"/>
  <c r="U146" i="10"/>
  <c r="Z145" i="10"/>
  <c r="J145" i="10"/>
  <c r="O144" i="10"/>
  <c r="X143" i="10"/>
  <c r="AC142" i="10"/>
  <c r="M142" i="10"/>
  <c r="R141" i="10"/>
  <c r="AB140" i="10"/>
  <c r="AH139" i="10"/>
  <c r="S139" i="10"/>
  <c r="AA138" i="10"/>
  <c r="K138" i="10"/>
  <c r="U137" i="10"/>
  <c r="AF136" i="10"/>
  <c r="Q136" i="10"/>
  <c r="AB135" i="10"/>
  <c r="N135" i="10"/>
  <c r="Y134" i="10"/>
  <c r="K134" i="10"/>
  <c r="AC152" i="10"/>
  <c r="M152" i="10"/>
  <c r="R151" i="10"/>
  <c r="AA150" i="10"/>
  <c r="AF149" i="10"/>
  <c r="P149" i="10"/>
  <c r="V148" i="10"/>
  <c r="AE147" i="10"/>
  <c r="K147" i="10"/>
  <c r="T146" i="10"/>
  <c r="Y145" i="10"/>
  <c r="I145" i="10"/>
  <c r="N144" i="10"/>
  <c r="W143" i="10"/>
  <c r="AB142" i="10"/>
  <c r="L142" i="10"/>
  <c r="Q141" i="10"/>
  <c r="AA140" i="10"/>
  <c r="AG139" i="10"/>
  <c r="R139" i="10"/>
  <c r="Y138" i="10"/>
  <c r="J138" i="10"/>
  <c r="T137" i="10"/>
  <c r="AE136" i="10"/>
  <c r="O136" i="10"/>
  <c r="AA135" i="10"/>
  <c r="M135" i="10"/>
  <c r="X134" i="10"/>
  <c r="J134" i="10"/>
  <c r="S133" i="10"/>
  <c r="AD132" i="10"/>
  <c r="P132" i="10"/>
  <c r="AA131" i="10"/>
  <c r="M131" i="10"/>
  <c r="V130" i="10"/>
  <c r="AG129" i="10"/>
  <c r="S129" i="10"/>
  <c r="AE128" i="10"/>
  <c r="Q128" i="10"/>
  <c r="H145" i="10"/>
  <c r="H131" i="10"/>
  <c r="H130" i="10"/>
  <c r="AA152" i="10"/>
  <c r="P151" i="10"/>
  <c r="U150" i="10"/>
  <c r="AD149" i="10"/>
  <c r="J149" i="10"/>
  <c r="T148" i="10"/>
  <c r="Y147" i="10"/>
  <c r="I147" i="10"/>
  <c r="N146" i="10"/>
  <c r="W145" i="10"/>
  <c r="AB144" i="10"/>
  <c r="L144" i="10"/>
  <c r="Q143" i="10"/>
  <c r="Z142" i="10"/>
  <c r="AE141" i="10"/>
  <c r="O141" i="10"/>
  <c r="U140" i="10"/>
  <c r="AE139" i="10"/>
  <c r="N139" i="10"/>
  <c r="W138" i="10"/>
  <c r="AG137" i="10"/>
  <c r="R137" i="10"/>
  <c r="AA136" i="10"/>
  <c r="M136" i="10"/>
  <c r="Y135" i="10"/>
  <c r="K135" i="10"/>
  <c r="V134" i="10"/>
  <c r="AE133" i="10"/>
  <c r="Q133" i="10"/>
  <c r="AB132" i="10"/>
  <c r="N132" i="10"/>
  <c r="Y131" i="10"/>
  <c r="I131" i="10"/>
  <c r="T130" i="10"/>
  <c r="AE129" i="10"/>
  <c r="Q129" i="10"/>
  <c r="AC128" i="10"/>
  <c r="M128" i="10"/>
  <c r="H143" i="10"/>
  <c r="H129" i="10"/>
  <c r="Z152" i="10"/>
  <c r="AE151" i="10"/>
  <c r="O151" i="10"/>
  <c r="T150" i="10"/>
  <c r="AC149" i="10"/>
  <c r="I149" i="10"/>
  <c r="S148" i="10"/>
  <c r="X147" i="10"/>
  <c r="AG146" i="10"/>
  <c r="M146" i="10"/>
  <c r="V145" i="10"/>
  <c r="AA144" i="10"/>
  <c r="K144" i="10"/>
  <c r="P143" i="10"/>
  <c r="Y142" i="10"/>
  <c r="AD141" i="10"/>
  <c r="N141" i="10"/>
  <c r="T140" i="10"/>
  <c r="AD139" i="10"/>
  <c r="V138" i="10"/>
  <c r="AF137" i="10"/>
  <c r="P137" i="10"/>
  <c r="Z136" i="10"/>
  <c r="L136" i="10"/>
  <c r="X135" i="10"/>
  <c r="J135" i="10"/>
  <c r="T134" i="10"/>
  <c r="AD133" i="10"/>
  <c r="P133" i="10"/>
  <c r="AA132" i="10"/>
  <c r="M132" i="10"/>
  <c r="W131" i="10"/>
  <c r="AG130" i="10"/>
  <c r="S130" i="10"/>
  <c r="AD129" i="10"/>
  <c r="P129" i="10"/>
  <c r="AA128" i="10"/>
  <c r="L128" i="10"/>
  <c r="H142" i="10"/>
  <c r="H128" i="10"/>
  <c r="Y152" i="10"/>
  <c r="AD151" i="10"/>
  <c r="N151" i="10"/>
  <c r="S150" i="10"/>
  <c r="AB149" i="10"/>
  <c r="AH148" i="10"/>
  <c r="R148" i="10"/>
  <c r="W147" i="10"/>
  <c r="AF146" i="10"/>
  <c r="L146" i="10"/>
  <c r="U145" i="10"/>
  <c r="Z144" i="10"/>
  <c r="J144" i="10"/>
  <c r="O143" i="10"/>
  <c r="X142" i="10"/>
  <c r="M141" i="10"/>
  <c r="S140" i="10"/>
  <c r="AC139" i="10"/>
  <c r="K139" i="10"/>
  <c r="U138" i="10"/>
  <c r="AE137" i="10"/>
  <c r="N137" i="10"/>
  <c r="Y136" i="10"/>
  <c r="K136" i="10"/>
  <c r="W135" i="10"/>
  <c r="I135" i="10"/>
  <c r="R134" i="10"/>
  <c r="AC133" i="10"/>
  <c r="O133" i="10"/>
  <c r="Z132" i="10"/>
  <c r="L132" i="10"/>
  <c r="U131" i="10"/>
  <c r="AF130" i="10"/>
  <c r="R130" i="10"/>
  <c r="AC129" i="10"/>
  <c r="O129" i="10"/>
  <c r="Y128" i="10"/>
  <c r="K128" i="10"/>
  <c r="H141" i="10"/>
  <c r="V152" i="10"/>
  <c r="K151" i="10"/>
  <c r="R150" i="10"/>
  <c r="AB152" i="10"/>
  <c r="J152" i="10"/>
  <c r="Q151" i="10"/>
  <c r="X150" i="10"/>
  <c r="AE149" i="10"/>
  <c r="M149" i="10"/>
  <c r="U148" i="10"/>
  <c r="AB147" i="10"/>
  <c r="J147" i="10"/>
  <c r="Q146" i="10"/>
  <c r="X145" i="10"/>
  <c r="AE144" i="10"/>
  <c r="M144" i="10"/>
  <c r="T143" i="10"/>
  <c r="AA142" i="10"/>
  <c r="I142" i="10"/>
  <c r="P141" i="10"/>
  <c r="X140" i="10"/>
  <c r="AF139" i="10"/>
  <c r="Q139" i="10"/>
  <c r="X138" i="10"/>
  <c r="I138" i="10"/>
  <c r="S137" i="10"/>
  <c r="AC136" i="10"/>
  <c r="N136" i="10"/>
  <c r="Z135" i="10"/>
  <c r="L135" i="10"/>
  <c r="W134" i="10"/>
  <c r="AG133" i="10"/>
  <c r="R133" i="10"/>
  <c r="AC132" i="10"/>
  <c r="O132" i="10"/>
  <c r="Z131" i="10"/>
  <c r="K131" i="10"/>
  <c r="U130" i="10"/>
  <c r="AF129" i="10"/>
  <c r="R129" i="10"/>
  <c r="AD128" i="10"/>
  <c r="O128" i="10"/>
  <c r="H144" i="10"/>
  <c r="AF151" i="10"/>
  <c r="L139" i="10"/>
  <c r="AC141" i="10"/>
  <c r="P150" i="10"/>
  <c r="K148" i="10"/>
  <c r="I146" i="10"/>
  <c r="AB143" i="10"/>
  <c r="Z141" i="10"/>
  <c r="W139" i="10"/>
  <c r="Y137" i="10"/>
  <c r="AH135" i="10"/>
  <c r="O134" i="10"/>
  <c r="Y132" i="10"/>
  <c r="R131" i="10"/>
  <c r="I130" i="10"/>
  <c r="W128" i="10"/>
  <c r="H137" i="10"/>
  <c r="L150" i="10"/>
  <c r="I148" i="10"/>
  <c r="AD145" i="10"/>
  <c r="Z143" i="10"/>
  <c r="V141" i="10"/>
  <c r="U139" i="10"/>
  <c r="W137" i="10"/>
  <c r="AE135" i="10"/>
  <c r="M134" i="10"/>
  <c r="X132" i="10"/>
  <c r="P131" i="10"/>
  <c r="AB129" i="10"/>
  <c r="V128" i="10"/>
  <c r="H135" i="10"/>
  <c r="S152" i="10"/>
  <c r="Y149" i="10"/>
  <c r="V147" i="10"/>
  <c r="R145" i="10"/>
  <c r="N143" i="10"/>
  <c r="J141" i="10"/>
  <c r="J139" i="10"/>
  <c r="M137" i="10"/>
  <c r="V135" i="10"/>
  <c r="AB133" i="10"/>
  <c r="V132" i="10"/>
  <c r="N131" i="10"/>
  <c r="AA129" i="10"/>
  <c r="T128" i="10"/>
  <c r="H132" i="10"/>
  <c r="R152" i="10"/>
  <c r="V149" i="10"/>
  <c r="U147" i="10"/>
  <c r="O145" i="10"/>
  <c r="M143" i="10"/>
  <c r="AG140" i="10"/>
  <c r="I139" i="10"/>
  <c r="L137" i="10"/>
  <c r="U135" i="10"/>
  <c r="AA133" i="10"/>
  <c r="S132" i="10"/>
  <c r="AE130" i="10"/>
  <c r="Y129" i="10"/>
  <c r="R128" i="10"/>
  <c r="AC151" i="10"/>
  <c r="U149" i="10"/>
  <c r="T147" i="10"/>
  <c r="N145" i="10"/>
  <c r="L143" i="10"/>
  <c r="AF140" i="10"/>
  <c r="AG138" i="10"/>
  <c r="K137" i="10"/>
  <c r="S135" i="10"/>
  <c r="Z133" i="10"/>
  <c r="Q132" i="10"/>
  <c r="AD130" i="10"/>
  <c r="V129" i="10"/>
  <c r="J128" i="10"/>
  <c r="W151" i="10"/>
  <c r="X144" i="10"/>
  <c r="R142" i="10"/>
  <c r="Q140" i="10"/>
  <c r="S138" i="10"/>
  <c r="W136" i="10"/>
  <c r="AD134" i="10"/>
  <c r="N133" i="10"/>
  <c r="AF131" i="10"/>
  <c r="AB151" i="10"/>
  <c r="S149" i="10"/>
  <c r="P147" i="10"/>
  <c r="L145" i="10"/>
  <c r="AG142" i="10"/>
  <c r="AD140" i="10"/>
  <c r="AE138" i="10"/>
  <c r="I137" i="10"/>
  <c r="P135" i="10"/>
  <c r="X133" i="10"/>
  <c r="J132" i="10"/>
  <c r="AC130" i="10"/>
  <c r="T129" i="10"/>
  <c r="I128" i="10"/>
  <c r="AA151" i="10"/>
  <c r="AG148" i="10"/>
  <c r="AC146" i="10"/>
  <c r="Y144" i="10"/>
  <c r="U142" i="10"/>
  <c r="R140" i="10"/>
  <c r="T138" i="10"/>
  <c r="X136" i="10"/>
  <c r="AF134" i="10"/>
  <c r="U133" i="10"/>
  <c r="AG131" i="10"/>
  <c r="AA130" i="10"/>
  <c r="M129" i="10"/>
  <c r="H152" i="10"/>
  <c r="Y146" i="10"/>
  <c r="P140" i="10"/>
  <c r="AC134" i="10"/>
  <c r="X130" i="10"/>
  <c r="H140" i="10"/>
  <c r="W146" i="10"/>
  <c r="L140" i="10"/>
  <c r="AA134" i="10"/>
  <c r="Q130" i="10"/>
  <c r="H139" i="10"/>
  <c r="AG150" i="10"/>
  <c r="K146" i="10"/>
  <c r="Z139" i="10"/>
  <c r="Q134" i="10"/>
  <c r="P130" i="10"/>
  <c r="H138" i="10"/>
  <c r="AF150" i="10"/>
  <c r="J146" i="10"/>
  <c r="X139" i="10"/>
  <c r="P134" i="10"/>
  <c r="O130" i="10"/>
  <c r="AD150" i="10"/>
  <c r="W144" i="10"/>
  <c r="R138" i="10"/>
  <c r="M133" i="10"/>
  <c r="L130" i="10"/>
  <c r="AE148" i="10"/>
  <c r="AE132" i="10"/>
  <c r="AH128" i="10"/>
  <c r="AA148" i="10"/>
  <c r="Q142" i="10"/>
  <c r="V136" i="10"/>
  <c r="AD131" i="10"/>
  <c r="AF128" i="10"/>
  <c r="O148" i="10"/>
  <c r="X128" i="10"/>
  <c r="L148" i="10"/>
  <c r="AB141" i="10"/>
  <c r="J136" i="10"/>
  <c r="T131" i="10"/>
  <c r="H150" i="10"/>
  <c r="Z146" i="10"/>
  <c r="Z137" i="10"/>
  <c r="O142" i="10"/>
  <c r="I136" i="10"/>
  <c r="H147" i="10"/>
  <c r="S131" i="10"/>
  <c r="T136" i="10"/>
  <c r="Q150" i="10"/>
  <c r="S144" i="10"/>
  <c r="M138" i="10"/>
  <c r="L133" i="10"/>
  <c r="K129" i="10"/>
  <c r="AF148" i="10"/>
  <c r="AF143" i="10"/>
  <c r="AB137" i="10"/>
  <c r="I133" i="10"/>
  <c r="J129" i="10"/>
  <c r="AC143" i="10"/>
  <c r="AB131" i="10"/>
  <c r="AA141" i="10"/>
  <c r="BM145" i="10"/>
  <c r="AX129" i="10"/>
  <c r="BC131" i="10"/>
  <c r="AY143" i="10"/>
  <c r="AI142" i="10"/>
  <c r="BN148" i="10"/>
  <c r="AP132" i="10"/>
  <c r="AO131" i="10"/>
  <c r="AZ130" i="10"/>
  <c r="BD146" i="10"/>
  <c r="AW139" i="10"/>
  <c r="BE150" i="10"/>
  <c r="BB150" i="10"/>
  <c r="AW145" i="10"/>
  <c r="BA150" i="10"/>
  <c r="AK146" i="10"/>
  <c r="AR141" i="10"/>
  <c r="AY136" i="10"/>
  <c r="AU132" i="10"/>
  <c r="AV146" i="10"/>
  <c r="BN152" i="10"/>
  <c r="AX148" i="10"/>
  <c r="AP140" i="10"/>
  <c r="AI149" i="10"/>
  <c r="BD145" i="10"/>
  <c r="BH139" i="10"/>
  <c r="BK134" i="10"/>
  <c r="AT130" i="10"/>
  <c r="AW131" i="10"/>
  <c r="BL151" i="10"/>
  <c r="BE144" i="10"/>
  <c r="BN138" i="10"/>
  <c r="BB129" i="10"/>
  <c r="AU147" i="10"/>
  <c r="BH141" i="10"/>
  <c r="AH137" i="10"/>
  <c r="AM132" i="10"/>
  <c r="AR150" i="10"/>
  <c r="AN144" i="10"/>
  <c r="AX138" i="10"/>
  <c r="AY132" i="10"/>
  <c r="AS152" i="10"/>
  <c r="AZ145" i="10"/>
  <c r="AW140" i="10"/>
  <c r="BG142" i="10"/>
  <c r="AR134" i="10"/>
  <c r="AP138" i="10"/>
  <c r="AR128" i="10"/>
  <c r="BC143" i="10"/>
  <c r="AO148" i="10"/>
  <c r="AL151" i="10"/>
  <c r="BN141" i="10"/>
  <c r="AI141" i="10"/>
  <c r="BN143" i="10"/>
  <c r="BL134" i="10"/>
  <c r="BF152" i="10"/>
  <c r="AW142" i="10"/>
  <c r="BF134" i="10"/>
  <c r="BE152" i="10"/>
  <c r="AK143" i="10"/>
  <c r="AR135" i="10"/>
  <c r="AN128" i="10"/>
  <c r="BE128" i="10"/>
  <c r="BC134" i="10"/>
  <c r="AK144" i="10"/>
  <c r="AI132" i="10"/>
  <c r="AJ131" i="10"/>
  <c r="AP144" i="10"/>
  <c r="AZ138" i="10"/>
  <c r="BK128" i="10"/>
  <c r="AT141" i="10"/>
  <c r="BD136" i="10"/>
  <c r="BI131" i="10"/>
  <c r="BH149" i="10"/>
  <c r="BH143" i="10"/>
  <c r="AK138" i="10"/>
  <c r="AL132" i="10"/>
  <c r="AH145" i="10"/>
  <c r="AJ152" i="10"/>
  <c r="AO141" i="10"/>
  <c r="BK133" i="10"/>
  <c r="AK137" i="10"/>
  <c r="AP134" i="10"/>
  <c r="AU142" i="10"/>
  <c r="BF146" i="10"/>
  <c r="AM150" i="10"/>
  <c r="AN141" i="10"/>
  <c r="AM143" i="10"/>
  <c r="BI133" i="10"/>
  <c r="AI151" i="10"/>
  <c r="BL141" i="10"/>
  <c r="AO134" i="10"/>
  <c r="BG151" i="10"/>
  <c r="AV142" i="10"/>
  <c r="BE134" i="10"/>
  <c r="AH150" i="10"/>
  <c r="AZ152" i="10"/>
  <c r="AH133" i="10"/>
  <c r="BK145" i="10"/>
  <c r="AO140" i="10"/>
  <c r="AX151" i="10"/>
  <c r="AV144" i="10"/>
  <c r="AZ149" i="10"/>
  <c r="AJ145" i="10"/>
  <c r="AQ140" i="10"/>
  <c r="BF131" i="10"/>
  <c r="BF144" i="10"/>
  <c r="AP152" i="10"/>
  <c r="BJ152" i="10"/>
  <c r="AV151" i="10"/>
  <c r="BI144" i="10"/>
  <c r="BB138" i="10"/>
  <c r="AJ134" i="10"/>
  <c r="AP129" i="10"/>
  <c r="BF130" i="10"/>
  <c r="AT150" i="10"/>
  <c r="AM138" i="10"/>
  <c r="BL152" i="10"/>
  <c r="AZ146" i="10"/>
  <c r="BM140" i="10"/>
  <c r="AQ136" i="10"/>
  <c r="BC149" i="10"/>
  <c r="AR137" i="10"/>
  <c r="BB136" i="10"/>
  <c r="BE146" i="10"/>
  <c r="AZ143" i="10"/>
  <c r="BD150" i="10"/>
  <c r="BB134" i="10"/>
  <c r="AR132" i="10"/>
  <c r="AQ131" i="10"/>
  <c r="AX150" i="10"/>
  <c r="BA143" i="10"/>
  <c r="AN151" i="10"/>
  <c r="AP150" i="10"/>
  <c r="AK145" i="10"/>
  <c r="AO150" i="10"/>
  <c r="AV145" i="10"/>
  <c r="BC140" i="10"/>
  <c r="AM136" i="10"/>
  <c r="AI145" i="10"/>
  <c r="BB152" i="10"/>
  <c r="AL148" i="10"/>
  <c r="BM139" i="10"/>
  <c r="AW152" i="10"/>
  <c r="AO145" i="10"/>
  <c r="AT139" i="10"/>
  <c r="AX134" i="10"/>
  <c r="BC129" i="10"/>
  <c r="AU151" i="10"/>
  <c r="BO146" i="10"/>
  <c r="BH151" i="10"/>
  <c r="BG135" i="10"/>
  <c r="AL131" i="10"/>
  <c r="AN131" i="10"/>
  <c r="AI140" i="10"/>
  <c r="BD148" i="10"/>
  <c r="AP145" i="10"/>
  <c r="AO152" i="10"/>
  <c r="AO137" i="10"/>
  <c r="AL136" i="10"/>
  <c r="AO136" i="10"/>
  <c r="BF129" i="10"/>
  <c r="BF145" i="10"/>
  <c r="BM149" i="10"/>
  <c r="BJ135" i="10"/>
  <c r="BL145" i="10"/>
  <c r="AU138" i="10"/>
  <c r="AT132" i="10"/>
  <c r="AK152" i="10"/>
  <c r="BB128" i="10"/>
  <c r="AN152" i="10"/>
  <c r="AU133" i="10"/>
  <c r="AR147" i="10"/>
  <c r="BE149" i="10"/>
  <c r="AW143" i="10"/>
  <c r="BG136" i="10"/>
  <c r="AY134" i="10"/>
  <c r="AN130" i="10"/>
  <c r="AZ148" i="10"/>
  <c r="BO152" i="10"/>
  <c r="AY148" i="10"/>
  <c r="AI144" i="10"/>
  <c r="AP139" i="10"/>
  <c r="BI134" i="10"/>
  <c r="BE130" i="10"/>
  <c r="AS143" i="10"/>
  <c r="AO151" i="10"/>
  <c r="BH146" i="10"/>
  <c r="BI151" i="10"/>
  <c r="AT149" i="10"/>
  <c r="BB142" i="10"/>
  <c r="AW137" i="10"/>
  <c r="BO132" i="10"/>
  <c r="AI137" i="10"/>
  <c r="AX128" i="10"/>
  <c r="BI148" i="10"/>
  <c r="BA142" i="10"/>
  <c r="BE136" i="10"/>
  <c r="AT151" i="10"/>
  <c r="AM145" i="10"/>
  <c r="BF139" i="10"/>
  <c r="BH134" i="10"/>
  <c r="BA129" i="10"/>
  <c r="BL147" i="10"/>
  <c r="BG141" i="10"/>
  <c r="AP136" i="10"/>
  <c r="AP130" i="10"/>
  <c r="BF149" i="10"/>
  <c r="AP143" i="10"/>
  <c r="BC148" i="10"/>
  <c r="AQ138" i="10"/>
  <c r="BB131" i="10"/>
  <c r="BM134" i="10"/>
  <c r="AU129" i="10"/>
  <c r="AU136" i="10"/>
  <c r="AS140" i="10"/>
  <c r="AI147" i="10"/>
  <c r="AN133" i="10"/>
  <c r="AL150" i="10"/>
  <c r="BL139" i="10"/>
  <c r="AX137" i="10"/>
  <c r="BD147" i="10"/>
  <c r="BE138" i="10"/>
  <c r="AY131" i="10"/>
  <c r="AV148" i="10"/>
  <c r="AL139" i="10"/>
  <c r="AX132" i="10"/>
  <c r="AJ143" i="10"/>
  <c r="AX144" i="10"/>
  <c r="BM131" i="10"/>
  <c r="BB149" i="10"/>
  <c r="BJ142" i="10"/>
  <c r="AI135" i="10"/>
  <c r="BA128" i="10"/>
  <c r="BG129" i="10"/>
  <c r="AM130" i="10"/>
  <c r="AM137" i="10"/>
  <c r="AL130" i="10"/>
  <c r="AT128" i="10"/>
  <c r="BC146" i="10"/>
  <c r="BD128" i="10"/>
  <c r="BE135" i="10"/>
  <c r="AN136" i="10"/>
  <c r="AN148" i="10"/>
  <c r="BC152" i="10"/>
  <c r="AM148" i="10"/>
  <c r="BF143" i="10"/>
  <c r="BM138" i="10"/>
  <c r="AW134" i="10"/>
  <c r="AS130" i="10"/>
  <c r="AY133" i="10"/>
  <c r="AK148" i="10"/>
  <c r="BG140" i="10"/>
  <c r="AQ147" i="10"/>
  <c r="AS132" i="10"/>
  <c r="BD131" i="10"/>
  <c r="AO147" i="10"/>
  <c r="AM147" i="10"/>
  <c r="BK148" i="10"/>
  <c r="BD141" i="10"/>
  <c r="AV133" i="10"/>
  <c r="BD142" i="10"/>
  <c r="AM149" i="10"/>
  <c r="AL152" i="10"/>
  <c r="AH147" i="10"/>
  <c r="BJ137" i="10"/>
  <c r="AX131" i="10"/>
  <c r="AO129" i="10"/>
  <c r="AI146" i="10"/>
  <c r="BI137" i="10"/>
  <c r="AR149" i="10"/>
  <c r="AY140" i="10"/>
  <c r="BD133" i="10"/>
  <c r="BI150" i="10"/>
  <c r="AK142" i="10"/>
  <c r="BG134" i="10"/>
  <c r="AI128" i="10"/>
  <c r="BD143" i="10"/>
  <c r="AR146" i="10"/>
  <c r="BN134" i="10"/>
  <c r="AU135" i="10"/>
  <c r="BA152" i="10"/>
  <c r="BF150" i="10"/>
  <c r="BF147" i="10"/>
  <c r="BF151" i="10"/>
  <c r="BJ144" i="10"/>
  <c r="AP128" i="10"/>
  <c r="AT145" i="10"/>
  <c r="AS135" i="10"/>
  <c r="AK149" i="10"/>
  <c r="AY137" i="10"/>
  <c r="BF128" i="10"/>
  <c r="BN145" i="10"/>
  <c r="BF135" i="10"/>
  <c r="AK128" i="10"/>
  <c r="AT134" i="10"/>
  <c r="AR151" i="10"/>
  <c r="BE145" i="10"/>
  <c r="AO133" i="10"/>
  <c r="AQ134" i="10"/>
  <c r="AJ149" i="10"/>
  <c r="AQ145" i="10"/>
  <c r="AQ146" i="10"/>
  <c r="BC142" i="10"/>
  <c r="AM134" i="10"/>
  <c r="BA144" i="10"/>
  <c r="BG133" i="10"/>
  <c r="BC147" i="10"/>
  <c r="BN136" i="10"/>
  <c r="AP148" i="10"/>
  <c r="AI143" i="10"/>
  <c r="AR138" i="10"/>
  <c r="BA134" i="10"/>
  <c r="AY141" i="10"/>
  <c r="BI132" i="10"/>
  <c r="BC150" i="10"/>
  <c r="AK130" i="10"/>
  <c r="BI130" i="10"/>
  <c r="AK129" i="10"/>
  <c r="AL146" i="10"/>
  <c r="AX147" i="10"/>
  <c r="BB139" i="10"/>
  <c r="BG132" i="10"/>
  <c r="AQ141" i="10"/>
  <c r="BI147" i="10"/>
  <c r="AK151" i="10"/>
  <c r="AM146" i="10"/>
  <c r="BF136" i="10"/>
  <c r="BG130" i="10"/>
  <c r="AQ130" i="10"/>
  <c r="AN145" i="10"/>
  <c r="AR136" i="10"/>
  <c r="AS148" i="10"/>
  <c r="AR139" i="10"/>
  <c r="BM132" i="10"/>
  <c r="BG148" i="10"/>
  <c r="AX140" i="10"/>
  <c r="BC133" i="10"/>
  <c r="BG150" i="10"/>
  <c r="AX142" i="10"/>
  <c r="BL144" i="10"/>
  <c r="BF132" i="10"/>
  <c r="BE132" i="10"/>
  <c r="BB147" i="10"/>
  <c r="BB143" i="10"/>
  <c r="AY145" i="10"/>
  <c r="BM136" i="10"/>
  <c r="BN131" i="10"/>
  <c r="BM143" i="10"/>
  <c r="AL133" i="10"/>
  <c r="BK146" i="10"/>
  <c r="AV136" i="10"/>
  <c r="BG146" i="10"/>
  <c r="AT142" i="10"/>
  <c r="AY139" i="10"/>
  <c r="AS138" i="10"/>
  <c r="AW135" i="10"/>
  <c r="AZ151" i="10"/>
  <c r="BC139" i="10"/>
  <c r="BO149" i="10"/>
  <c r="BG131" i="10"/>
  <c r="AY151" i="10"/>
  <c r="BI145" i="10"/>
  <c r="AL147" i="10"/>
  <c r="BA138" i="10"/>
  <c r="AT131" i="10"/>
  <c r="BB140" i="10"/>
  <c r="AW147" i="10"/>
  <c r="AV150" i="10"/>
  <c r="AQ144" i="10"/>
  <c r="AS136" i="10"/>
  <c r="AY128" i="10"/>
  <c r="BN129" i="10"/>
  <c r="BJ143" i="10"/>
  <c r="AN135" i="10"/>
  <c r="BM147" i="10"/>
  <c r="BL138" i="10"/>
  <c r="AZ132" i="10"/>
  <c r="AR148" i="10"/>
  <c r="AJ140" i="10"/>
  <c r="AP133" i="10"/>
  <c r="AQ150" i="10"/>
  <c r="AJ142" i="10"/>
  <c r="AO143" i="10"/>
  <c r="AK132" i="10"/>
  <c r="AR145" i="10"/>
  <c r="BB141" i="10"/>
  <c r="BK144" i="10"/>
  <c r="AQ129" i="10"/>
  <c r="BD140" i="10"/>
  <c r="BI129" i="10"/>
  <c r="AL143" i="10"/>
  <c r="BC132" i="10"/>
  <c r="AN146" i="10"/>
  <c r="BI135" i="10"/>
  <c r="AY144" i="10"/>
  <c r="BD139" i="10"/>
  <c r="AQ142" i="10"/>
  <c r="AM131" i="10"/>
  <c r="AU128" i="10"/>
  <c r="BK132" i="10"/>
  <c r="AJ144" i="10"/>
  <c r="BI146" i="10"/>
  <c r="AO138" i="10"/>
  <c r="AH131" i="10"/>
  <c r="BA139" i="10"/>
  <c r="AJ150" i="10"/>
  <c r="AV143" i="10"/>
  <c r="BO135" i="10"/>
  <c r="AL128" i="10"/>
  <c r="AN129" i="10"/>
  <c r="AU143" i="10"/>
  <c r="AV134" i="10"/>
  <c r="AH146" i="10"/>
  <c r="AV131" i="10"/>
  <c r="AT147" i="10"/>
  <c r="BE139" i="10"/>
  <c r="AP149" i="10"/>
  <c r="BF141" i="10"/>
  <c r="BF140" i="10"/>
  <c r="AQ137" i="10"/>
  <c r="BB130" i="10"/>
  <c r="BE148" i="10"/>
  <c r="AJ129" i="10"/>
  <c r="AZ141" i="10"/>
  <c r="BO133" i="10"/>
  <c r="BO148" i="10"/>
  <c r="AX146" i="10"/>
  <c r="BJ147" i="10"/>
  <c r="BN139" i="10"/>
  <c r="AJ133" i="10"/>
  <c r="BO141" i="10"/>
  <c r="BJ148" i="10"/>
  <c r="AW151" i="10"/>
  <c r="BB146" i="10"/>
  <c r="AJ137" i="10"/>
  <c r="AK131" i="10"/>
  <c r="BC145" i="10"/>
  <c r="AV137" i="10"/>
  <c r="BH148" i="10"/>
  <c r="AK140" i="10"/>
  <c r="AQ133" i="10"/>
  <c r="AQ149" i="10"/>
  <c r="AS141" i="10"/>
  <c r="BL142" i="10"/>
  <c r="AT140" i="10"/>
  <c r="AT146" i="10"/>
  <c r="AM141" i="10"/>
  <c r="AW144" i="10"/>
  <c r="BA131" i="10"/>
  <c r="AP131" i="10"/>
  <c r="AI148" i="10"/>
  <c r="AR140" i="10"/>
  <c r="AR144" i="10"/>
  <c r="BD151" i="10"/>
  <c r="AK147" i="10"/>
  <c r="AW133" i="10"/>
  <c r="AY129" i="10"/>
  <c r="AH142" i="10"/>
  <c r="BE129" i="10"/>
  <c r="AQ132" i="10"/>
  <c r="BE137" i="10"/>
  <c r="AS134" i="10"/>
  <c r="BD152" i="10"/>
  <c r="BG143" i="10"/>
  <c r="AW146" i="10"/>
  <c r="BL137" i="10"/>
  <c r="BD129" i="10"/>
  <c r="AO139" i="10"/>
  <c r="AJ146" i="10"/>
  <c r="BG149" i="10"/>
  <c r="AN142" i="10"/>
  <c r="BB135" i="10"/>
  <c r="BA135" i="10"/>
  <c r="AW128" i="10"/>
  <c r="BO142" i="10"/>
  <c r="BA132" i="10"/>
  <c r="BB145" i="10"/>
  <c r="AL138" i="10"/>
  <c r="AI131" i="10"/>
  <c r="BN146" i="10"/>
  <c r="AQ139" i="10"/>
  <c r="AU131" i="10"/>
  <c r="BF148" i="10"/>
  <c r="AP141" i="10"/>
  <c r="AV139" i="10"/>
  <c r="AH130" i="10"/>
  <c r="AV129" i="10"/>
  <c r="AK139" i="10"/>
  <c r="BL136" i="10"/>
  <c r="AN143" i="10"/>
  <c r="AH152" i="10"/>
  <c r="BF138" i="10"/>
  <c r="AJ139" i="10"/>
  <c r="AV140" i="10"/>
  <c r="AV130" i="10"/>
  <c r="AZ144" i="10"/>
  <c r="BB133" i="10"/>
  <c r="BI139" i="10"/>
  <c r="BO137" i="10"/>
  <c r="AJ136" i="10"/>
  <c r="BJ138" i="10"/>
  <c r="AY150" i="10"/>
  <c r="BH129" i="10"/>
  <c r="AP137" i="10"/>
  <c r="AN140" i="10"/>
  <c r="BD135" i="10"/>
  <c r="AR152" i="10"/>
  <c r="AQ152" i="10"/>
  <c r="BG144" i="10"/>
  <c r="AZ137" i="10"/>
  <c r="AR129" i="10"/>
  <c r="BM151" i="10"/>
  <c r="BG145" i="10"/>
  <c r="AU149" i="10"/>
  <c r="BJ141" i="10"/>
  <c r="AO135" i="10"/>
  <c r="BJ134" i="10"/>
  <c r="AV152" i="10"/>
  <c r="AM142" i="10"/>
  <c r="BJ131" i="10"/>
  <c r="BD144" i="10"/>
  <c r="BH137" i="10"/>
  <c r="BD130" i="10"/>
  <c r="AY146" i="10"/>
  <c r="BK138" i="10"/>
  <c r="BC130" i="10"/>
  <c r="AQ148" i="10"/>
  <c r="BK140" i="10"/>
  <c r="BH138" i="10"/>
  <c r="AW129" i="10"/>
  <c r="BM128" i="10"/>
  <c r="BC138" i="10"/>
  <c r="AP135" i="10"/>
  <c r="BF142" i="10"/>
  <c r="AJ151" i="10"/>
  <c r="AJ138" i="10"/>
  <c r="AL134" i="10"/>
  <c r="AM139" i="10"/>
  <c r="BK129" i="10"/>
  <c r="BL143" i="10"/>
  <c r="AK133" i="10"/>
  <c r="BH135" i="10"/>
  <c r="AT136" i="10"/>
  <c r="AT138" i="10"/>
  <c r="BA141" i="10"/>
  <c r="AM152" i="10"/>
  <c r="AO142" i="10"/>
  <c r="AX141" i="10"/>
  <c r="BA130" i="10"/>
  <c r="AN147" i="10"/>
  <c r="BC151" i="10"/>
  <c r="BN151" i="10"/>
  <c r="AU144" i="10"/>
  <c r="AN137" i="10"/>
  <c r="BC128" i="10"/>
  <c r="BA151" i="10"/>
  <c r="AU145" i="10"/>
  <c r="BO150" i="10"/>
  <c r="AV141" i="10"/>
  <c r="BF133" i="10"/>
  <c r="AI134" i="10"/>
  <c r="BJ149" i="10"/>
  <c r="AU141" i="10"/>
  <c r="AR130" i="10"/>
  <c r="AO144" i="10"/>
  <c r="AU137" i="10"/>
  <c r="AJ128" i="10"/>
  <c r="BA145" i="10"/>
  <c r="BG137" i="10"/>
  <c r="BM129" i="10"/>
  <c r="AS147" i="10"/>
  <c r="AM151" i="10"/>
  <c r="BD137" i="10"/>
  <c r="AS128" i="10"/>
  <c r="AM133" i="10"/>
  <c r="AQ135" i="10"/>
  <c r="AZ133" i="10"/>
  <c r="BO139" i="10"/>
  <c r="AV149" i="10"/>
  <c r="BB137" i="10"/>
  <c r="AK150" i="10"/>
  <c r="AI138" i="10"/>
  <c r="AT129" i="10"/>
  <c r="AK141" i="10"/>
  <c r="BO131" i="10"/>
  <c r="BD134" i="10"/>
  <c r="AV132" i="10"/>
  <c r="AW141" i="10"/>
  <c r="BN144" i="10"/>
  <c r="BH130" i="10"/>
  <c r="AI129" i="10"/>
  <c r="AS144" i="10"/>
  <c r="BH132" i="10"/>
  <c r="BL131" i="10"/>
  <c r="AQ151" i="10"/>
  <c r="BB151" i="10"/>
  <c r="AT143" i="10"/>
  <c r="AX135" i="10"/>
  <c r="AQ128" i="10"/>
  <c r="BL150" i="10"/>
  <c r="AT144" i="10"/>
  <c r="AU150" i="10"/>
  <c r="AH141" i="10"/>
  <c r="AS133" i="10"/>
  <c r="BE133" i="10"/>
  <c r="AS149" i="10"/>
  <c r="AZ140" i="10"/>
  <c r="AU152" i="10"/>
  <c r="BI143" i="10"/>
  <c r="AZ135" i="10"/>
  <c r="BK152" i="10"/>
  <c r="AZ139" i="10"/>
  <c r="AO149" i="10"/>
  <c r="AH144" i="10"/>
  <c r="AM140" i="10"/>
  <c r="BG139" i="10"/>
  <c r="AT152" i="10"/>
  <c r="AZ129" i="10"/>
  <c r="AL137" i="10"/>
  <c r="BH128" i="10"/>
  <c r="BO143" i="10"/>
  <c r="AT135" i="10"/>
  <c r="BK135" i="10"/>
  <c r="AS131" i="10"/>
  <c r="AT133" i="10"/>
  <c r="BE143" i="10"/>
  <c r="AS139" i="10"/>
  <c r="BJ151" i="10"/>
  <c r="AM129" i="10"/>
  <c r="BA136" i="10"/>
  <c r="BL130" i="10"/>
  <c r="AU139" i="10"/>
  <c r="BM130" i="10"/>
  <c r="AU130" i="10"/>
  <c r="AZ134" i="10"/>
  <c r="AX133" i="10"/>
  <c r="BD149" i="10"/>
  <c r="AP151" i="10"/>
  <c r="AZ150" i="10"/>
  <c r="BB132" i="10"/>
  <c r="BK151" i="10"/>
  <c r="AS151" i="10"/>
  <c r="BI128" i="10"/>
  <c r="AI136" i="10"/>
  <c r="AJ141" i="10"/>
  <c r="BC137" i="10"/>
  <c r="AW130" i="10"/>
  <c r="BG128" i="10"/>
  <c r="BJ129" i="10"/>
  <c r="AP147" i="10"/>
  <c r="AK136" i="10"/>
  <c r="AV138" i="10"/>
  <c r="BM150" i="10"/>
  <c r="AN150" i="10"/>
  <c r="AO132" i="10"/>
  <c r="AS150" i="10"/>
  <c r="AL145" i="10"/>
  <c r="AV128" i="10"/>
  <c r="AV135" i="10"/>
  <c r="AI133" i="10"/>
  <c r="BE151" i="10"/>
  <c r="AO128" i="10"/>
  <c r="AS129" i="10"/>
  <c r="AL129" i="10"/>
  <c r="AS146" i="10"/>
  <c r="AN149" i="10"/>
  <c r="AY149" i="10"/>
  <c r="BK131" i="10"/>
  <c r="BC144" i="10"/>
  <c r="AU146" i="10"/>
  <c r="AY130" i="10"/>
  <c r="AW132" i="10"/>
  <c r="BO130" i="10"/>
  <c r="AL149" i="10"/>
  <c r="AH151" i="10"/>
  <c r="BE141" i="10"/>
  <c r="AM128" i="10"/>
  <c r="AS142" i="10"/>
  <c r="AL142" i="10"/>
  <c r="AT137" i="10"/>
  <c r="AZ136" i="10"/>
  <c r="AS137" i="10"/>
  <c r="AO146" i="10"/>
  <c r="AH149" i="10"/>
  <c r="BE131" i="10"/>
  <c r="AT148" i="10"/>
  <c r="AW150" i="10"/>
  <c r="BH152" i="10"/>
  <c r="AL141" i="10"/>
  <c r="BA147" i="10"/>
  <c r="AX139" i="10"/>
  <c r="BO147" i="10"/>
  <c r="AM135" i="10"/>
  <c r="AX149" i="10"/>
  <c r="AI152" i="10"/>
  <c r="BA137" i="10"/>
  <c r="BD138" i="10"/>
  <c r="AI139" i="10"/>
  <c r="AU134" i="10"/>
  <c r="BG147" i="10"/>
  <c r="AW149" i="10"/>
  <c r="BO136" i="10"/>
  <c r="AH129" i="10"/>
  <c r="BA149" i="10"/>
  <c r="AL140" i="10"/>
  <c r="BH131" i="10"/>
  <c r="AZ131" i="10"/>
  <c r="AX136" i="10"/>
  <c r="AN134" i="10"/>
  <c r="AL144" i="10"/>
  <c r="AY147" i="10"/>
  <c r="AN138" i="10"/>
  <c r="BD132" i="10"/>
  <c r="AJ132" i="10"/>
  <c r="BI149" i="10"/>
  <c r="BO144" i="10"/>
  <c r="AL135" i="10"/>
  <c r="AK134" i="10"/>
  <c r="BH133" i="10"/>
  <c r="AJ148" i="10"/>
  <c r="AJ135" i="10"/>
  <c r="AH143" i="10"/>
  <c r="AR142" i="10"/>
  <c r="AR133" i="10"/>
  <c r="AR143" i="10"/>
  <c r="AQ143" i="10"/>
  <c r="BO145" i="10"/>
  <c r="BE140" i="10"/>
  <c r="AO130" i="10"/>
  <c r="BG152" i="10"/>
  <c r="AW148" i="10"/>
  <c r="AI150" i="10"/>
  <c r="BA133" i="10"/>
  <c r="AZ128" i="10"/>
  <c r="BF137" i="10"/>
  <c r="BE142" i="10"/>
  <c r="BC141" i="10"/>
  <c r="AN132" i="10"/>
  <c r="AZ142" i="10"/>
  <c r="AY142" i="10"/>
  <c r="BB144" i="10"/>
  <c r="BG138" i="10"/>
  <c r="BA148" i="10"/>
  <c r="BL146" i="10"/>
  <c r="AS145" i="10"/>
  <c r="AR131" i="10"/>
  <c r="AX143" i="10"/>
  <c r="AX152" i="10"/>
  <c r="BO129" i="10"/>
  <c r="AM144" i="10"/>
  <c r="BE147" i="10"/>
  <c r="AU140" i="10"/>
  <c r="BJ136" i="10"/>
  <c r="AU148" i="10"/>
  <c r="AY138" i="10"/>
  <c r="BC136" i="10"/>
  <c r="AH136" i="10"/>
  <c r="AP146" i="10"/>
  <c r="BJ139" i="10"/>
  <c r="BC135" i="10"/>
  <c r="AV147" i="10"/>
  <c r="AY135" i="10"/>
  <c r="AX130" i="10"/>
  <c r="AX145" i="10"/>
  <c r="AW138" i="10"/>
  <c r="AP142" i="10"/>
  <c r="AZ147" i="10"/>
  <c r="BA146" i="10"/>
  <c r="AK135" i="10"/>
  <c r="AH132" i="10"/>
  <c r="AN139" i="10"/>
  <c r="AH138" i="10"/>
  <c r="AJ130" i="10"/>
  <c r="BA140" i="10"/>
  <c r="AH134" i="10"/>
  <c r="AJ147" i="10"/>
  <c r="BB148" i="10"/>
  <c r="AW136" i="10"/>
  <c r="AI130" i="10"/>
  <c r="BK147" i="10"/>
  <c r="BH150" i="10"/>
  <c r="BN140" i="10"/>
  <c r="BN130" i="10"/>
  <c r="BN137" i="10"/>
  <c r="BH145" i="10"/>
  <c r="BL135" i="10"/>
  <c r="BM137" i="10"/>
  <c r="BK136" i="10"/>
  <c r="BL149" i="10"/>
  <c r="BM135" i="10"/>
  <c r="BO134" i="10"/>
  <c r="BN142" i="10"/>
  <c r="BJ145" i="10"/>
  <c r="BK142" i="10"/>
  <c r="BJ128" i="10"/>
  <c r="BK137" i="10"/>
  <c r="BJ130" i="10"/>
  <c r="BI138" i="10"/>
  <c r="BI136" i="10"/>
  <c r="BO151" i="10"/>
  <c r="BK149" i="10"/>
  <c r="BH147" i="10"/>
  <c r="BI142" i="10"/>
  <c r="BM146" i="10"/>
  <c r="BM142" i="10"/>
  <c r="BM141" i="10"/>
  <c r="BL140" i="10"/>
  <c r="BM144" i="10"/>
  <c r="BO140" i="10"/>
  <c r="BM133" i="10"/>
  <c r="BN147" i="10"/>
  <c r="BJ132" i="10"/>
  <c r="BH142" i="10"/>
  <c r="BN150" i="10"/>
  <c r="BK150" i="10"/>
  <c r="BK139" i="10"/>
  <c r="BH140" i="10"/>
  <c r="BL129" i="10"/>
  <c r="BN132" i="10"/>
  <c r="BN135" i="10"/>
  <c r="BN128" i="10"/>
  <c r="BH136" i="10"/>
  <c r="BJ133" i="10"/>
  <c r="BO138" i="10"/>
  <c r="BJ146" i="10"/>
  <c r="BN133" i="10"/>
  <c r="BL132" i="10"/>
  <c r="BN149" i="10"/>
  <c r="BI152" i="10"/>
  <c r="BK141" i="10"/>
  <c r="BJ150" i="10"/>
  <c r="BO128" i="10"/>
  <c r="BM152" i="10"/>
  <c r="BJ140" i="10"/>
  <c r="BH144" i="10"/>
  <c r="BL128" i="10"/>
  <c r="BI141" i="10"/>
  <c r="BK130" i="10"/>
  <c r="BL148" i="10"/>
  <c r="BM148" i="10"/>
  <c r="BK143" i="10"/>
  <c r="BI140" i="10"/>
  <c r="AY152" i="10"/>
  <c r="BL133" i="10"/>
  <c r="H127" i="10"/>
  <c r="AR127" i="10"/>
  <c r="AF127" i="10"/>
  <c r="T127" i="10"/>
  <c r="BC127" i="10"/>
  <c r="AE127" i="10"/>
  <c r="AX127" i="10"/>
  <c r="AK127" i="10"/>
  <c r="BH127" i="10"/>
  <c r="BG127" i="10"/>
  <c r="K127" i="10"/>
  <c r="AG127" i="10"/>
  <c r="BO127" i="10"/>
  <c r="AQ127" i="10"/>
  <c r="S127" i="10"/>
  <c r="Z127" i="10"/>
  <c r="Y127" i="10"/>
  <c r="AH127" i="10"/>
  <c r="U127" i="10"/>
  <c r="BB127" i="10"/>
  <c r="AP127" i="10"/>
  <c r="R127" i="10"/>
  <c r="M127" i="10"/>
  <c r="AJ127" i="10"/>
  <c r="J127" i="10"/>
  <c r="BM127" i="10"/>
  <c r="BA127" i="10"/>
  <c r="AO127" i="10"/>
  <c r="AC127" i="10"/>
  <c r="AL127" i="10"/>
  <c r="AW127" i="10"/>
  <c r="W127" i="10"/>
  <c r="BF127" i="10"/>
  <c r="AS127" i="10"/>
  <c r="BL127" i="10"/>
  <c r="AZ127" i="10"/>
  <c r="AN127" i="10"/>
  <c r="AB127" i="10"/>
  <c r="P127" i="10"/>
  <c r="AM127" i="10"/>
  <c r="AA127" i="10"/>
  <c r="BJ127" i="10"/>
  <c r="N127" i="10"/>
  <c r="BI127" i="10"/>
  <c r="AV127" i="10"/>
  <c r="AU127" i="10"/>
  <c r="AI127" i="10"/>
  <c r="V127" i="10"/>
  <c r="BK127" i="10"/>
  <c r="I127" i="10"/>
  <c r="E21" i="13" l="1"/>
  <c r="C21" i="13"/>
  <c r="E7" i="11" a="1"/>
  <c r="E7" i="11" s="1"/>
  <c r="D7" i="11" s="1"/>
  <c r="O127" i="10"/>
  <c r="O153" i="10" s="1"/>
  <c r="X127" i="10"/>
  <c r="X153" i="10" s="1"/>
  <c r="AD127" i="10"/>
  <c r="AD153" i="10" s="1"/>
  <c r="AT127" i="10"/>
  <c r="AT153" i="10" s="1"/>
  <c r="BD127" i="10"/>
  <c r="BD153" i="10" s="1"/>
  <c r="BE127" i="10"/>
  <c r="BE153" i="10" s="1"/>
  <c r="AY127" i="10"/>
  <c r="AY153" i="10" s="1"/>
  <c r="Q127" i="10"/>
  <c r="Q153" i="10" s="1"/>
  <c r="BN127" i="10"/>
  <c r="BN153" i="10" s="1"/>
  <c r="L127" i="10"/>
  <c r="BK153" i="10"/>
  <c r="P153" i="10"/>
  <c r="AC153" i="10"/>
  <c r="U153" i="10"/>
  <c r="BH153" i="10"/>
  <c r="V153" i="10"/>
  <c r="Z153" i="10"/>
  <c r="AI153" i="10"/>
  <c r="S153" i="10"/>
  <c r="AK153" i="10"/>
  <c r="BA153" i="10"/>
  <c r="BL153" i="10"/>
  <c r="Y153" i="10"/>
  <c r="J153" i="10"/>
  <c r="AF153" i="10"/>
  <c r="BJ153" i="10"/>
  <c r="W153" i="10"/>
  <c r="R153" i="10"/>
  <c r="AG153" i="10"/>
  <c r="AR153" i="10"/>
  <c r="AH153" i="10"/>
  <c r="AU153" i="10"/>
  <c r="AV153" i="10"/>
  <c r="AQ153" i="10"/>
  <c r="M153" i="10"/>
  <c r="AS153" i="10"/>
  <c r="N153" i="10"/>
  <c r="H153" i="10"/>
  <c r="AO153" i="10"/>
  <c r="BM153" i="10"/>
  <c r="BI153" i="10"/>
  <c r="BF153" i="10"/>
  <c r="AW153" i="10"/>
  <c r="I153" i="10"/>
  <c r="AL153" i="10"/>
  <c r="BB153" i="10"/>
  <c r="BG153" i="10"/>
  <c r="AB153" i="10"/>
  <c r="AN153" i="10"/>
  <c r="AX153" i="10"/>
  <c r="AZ153" i="10"/>
  <c r="AE153" i="10"/>
  <c r="BC153" i="10"/>
  <c r="AJ153" i="10"/>
  <c r="T153" i="10"/>
  <c r="BO153" i="10"/>
  <c r="AA153" i="10"/>
  <c r="AP153" i="10"/>
  <c r="K153" i="10"/>
  <c r="AM153" i="10"/>
  <c r="C13" i="13" l="1"/>
  <c r="C20" i="13" s="1"/>
  <c r="E9" i="11"/>
  <c r="D9" i="11" s="1"/>
  <c r="G156" i="10" a="1"/>
  <c r="G331" i="10" a="1"/>
  <c r="Y357" i="10" s="1"/>
  <c r="L153" i="10"/>
  <c r="G156" i="10" l="1"/>
  <c r="G188" i="10" s="1" a="1"/>
  <c r="C24" i="13"/>
  <c r="E10" i="11"/>
  <c r="D10" i="11" s="1"/>
  <c r="AM357" i="10"/>
  <c r="Q357" i="10"/>
  <c r="AK357" i="10"/>
  <c r="Z357" i="10"/>
  <c r="AC357" i="10"/>
  <c r="BJ357" i="10"/>
  <c r="AO357" i="10"/>
  <c r="AA357" i="10"/>
  <c r="AP357" i="10"/>
  <c r="P357" i="10"/>
  <c r="BB357" i="10"/>
  <c r="T357" i="10"/>
  <c r="BN357" i="10"/>
  <c r="AF357" i="10"/>
  <c r="AZ357" i="10"/>
  <c r="AR357" i="10"/>
  <c r="L357" i="10"/>
  <c r="S357" i="10"/>
  <c r="N357" i="10"/>
  <c r="X357" i="10"/>
  <c r="AE357" i="10"/>
  <c r="I357" i="10"/>
  <c r="BI357" i="10"/>
  <c r="AQ357" i="10"/>
  <c r="AW357" i="10"/>
  <c r="AL357" i="10"/>
  <c r="BC357" i="10"/>
  <c r="AX357" i="10"/>
  <c r="O357" i="10"/>
  <c r="BK357" i="10"/>
  <c r="AY357" i="10"/>
  <c r="AN357" i="10"/>
  <c r="AB357" i="10"/>
  <c r="BL357" i="10"/>
  <c r="U357" i="10"/>
  <c r="J357" i="10"/>
  <c r="AG357" i="10"/>
  <c r="V357" i="10"/>
  <c r="AS357" i="10"/>
  <c r="AH357" i="10"/>
  <c r="BA357" i="10"/>
  <c r="BO357" i="10"/>
  <c r="E18" i="11" s="1"/>
  <c r="D18" i="11" s="1"/>
  <c r="BD357" i="10"/>
  <c r="BE357" i="10"/>
  <c r="AT357" i="10"/>
  <c r="BM357" i="10"/>
  <c r="K357" i="10"/>
  <c r="BG357" i="10"/>
  <c r="H357" i="10"/>
  <c r="BF357" i="10"/>
  <c r="BH357" i="10"/>
  <c r="R357" i="10"/>
  <c r="W357" i="10"/>
  <c r="AV357" i="10"/>
  <c r="AI357" i="10"/>
  <c r="G331" i="10"/>
  <c r="G357" i="10" s="1"/>
  <c r="AU357" i="10"/>
  <c r="AD357" i="10"/>
  <c r="AJ357" i="10"/>
  <c r="M357" i="10"/>
  <c r="G188" i="10" l="1"/>
  <c r="E11" i="11"/>
  <c r="D11" i="11" s="1"/>
  <c r="E24" i="13" a="1"/>
  <c r="E24" i="13" s="1"/>
  <c r="I8" i="10"/>
  <c r="J7" i="10" l="1"/>
  <c r="J8" i="10" s="1"/>
  <c r="K7" i="10" l="1"/>
  <c r="K8" i="10" s="1"/>
  <c r="L7" i="10" s="1"/>
  <c r="L8" i="10" s="1"/>
  <c r="M7" i="10" s="1"/>
  <c r="M8" i="10" s="1"/>
  <c r="N7" i="10" s="1"/>
  <c r="N8" i="10" s="1"/>
  <c r="O7" i="10" s="1"/>
  <c r="O8" i="10" s="1"/>
  <c r="P7" i="10" s="1"/>
  <c r="P8" i="10" s="1"/>
  <c r="Q7" i="10" s="1"/>
  <c r="Q8" i="10" s="1"/>
  <c r="R7" i="10" s="1"/>
  <c r="R8" i="10" s="1"/>
  <c r="S7" i="10" s="1"/>
  <c r="S8" i="10" s="1"/>
  <c r="T7" i="10" s="1"/>
  <c r="T8" i="10" s="1"/>
  <c r="U7" i="10" s="1"/>
  <c r="U8" i="10" s="1"/>
  <c r="V7" i="10" s="1"/>
  <c r="V8" i="10" s="1"/>
  <c r="W7" i="10" s="1"/>
  <c r="W8" i="10" s="1"/>
  <c r="X7" i="10" s="1"/>
  <c r="X8" i="10" s="1"/>
  <c r="Y7" i="10" s="1"/>
  <c r="Y8" i="10" s="1"/>
  <c r="Z7" i="10" s="1"/>
  <c r="Z8" i="10" s="1"/>
  <c r="AA7" i="10" s="1"/>
  <c r="AA8" i="10" s="1"/>
  <c r="AB7" i="10" s="1"/>
  <c r="AB8" i="10" s="1"/>
  <c r="AC7" i="10" s="1"/>
  <c r="AC8" i="10" s="1"/>
  <c r="AD7" i="10" s="1"/>
  <c r="AD8" i="10" s="1"/>
  <c r="AE7" i="10" s="1"/>
  <c r="AE8" i="10" s="1"/>
  <c r="AF7" i="10" s="1"/>
  <c r="AF8" i="10" s="1"/>
  <c r="AG7" i="10" s="1"/>
  <c r="AG8" i="10" s="1"/>
  <c r="AH7" i="10" s="1"/>
  <c r="AH8" i="10" s="1"/>
  <c r="AI7" i="10" s="1"/>
  <c r="AI8" i="10" s="1"/>
  <c r="AJ7" i="10" s="1"/>
  <c r="AJ8" i="10" s="1"/>
  <c r="AK7" i="10" s="1"/>
  <c r="AK8" i="10" s="1"/>
  <c r="AL7" i="10" s="1"/>
  <c r="AL8" i="10" s="1"/>
  <c r="AM7" i="10" s="1"/>
  <c r="AM8" i="10" s="1"/>
  <c r="AN7" i="10" s="1"/>
  <c r="AN8" i="10" s="1"/>
  <c r="AO7" i="10" s="1"/>
  <c r="AO8" i="10" s="1"/>
  <c r="AP7" i="10" s="1"/>
  <c r="AP8" i="10" s="1"/>
  <c r="AQ7" i="10" s="1"/>
  <c r="AQ8" i="10" s="1"/>
  <c r="AR7" i="10" s="1"/>
  <c r="AR8" i="10" s="1"/>
  <c r="AS7" i="10" s="1"/>
  <c r="AS8" i="10" s="1"/>
  <c r="AT7" i="10" s="1"/>
  <c r="AT8" i="10" s="1"/>
  <c r="AU7" i="10" s="1"/>
  <c r="AU8" i="10" s="1"/>
  <c r="AV7" i="10" s="1"/>
  <c r="AV8" i="10" s="1"/>
  <c r="AW7" i="10" s="1"/>
  <c r="AW8" i="10" s="1"/>
  <c r="AX7" i="10" s="1"/>
  <c r="AX8" i="10" s="1"/>
  <c r="AY7" i="10" s="1"/>
  <c r="AY8" i="10" s="1"/>
  <c r="AZ7" i="10" s="1"/>
  <c r="AZ8" i="10" s="1"/>
  <c r="BA7" i="10" s="1"/>
  <c r="BA8" i="10" s="1"/>
  <c r="BB7" i="10" s="1"/>
  <c r="BB8" i="10" s="1"/>
  <c r="BC7" i="10" s="1"/>
  <c r="BC8" i="10" s="1"/>
  <c r="BD7" i="10" s="1"/>
  <c r="BD8" i="10" s="1"/>
  <c r="BE7" i="10" s="1"/>
  <c r="BE8" i="10" s="1"/>
  <c r="BF7" i="10" s="1"/>
  <c r="BF8" i="10" s="1"/>
  <c r="BG7" i="10" s="1"/>
  <c r="BG8" i="10" s="1"/>
  <c r="BH7" i="10" s="1"/>
  <c r="BH8" i="10" s="1"/>
  <c r="BI7" i="10" s="1"/>
  <c r="BI8" i="10" s="1"/>
  <c r="BJ7" i="10" s="1"/>
  <c r="BJ8" i="10" s="1"/>
  <c r="BK7" i="10" s="1"/>
  <c r="BK8" i="10" s="1"/>
  <c r="BL7" i="10" s="1"/>
  <c r="BL8" i="10" s="1"/>
  <c r="BM7" i="10" s="1"/>
  <c r="BM8" i="10" s="1"/>
  <c r="BN7" i="10" s="1"/>
  <c r="BN8" i="10" s="1"/>
  <c r="BO7" i="10" s="1"/>
  <c r="BO8" i="10" s="1"/>
  <c r="E32" i="11"/>
  <c r="D32" i="11" s="1"/>
  <c r="G10" i="10" l="1" a="1"/>
  <c r="BN120" i="10" s="1"/>
  <c r="G11" i="10" a="1"/>
  <c r="BL491" i="10" s="1"/>
  <c r="BL493" i="10" s="1"/>
  <c r="BL499" i="10" s="1"/>
  <c r="G9" i="10" a="1"/>
  <c r="G9" i="10" s="1"/>
  <c r="H440" i="10" a="1"/>
  <c r="H440" i="10" s="1"/>
  <c r="I120" i="10" l="1"/>
  <c r="BI120" i="10"/>
  <c r="N491" i="10"/>
  <c r="N493" i="10" s="1"/>
  <c r="N499" i="10" s="1"/>
  <c r="Q491" i="10"/>
  <c r="Q493" i="10" s="1"/>
  <c r="Q499" i="10" s="1"/>
  <c r="BK120" i="10"/>
  <c r="AU120" i="10"/>
  <c r="AG491" i="10"/>
  <c r="AG493" i="10" s="1"/>
  <c r="AG499" i="10" s="1"/>
  <c r="U491" i="10"/>
  <c r="U493" i="10" s="1"/>
  <c r="U499" i="10" s="1"/>
  <c r="AC491" i="10"/>
  <c r="AC493" i="10" s="1"/>
  <c r="AC499" i="10" s="1"/>
  <c r="Q120" i="10"/>
  <c r="AG120" i="10"/>
  <c r="Z120" i="10"/>
  <c r="J491" i="10"/>
  <c r="J493" i="10" s="1"/>
  <c r="J499" i="10" s="1"/>
  <c r="AS491" i="10"/>
  <c r="AS493" i="10" s="1"/>
  <c r="AS499" i="10" s="1"/>
  <c r="AO491" i="10"/>
  <c r="AO493" i="10" s="1"/>
  <c r="AO499" i="10" s="1"/>
  <c r="AC120" i="10"/>
  <c r="L120" i="10"/>
  <c r="AL120" i="10"/>
  <c r="BL120" i="10"/>
  <c r="AH491" i="10"/>
  <c r="AH493" i="10" s="1"/>
  <c r="AH499" i="10" s="1"/>
  <c r="AX491" i="10"/>
  <c r="AX493" i="10" s="1"/>
  <c r="AX499" i="10" s="1"/>
  <c r="BE491" i="10"/>
  <c r="BE493" i="10" s="1"/>
  <c r="BE499" i="10" s="1"/>
  <c r="AA491" i="10"/>
  <c r="AA493" i="10" s="1"/>
  <c r="AA499" i="10" s="1"/>
  <c r="BA491" i="10"/>
  <c r="BA493" i="10" s="1"/>
  <c r="BA499" i="10" s="1"/>
  <c r="AO120" i="10"/>
  <c r="BE120" i="10"/>
  <c r="X120" i="10"/>
  <c r="AX120" i="10"/>
  <c r="S120" i="10"/>
  <c r="BF491" i="10"/>
  <c r="BF493" i="10" s="1"/>
  <c r="BF499" i="10" s="1"/>
  <c r="BJ491" i="10"/>
  <c r="BJ493" i="10" s="1"/>
  <c r="BJ499" i="10" s="1"/>
  <c r="V491" i="10"/>
  <c r="V493" i="10" s="1"/>
  <c r="V499" i="10" s="1"/>
  <c r="AM491" i="10"/>
  <c r="AM493" i="10" s="1"/>
  <c r="AM499" i="10" s="1"/>
  <c r="BM491" i="10"/>
  <c r="BM493" i="10" s="1"/>
  <c r="BM499" i="10" s="1"/>
  <c r="BA120" i="10"/>
  <c r="J120" i="10"/>
  <c r="AJ120" i="10"/>
  <c r="BJ120" i="10"/>
  <c r="AE120" i="10"/>
  <c r="W491" i="10"/>
  <c r="W493" i="10" s="1"/>
  <c r="W499" i="10" s="1"/>
  <c r="S491" i="10"/>
  <c r="S493" i="10" s="1"/>
  <c r="S499" i="10" s="1"/>
  <c r="AT491" i="10"/>
  <c r="AT493" i="10" s="1"/>
  <c r="AT499" i="10" s="1"/>
  <c r="AY491" i="10"/>
  <c r="AY493" i="10" s="1"/>
  <c r="AY499" i="10" s="1"/>
  <c r="R491" i="10"/>
  <c r="R493" i="10" s="1"/>
  <c r="R499" i="10" s="1"/>
  <c r="BM120" i="10"/>
  <c r="V120" i="10"/>
  <c r="AV120" i="10"/>
  <c r="AZ120" i="10"/>
  <c r="AQ120" i="10"/>
  <c r="AU491" i="10"/>
  <c r="AU493" i="10" s="1"/>
  <c r="AU499" i="10" s="1"/>
  <c r="AE491" i="10"/>
  <c r="AE493" i="10" s="1"/>
  <c r="AE499" i="10" s="1"/>
  <c r="K491" i="10"/>
  <c r="K493" i="10" s="1"/>
  <c r="K499" i="10" s="1"/>
  <c r="BK491" i="10"/>
  <c r="BK493" i="10" s="1"/>
  <c r="BK499" i="10" s="1"/>
  <c r="AD491" i="10"/>
  <c r="AD493" i="10" s="1"/>
  <c r="AD499" i="10" s="1"/>
  <c r="AB120" i="10"/>
  <c r="AD120" i="10"/>
  <c r="AI120" i="10"/>
  <c r="AR491" i="10"/>
  <c r="AR493" i="10" s="1"/>
  <c r="AR499" i="10" s="1"/>
  <c r="I491" i="10"/>
  <c r="I493" i="10" s="1"/>
  <c r="I499" i="10" s="1"/>
  <c r="U120" i="10"/>
  <c r="Z491" i="10"/>
  <c r="Z493" i="10" s="1"/>
  <c r="Z499" i="10" s="1"/>
  <c r="BI491" i="10"/>
  <c r="BI493" i="10" s="1"/>
  <c r="BI499" i="10" s="1"/>
  <c r="BG120" i="10"/>
  <c r="AN120" i="10"/>
  <c r="AL491" i="10"/>
  <c r="AL493" i="10" s="1"/>
  <c r="AL499" i="10" s="1"/>
  <c r="O491" i="10"/>
  <c r="O493" i="10" s="1"/>
  <c r="O499" i="10" s="1"/>
  <c r="AS120" i="10"/>
  <c r="H120" i="10"/>
  <c r="AH120" i="10"/>
  <c r="BH120" i="10"/>
  <c r="R120" i="10"/>
  <c r="BC120" i="10"/>
  <c r="L491" i="10"/>
  <c r="L493" i="10" s="1"/>
  <c r="L499" i="10" s="1"/>
  <c r="AQ491" i="10"/>
  <c r="AQ493" i="10" s="1"/>
  <c r="AQ499" i="10" s="1"/>
  <c r="AI491" i="10"/>
  <c r="AI493" i="10" s="1"/>
  <c r="AI499" i="10" s="1"/>
  <c r="P491" i="10"/>
  <c r="P493" i="10" s="1"/>
  <c r="P499" i="10" s="1"/>
  <c r="AP491" i="10"/>
  <c r="AP493" i="10" s="1"/>
  <c r="AP499" i="10" s="1"/>
  <c r="T120" i="10"/>
  <c r="AT120" i="10"/>
  <c r="M120" i="10"/>
  <c r="BO120" i="10"/>
  <c r="X491" i="10"/>
  <c r="X493" i="10" s="1"/>
  <c r="X499" i="10" s="1"/>
  <c r="BC491" i="10"/>
  <c r="BC493" i="10" s="1"/>
  <c r="BC499" i="10" s="1"/>
  <c r="BG491" i="10"/>
  <c r="BG493" i="10" s="1"/>
  <c r="BG499" i="10" s="1"/>
  <c r="AB491" i="10"/>
  <c r="AB493" i="10" s="1"/>
  <c r="AB499" i="10" s="1"/>
  <c r="BB491" i="10"/>
  <c r="BB493" i="10" s="1"/>
  <c r="BB499" i="10" s="1"/>
  <c r="O120" i="10"/>
  <c r="AF120" i="10"/>
  <c r="BF120" i="10"/>
  <c r="Y120" i="10"/>
  <c r="AP120" i="10"/>
  <c r="G10" i="10"/>
  <c r="G120" i="10" s="1"/>
  <c r="AJ491" i="10"/>
  <c r="AJ493" i="10" s="1"/>
  <c r="AJ499" i="10" s="1"/>
  <c r="T491" i="10"/>
  <c r="T493" i="10" s="1"/>
  <c r="T499" i="10" s="1"/>
  <c r="M491" i="10"/>
  <c r="M493" i="10" s="1"/>
  <c r="M499" i="10" s="1"/>
  <c r="AN491" i="10"/>
  <c r="AN493" i="10" s="1"/>
  <c r="AN499" i="10" s="1"/>
  <c r="BN491" i="10"/>
  <c r="BN493" i="10" s="1"/>
  <c r="BN499" i="10" s="1"/>
  <c r="BO491" i="10"/>
  <c r="BO493" i="10" s="1"/>
  <c r="BO499" i="10" s="1"/>
  <c r="AY120" i="10"/>
  <c r="P120" i="10"/>
  <c r="AW491" i="10"/>
  <c r="AW493" i="10" s="1"/>
  <c r="AW499" i="10" s="1"/>
  <c r="N120" i="10"/>
  <c r="AA120" i="10"/>
  <c r="AR120" i="10"/>
  <c r="K120" i="10"/>
  <c r="AK120" i="10"/>
  <c r="BB120" i="10"/>
  <c r="G11" i="10"/>
  <c r="AD460" i="10" s="1"/>
  <c r="AV491" i="10"/>
  <c r="AV493" i="10" s="1"/>
  <c r="AV499" i="10" s="1"/>
  <c r="AF491" i="10"/>
  <c r="AF493" i="10" s="1"/>
  <c r="AF499" i="10" s="1"/>
  <c r="Y491" i="10"/>
  <c r="Y493" i="10" s="1"/>
  <c r="Y499" i="10" s="1"/>
  <c r="AZ491" i="10"/>
  <c r="AZ493" i="10" s="1"/>
  <c r="AZ499" i="10" s="1"/>
  <c r="AM120" i="10"/>
  <c r="BD120" i="10"/>
  <c r="W120" i="10"/>
  <c r="AW120" i="10"/>
  <c r="H491" i="10"/>
  <c r="H493" i="10" s="1"/>
  <c r="H499" i="10" s="1"/>
  <c r="BH491" i="10"/>
  <c r="BH493" i="10" s="1"/>
  <c r="BH499" i="10" s="1"/>
  <c r="BD491" i="10"/>
  <c r="BD493" i="10" s="1"/>
  <c r="BD499" i="10" s="1"/>
  <c r="AK491" i="10"/>
  <c r="AK493" i="10" s="1"/>
  <c r="AK499" i="10" s="1"/>
  <c r="AV460" i="10" l="1"/>
  <c r="AZ460" i="10"/>
  <c r="Q460" i="10"/>
  <c r="AB478" i="10"/>
  <c r="BE478" i="10"/>
  <c r="U478" i="10"/>
  <c r="BE460" i="10"/>
  <c r="V460" i="10"/>
  <c r="Y460" i="10"/>
  <c r="AE478" i="10"/>
  <c r="Y478" i="10"/>
  <c r="AT478" i="10"/>
  <c r="G118" i="10" a="1"/>
  <c r="BC241" i="10" s="1"/>
  <c r="BA460" i="10"/>
  <c r="BH460" i="10"/>
  <c r="BG460" i="10"/>
  <c r="R478" i="10"/>
  <c r="AA478" i="10"/>
  <c r="AI478" i="10"/>
  <c r="R460" i="10"/>
  <c r="J460" i="10"/>
  <c r="L460" i="10"/>
  <c r="AF478" i="10"/>
  <c r="N478" i="10"/>
  <c r="BN478" i="10"/>
  <c r="BJ460" i="10"/>
  <c r="AU460" i="10"/>
  <c r="AS460" i="10"/>
  <c r="T460" i="10"/>
  <c r="AC478" i="10"/>
  <c r="K478" i="10"/>
  <c r="BG478" i="10"/>
  <c r="O460" i="10"/>
  <c r="AA460" i="10"/>
  <c r="X460" i="10"/>
  <c r="BL478" i="10"/>
  <c r="M478" i="10"/>
  <c r="BO478" i="10"/>
  <c r="AF460" i="10"/>
  <c r="AK460" i="10"/>
  <c r="AX460" i="10"/>
  <c r="AZ478" i="10"/>
  <c r="AX478" i="10"/>
  <c r="BC478" i="10"/>
  <c r="K460" i="10"/>
  <c r="AJ460" i="10"/>
  <c r="BK460" i="10"/>
  <c r="Z478" i="10"/>
  <c r="BO460" i="10"/>
  <c r="BL460" i="10"/>
  <c r="AG460" i="10"/>
  <c r="AQ478" i="10"/>
  <c r="H460" i="10"/>
  <c r="H461" i="10" s="1"/>
  <c r="I458" i="10" s="1"/>
  <c r="V478" i="10"/>
  <c r="BM478" i="10"/>
  <c r="AI460" i="10"/>
  <c r="T478" i="10"/>
  <c r="BB478" i="10"/>
  <c r="AB460" i="10"/>
  <c r="BD460" i="10"/>
  <c r="AT460" i="10"/>
  <c r="AP478" i="10"/>
  <c r="Q478" i="10"/>
  <c r="AU478" i="10"/>
  <c r="BF478" i="10"/>
  <c r="H511" i="10" a="1"/>
  <c r="H511" i="10" s="1"/>
  <c r="S460" i="10"/>
  <c r="AQ460" i="10"/>
  <c r="AH460" i="10"/>
  <c r="M460" i="10"/>
  <c r="BA478" i="10"/>
  <c r="AL478" i="10"/>
  <c r="AW478" i="10"/>
  <c r="BI478" i="10"/>
  <c r="AP460" i="10"/>
  <c r="AY460" i="10"/>
  <c r="BB460" i="10"/>
  <c r="AG478" i="10"/>
  <c r="BJ478" i="10"/>
  <c r="AK478" i="10"/>
  <c r="O478" i="10"/>
  <c r="BN460" i="10"/>
  <c r="AW460" i="10"/>
  <c r="I460" i="10"/>
  <c r="BM460" i="10"/>
  <c r="W460" i="10"/>
  <c r="AR478" i="10"/>
  <c r="AM478" i="10"/>
  <c r="P478" i="10"/>
  <c r="I478" i="10"/>
  <c r="AH478" i="10"/>
  <c r="E29" i="11"/>
  <c r="D29" i="11" s="1"/>
  <c r="AR460" i="10"/>
  <c r="BC460" i="10"/>
  <c r="AM460" i="10"/>
  <c r="AC460" i="10"/>
  <c r="Z460" i="10"/>
  <c r="AD478" i="10"/>
  <c r="AN478" i="10"/>
  <c r="W478" i="10"/>
  <c r="AJ478" i="10"/>
  <c r="L478" i="10"/>
  <c r="BF460" i="10"/>
  <c r="AO460" i="10"/>
  <c r="AN460" i="10"/>
  <c r="U460" i="10"/>
  <c r="N460" i="10"/>
  <c r="AO478" i="10"/>
  <c r="H478" i="10"/>
  <c r="E27" i="11" s="1"/>
  <c r="D27" i="11" s="1"/>
  <c r="AV478" i="10"/>
  <c r="BH478" i="10"/>
  <c r="X478" i="10"/>
  <c r="AL460" i="10"/>
  <c r="AE460" i="10"/>
  <c r="P460" i="10"/>
  <c r="BI460" i="10"/>
  <c r="BD478" i="10"/>
  <c r="S478" i="10"/>
  <c r="AY478" i="10"/>
  <c r="J478" i="10"/>
  <c r="AS478" i="10"/>
  <c r="BK478" i="10"/>
  <c r="AK224" i="10"/>
  <c r="O218" i="10"/>
  <c r="BA248" i="10"/>
  <c r="K260" i="10"/>
  <c r="AF251" i="10"/>
  <c r="H272" i="10"/>
  <c r="BD247" i="10"/>
  <c r="BG269" i="10"/>
  <c r="AZ256" i="10"/>
  <c r="AE271" i="10"/>
  <c r="BG258" i="10"/>
  <c r="T252" i="10"/>
  <c r="AJ221" i="10"/>
  <c r="AY261" i="10"/>
  <c r="I248" i="10"/>
  <c r="AC234" i="10"/>
  <c r="AL229" i="10"/>
  <c r="AL233" i="10"/>
  <c r="BE272" i="10"/>
  <c r="AQ259" i="10"/>
  <c r="U228" i="10"/>
  <c r="AB261" i="10"/>
  <c r="AB238" i="10"/>
  <c r="AG251" i="10"/>
  <c r="AG270" i="10"/>
  <c r="AG255" i="10"/>
  <c r="AG269" i="10"/>
  <c r="AN223" i="10"/>
  <c r="L272" i="10"/>
  <c r="L264" i="10"/>
  <c r="AO219" i="10"/>
  <c r="J248" i="10"/>
  <c r="J232" i="10"/>
  <c r="J235" i="10"/>
  <c r="V267" i="10"/>
  <c r="V242" i="10"/>
  <c r="V219" i="10"/>
  <c r="BH243" i="10"/>
  <c r="BH218" i="10"/>
  <c r="BH231" i="10"/>
  <c r="R241" i="10"/>
  <c r="R267" i="10"/>
  <c r="BC222" i="10"/>
  <c r="BC267" i="10"/>
  <c r="AU235" i="10"/>
  <c r="AU226" i="10"/>
  <c r="Z252" i="10"/>
  <c r="Z268" i="10"/>
  <c r="Z242" i="10"/>
  <c r="AS266" i="10"/>
  <c r="S269" i="10"/>
  <c r="P238" i="10"/>
  <c r="BK256" i="10"/>
  <c r="Q268" i="10"/>
  <c r="Q270" i="10"/>
  <c r="AC257" i="10"/>
  <c r="AL248" i="10"/>
  <c r="BE259" i="10"/>
  <c r="AQ247" i="10"/>
  <c r="AQ250" i="10"/>
  <c r="U270" i="10"/>
  <c r="U271" i="10"/>
  <c r="U236" i="10"/>
  <c r="U261" i="10"/>
  <c r="AB228" i="10"/>
  <c r="AB237" i="10"/>
  <c r="AB239" i="10"/>
  <c r="AB243" i="10"/>
  <c r="AG243" i="10"/>
  <c r="AG233" i="10"/>
  <c r="AG238" i="10"/>
  <c r="AG271" i="10"/>
  <c r="AG248" i="10"/>
  <c r="AN263" i="10"/>
  <c r="AN230" i="10"/>
  <c r="AN253" i="10"/>
  <c r="AN247" i="10"/>
  <c r="L263" i="10"/>
  <c r="L253" i="10"/>
  <c r="L248" i="10"/>
  <c r="L233" i="10"/>
  <c r="AO252" i="10"/>
  <c r="AO266" i="10"/>
  <c r="AO249" i="10"/>
  <c r="AO231" i="10"/>
  <c r="AO257" i="10"/>
  <c r="J224" i="10"/>
  <c r="J241" i="10"/>
  <c r="J255" i="10"/>
  <c r="J227" i="10"/>
  <c r="V234" i="10"/>
  <c r="V268" i="10"/>
  <c r="V260" i="10"/>
  <c r="V264" i="10"/>
  <c r="AH251" i="10"/>
  <c r="AH241" i="10"/>
  <c r="AH254" i="10"/>
  <c r="AH262" i="10"/>
  <c r="AH227" i="10"/>
  <c r="BH269" i="10"/>
  <c r="BH230" i="10"/>
  <c r="BH260" i="10"/>
  <c r="BH262" i="10"/>
  <c r="R263" i="10"/>
  <c r="R230" i="10"/>
  <c r="R271" i="10"/>
  <c r="R253" i="10"/>
  <c r="BC250" i="10"/>
  <c r="BC259" i="10"/>
  <c r="BC254" i="10"/>
  <c r="BC228" i="10"/>
  <c r="BC223" i="10"/>
  <c r="AU260" i="10"/>
  <c r="AU228" i="10"/>
  <c r="AI232" i="10"/>
  <c r="P250" i="10"/>
  <c r="BK229" i="10"/>
  <c r="Q258" i="10"/>
  <c r="Q224" i="10"/>
  <c r="AC251" i="10"/>
  <c r="AC242" i="10"/>
  <c r="AL242" i="10"/>
  <c r="AL250" i="10"/>
  <c r="BE229" i="10"/>
  <c r="AQ258" i="10"/>
  <c r="AQ261" i="10"/>
  <c r="AQ256" i="10"/>
  <c r="AQ266" i="10"/>
  <c r="AQ223" i="10"/>
  <c r="U233" i="10"/>
  <c r="U266" i="10"/>
  <c r="U257" i="10"/>
  <c r="U226" i="10"/>
  <c r="AB235" i="10"/>
  <c r="AB230" i="10"/>
  <c r="AB250" i="10"/>
  <c r="AB269" i="10"/>
  <c r="AG266" i="10"/>
  <c r="AG225" i="10"/>
  <c r="AG231" i="10"/>
  <c r="AG221" i="10"/>
  <c r="AG240" i="10"/>
  <c r="AN251" i="10"/>
  <c r="AN228" i="10"/>
  <c r="AN256" i="10"/>
  <c r="AN218" i="10"/>
  <c r="L229" i="10"/>
  <c r="L268" i="10"/>
  <c r="L221" i="10"/>
  <c r="L262" i="10"/>
  <c r="AO261" i="10"/>
  <c r="AO270" i="10"/>
  <c r="AO272" i="10"/>
  <c r="AO240" i="10"/>
  <c r="AO254" i="10"/>
  <c r="J251" i="10"/>
  <c r="J221" i="10"/>
  <c r="J222" i="10"/>
  <c r="J254" i="10"/>
  <c r="V220" i="10"/>
  <c r="V265" i="10"/>
  <c r="V255" i="10"/>
  <c r="V254" i="10"/>
  <c r="AH263" i="10"/>
  <c r="AH272" i="10"/>
  <c r="AH220" i="10"/>
  <c r="AH260" i="10"/>
  <c r="AH231" i="10"/>
  <c r="BH268" i="10"/>
  <c r="BH235" i="10"/>
  <c r="BH225" i="10"/>
  <c r="BH255" i="10"/>
  <c r="AI231" i="10"/>
  <c r="P225" i="10"/>
  <c r="BK248" i="10"/>
  <c r="Q269" i="10"/>
  <c r="Q267" i="10"/>
  <c r="AC270" i="10"/>
  <c r="AC218" i="10"/>
  <c r="AL253" i="10"/>
  <c r="BE233" i="10"/>
  <c r="BE230" i="10"/>
  <c r="AQ230" i="10"/>
  <c r="AQ262" i="10"/>
  <c r="AQ252" i="10"/>
  <c r="AQ254" i="10"/>
  <c r="AQ255" i="10"/>
  <c r="U238" i="10"/>
  <c r="U223" i="10"/>
  <c r="U260" i="10"/>
  <c r="U255" i="10"/>
  <c r="AB219" i="10"/>
  <c r="AB262" i="10"/>
  <c r="AB263" i="10"/>
  <c r="AB256" i="10"/>
  <c r="AG259" i="10"/>
  <c r="AG227" i="10"/>
  <c r="AG232" i="10"/>
  <c r="AG249" i="10"/>
  <c r="AG252" i="10"/>
  <c r="AN267" i="10"/>
  <c r="AN220" i="10"/>
  <c r="AN261" i="10"/>
  <c r="AN255" i="10"/>
  <c r="L260" i="10"/>
  <c r="L242" i="10"/>
  <c r="L267" i="10"/>
  <c r="L238" i="10"/>
  <c r="AO251" i="10"/>
  <c r="AO218" i="10"/>
  <c r="AO234" i="10"/>
  <c r="AO221" i="10"/>
  <c r="AO228" i="10"/>
  <c r="J249" i="10"/>
  <c r="J223" i="10"/>
  <c r="J259" i="10"/>
  <c r="J271" i="10"/>
  <c r="V229" i="10"/>
  <c r="V257" i="10"/>
  <c r="V248" i="10"/>
  <c r="V252" i="10"/>
  <c r="AH218" i="10"/>
  <c r="AH236" i="10"/>
  <c r="AH230" i="10"/>
  <c r="AH267" i="10"/>
  <c r="AH237" i="10"/>
  <c r="BH252" i="10"/>
  <c r="BH237" i="10"/>
  <c r="BH254" i="10"/>
  <c r="BH232" i="10"/>
  <c r="R259" i="10"/>
  <c r="R266" i="10"/>
  <c r="R254" i="10"/>
  <c r="R251" i="10"/>
  <c r="BC258" i="10"/>
  <c r="BC232" i="10"/>
  <c r="BC231" i="10"/>
  <c r="BC242" i="10"/>
  <c r="BC237" i="10"/>
  <c r="AU249" i="10"/>
  <c r="AU263" i="10"/>
  <c r="AI262" i="10"/>
  <c r="P221" i="10"/>
  <c r="BK242" i="10"/>
  <c r="Q219" i="10"/>
  <c r="Q262" i="10"/>
  <c r="AC263" i="10"/>
  <c r="AC268" i="10"/>
  <c r="AL257" i="10"/>
  <c r="BE252" i="10"/>
  <c r="BE234" i="10"/>
  <c r="AQ228" i="10"/>
  <c r="AQ220" i="10"/>
  <c r="AQ253" i="10"/>
  <c r="AQ260" i="10"/>
  <c r="U249" i="10"/>
  <c r="U225" i="10"/>
  <c r="U243" i="10"/>
  <c r="U230" i="10"/>
  <c r="U227" i="10"/>
  <c r="AB249" i="10"/>
  <c r="AB236" i="10"/>
  <c r="AB218" i="10"/>
  <c r="AB254" i="10"/>
  <c r="AG222" i="10"/>
  <c r="AG247" i="10"/>
  <c r="AG226" i="10"/>
  <c r="AG268" i="10"/>
  <c r="AN254" i="10"/>
  <c r="AN241" i="10"/>
  <c r="AN231" i="10"/>
  <c r="AN242" i="10"/>
  <c r="AN226" i="10"/>
  <c r="L256" i="10"/>
  <c r="L247" i="10"/>
  <c r="L254" i="10"/>
  <c r="L219" i="10"/>
  <c r="AO267" i="10"/>
  <c r="AO237" i="10"/>
  <c r="AO227" i="10"/>
  <c r="AO230" i="10"/>
  <c r="J231" i="10"/>
  <c r="J243" i="10"/>
  <c r="J238" i="10"/>
  <c r="J261" i="10"/>
  <c r="J242" i="10"/>
  <c r="V218" i="10"/>
  <c r="V232" i="10"/>
  <c r="V233" i="10"/>
  <c r="V222" i="10"/>
  <c r="AH222" i="10"/>
  <c r="AH255" i="10"/>
  <c r="AH223" i="10"/>
  <c r="AH232" i="10"/>
  <c r="BH240" i="10"/>
  <c r="BH224" i="10"/>
  <c r="BH242" i="10"/>
  <c r="BH251" i="10"/>
  <c r="BH261" i="10"/>
  <c r="R231" i="10"/>
  <c r="R250" i="10"/>
  <c r="R236" i="10"/>
  <c r="R224" i="10"/>
  <c r="BC249" i="10"/>
  <c r="BC265" i="10"/>
  <c r="BC227" i="10"/>
  <c r="BC224" i="10"/>
  <c r="AU232" i="10"/>
  <c r="AU218" i="10"/>
  <c r="AU251" i="10"/>
  <c r="AU242" i="10"/>
  <c r="AU219" i="10"/>
  <c r="Z251" i="10"/>
  <c r="Z225" i="10"/>
  <c r="Z231" i="10"/>
  <c r="Z220" i="10"/>
  <c r="AS219" i="10"/>
  <c r="AS229" i="10"/>
  <c r="AS225" i="10"/>
  <c r="AS252" i="10"/>
  <c r="S264" i="10"/>
  <c r="S243" i="10"/>
  <c r="S231" i="10"/>
  <c r="S249" i="10"/>
  <c r="S242" i="10"/>
  <c r="BI248" i="10"/>
  <c r="P241" i="10"/>
  <c r="BK261" i="10"/>
  <c r="Q252" i="10"/>
  <c r="Q259" i="10"/>
  <c r="AC223" i="10"/>
  <c r="AL238" i="10"/>
  <c r="AL247" i="10"/>
  <c r="BE262" i="10"/>
  <c r="BE271" i="10"/>
  <c r="AQ229" i="10"/>
  <c r="AQ218" i="10"/>
  <c r="AQ224" i="10"/>
  <c r="AQ219" i="10"/>
  <c r="U264" i="10"/>
  <c r="U224" i="10"/>
  <c r="U219" i="10"/>
  <c r="U232" i="10"/>
  <c r="U234" i="10"/>
  <c r="AB266" i="10"/>
  <c r="AB224" i="10"/>
  <c r="AB242" i="10"/>
  <c r="AB227" i="10"/>
  <c r="AG272" i="10"/>
  <c r="AG224" i="10"/>
  <c r="AG267" i="10"/>
  <c r="AG229" i="10"/>
  <c r="AN240" i="10"/>
  <c r="AN234" i="10"/>
  <c r="AN233" i="10"/>
  <c r="AN258" i="10"/>
  <c r="AN272" i="10"/>
  <c r="L261" i="10"/>
  <c r="L235" i="10"/>
  <c r="L225" i="10"/>
  <c r="L250" i="10"/>
  <c r="AO271" i="10"/>
  <c r="AO241" i="10"/>
  <c r="AO220" i="10"/>
  <c r="AO226" i="10"/>
  <c r="J257" i="10"/>
  <c r="J258" i="10"/>
  <c r="BI218" i="10"/>
  <c r="P261" i="10"/>
  <c r="BK251" i="10"/>
  <c r="Q236" i="10"/>
  <c r="Q234" i="10"/>
  <c r="AC265" i="10"/>
  <c r="AL259" i="10"/>
  <c r="AL263" i="10"/>
  <c r="BE256" i="10"/>
  <c r="BE264" i="10"/>
  <c r="AQ239" i="10"/>
  <c r="AQ232" i="10"/>
  <c r="AQ225" i="10"/>
  <c r="AQ234" i="10"/>
  <c r="U218" i="10"/>
  <c r="U241" i="10"/>
  <c r="U222" i="10"/>
  <c r="U265" i="10"/>
  <c r="U268" i="10"/>
  <c r="AB259" i="10"/>
  <c r="AB222" i="10"/>
  <c r="AB252" i="10"/>
  <c r="AB272" i="10"/>
  <c r="AG237" i="10"/>
  <c r="AG241" i="10"/>
  <c r="AG260" i="10"/>
  <c r="AG250" i="10"/>
  <c r="AN221" i="10"/>
  <c r="AN222" i="10"/>
  <c r="AN252" i="10"/>
  <c r="AN266" i="10"/>
  <c r="AN262" i="10"/>
  <c r="L243" i="10"/>
  <c r="L224" i="10"/>
  <c r="L223" i="10"/>
  <c r="L257" i="10"/>
  <c r="AO265" i="10"/>
  <c r="AO247" i="10"/>
  <c r="AO233" i="10"/>
  <c r="AO248" i="10"/>
  <c r="J218" i="10"/>
  <c r="J266" i="10"/>
  <c r="J267" i="10"/>
  <c r="J264" i="10"/>
  <c r="J230" i="10"/>
  <c r="V270" i="10"/>
  <c r="V271" i="10"/>
  <c r="V236" i="10"/>
  <c r="V230" i="10"/>
  <c r="AH253" i="10"/>
  <c r="AH269" i="10"/>
  <c r="AH240" i="10"/>
  <c r="AH238" i="10"/>
  <c r="BH223" i="10"/>
  <c r="BH228" i="10"/>
  <c r="BH267" i="10"/>
  <c r="BH256" i="10"/>
  <c r="BH227" i="10"/>
  <c r="R247" i="10"/>
  <c r="R240" i="10"/>
  <c r="R272" i="10"/>
  <c r="R257" i="10"/>
  <c r="BC253" i="10"/>
  <c r="BC218" i="10"/>
  <c r="BC268" i="10"/>
  <c r="BC226" i="10"/>
  <c r="AU266" i="10"/>
  <c r="AU223" i="10"/>
  <c r="AU234" i="10"/>
  <c r="BI233" i="10"/>
  <c r="P247" i="10"/>
  <c r="BK255" i="10"/>
  <c r="Q240" i="10"/>
  <c r="AC225" i="10"/>
  <c r="AC259" i="10"/>
  <c r="AL254" i="10"/>
  <c r="AL266" i="10"/>
  <c r="BE242" i="10"/>
  <c r="BE269" i="10"/>
  <c r="AQ251" i="10"/>
  <c r="AQ270" i="10"/>
  <c r="AQ231" i="10"/>
  <c r="AQ226" i="10"/>
  <c r="U259" i="10"/>
  <c r="U262" i="10"/>
  <c r="U242" i="10"/>
  <c r="U263" i="10"/>
  <c r="U240" i="10"/>
  <c r="AB233" i="10"/>
  <c r="AB229" i="10"/>
  <c r="AB231" i="10"/>
  <c r="AB241" i="10"/>
  <c r="AG230" i="10"/>
  <c r="AG262" i="10"/>
  <c r="AG261" i="10"/>
  <c r="AG235" i="10"/>
  <c r="AN264" i="10"/>
  <c r="AN260" i="10"/>
  <c r="AN236" i="10"/>
  <c r="AN268" i="10"/>
  <c r="AN265" i="10"/>
  <c r="L234" i="10"/>
  <c r="L237" i="10"/>
  <c r="L220" i="10"/>
  <c r="L251" i="10"/>
  <c r="AO235" i="10"/>
  <c r="AO262" i="10"/>
  <c r="AO258" i="10"/>
  <c r="AO253" i="10"/>
  <c r="J240" i="10"/>
  <c r="J233" i="10"/>
  <c r="J219" i="10"/>
  <c r="J234" i="10"/>
  <c r="J239" i="10"/>
  <c r="V238" i="10"/>
  <c r="V231" i="10"/>
  <c r="V259" i="10"/>
  <c r="V250" i="10"/>
  <c r="AH270" i="10"/>
  <c r="AH257" i="10"/>
  <c r="AH248" i="10"/>
  <c r="AH261" i="10"/>
  <c r="BH253" i="10"/>
  <c r="BI223" i="10"/>
  <c r="Q235" i="10"/>
  <c r="AL225" i="10"/>
  <c r="BE267" i="10"/>
  <c r="AQ221" i="10"/>
  <c r="U267" i="10"/>
  <c r="AB257" i="10"/>
  <c r="AB232" i="10"/>
  <c r="AG254" i="10"/>
  <c r="AN225" i="10"/>
  <c r="AN224" i="10"/>
  <c r="L265" i="10"/>
  <c r="AO223" i="10"/>
  <c r="AO269" i="10"/>
  <c r="J252" i="10"/>
  <c r="V263" i="10"/>
  <c r="V224" i="10"/>
  <c r="AH243" i="10"/>
  <c r="AH266" i="10"/>
  <c r="BH220" i="10"/>
  <c r="BH272" i="10"/>
  <c r="R270" i="10"/>
  <c r="R261" i="10"/>
  <c r="R235" i="10"/>
  <c r="BC243" i="10"/>
  <c r="BC255" i="10"/>
  <c r="AU248" i="10"/>
  <c r="AU222" i="10"/>
  <c r="AU268" i="10"/>
  <c r="Z235" i="10"/>
  <c r="Z261" i="10"/>
  <c r="Z234" i="10"/>
  <c r="Z240" i="10"/>
  <c r="AS238" i="10"/>
  <c r="AS254" i="10"/>
  <c r="AS250" i="10"/>
  <c r="S240" i="10"/>
  <c r="S270" i="10"/>
  <c r="S239" i="10"/>
  <c r="S248" i="10"/>
  <c r="BM260" i="10"/>
  <c r="BM218" i="10"/>
  <c r="BM264" i="10"/>
  <c r="BM269" i="10"/>
  <c r="BM219" i="10"/>
  <c r="H240" i="10"/>
  <c r="H249" i="10"/>
  <c r="H227" i="10"/>
  <c r="H258" i="10"/>
  <c r="AT252" i="10"/>
  <c r="AT222" i="10"/>
  <c r="AT262" i="10"/>
  <c r="AT260" i="10"/>
  <c r="M251" i="10"/>
  <c r="M234" i="10"/>
  <c r="M248" i="10"/>
  <c r="M250" i="10"/>
  <c r="M262" i="10"/>
  <c r="AD220" i="10"/>
  <c r="AD226" i="10"/>
  <c r="AD241" i="10"/>
  <c r="AD272" i="10"/>
  <c r="BO222" i="10"/>
  <c r="BO269" i="10"/>
  <c r="BO233" i="10"/>
  <c r="BO250" i="10"/>
  <c r="BJ250" i="10"/>
  <c r="BJ270" i="10"/>
  <c r="BJ242" i="10"/>
  <c r="BJ224" i="10"/>
  <c r="BJ218" i="10"/>
  <c r="AV227" i="10"/>
  <c r="AV239" i="10"/>
  <c r="AV272" i="10"/>
  <c r="AV251" i="10"/>
  <c r="AF255" i="10"/>
  <c r="AF250" i="10"/>
  <c r="AF270" i="10"/>
  <c r="AF259" i="10"/>
  <c r="BF220" i="10"/>
  <c r="BF240" i="10"/>
  <c r="BF236" i="10"/>
  <c r="BF263" i="10"/>
  <c r="BF253" i="10"/>
  <c r="Y233" i="10"/>
  <c r="BI250" i="10"/>
  <c r="Q222" i="10"/>
  <c r="AL235" i="10"/>
  <c r="BE265" i="10"/>
  <c r="AQ248" i="10"/>
  <c r="U254" i="10"/>
  <c r="AB264" i="10"/>
  <c r="AB268" i="10"/>
  <c r="AG258" i="10"/>
  <c r="AN269" i="10"/>
  <c r="AN227" i="10"/>
  <c r="L236" i="10"/>
  <c r="AO232" i="10"/>
  <c r="AO250" i="10"/>
  <c r="J270" i="10"/>
  <c r="V249" i="10"/>
  <c r="V256" i="10"/>
  <c r="AH265" i="10"/>
  <c r="AH268" i="10"/>
  <c r="BH229" i="10"/>
  <c r="BH222" i="10"/>
  <c r="R238" i="10"/>
  <c r="R225" i="10"/>
  <c r="R222" i="10"/>
  <c r="BC225" i="10"/>
  <c r="BC270" i="10"/>
  <c r="AU261" i="10"/>
  <c r="AU265" i="10"/>
  <c r="AU262" i="10"/>
  <c r="Z221" i="10"/>
  <c r="Z236" i="10"/>
  <c r="Z267" i="10"/>
  <c r="Z269" i="10"/>
  <c r="AS258" i="10"/>
  <c r="AS259" i="10"/>
  <c r="AS222" i="10"/>
  <c r="S226" i="10"/>
  <c r="S252" i="10"/>
  <c r="S219" i="10"/>
  <c r="S266" i="10"/>
  <c r="BM270" i="10"/>
  <c r="BM253" i="10"/>
  <c r="BM233" i="10"/>
  <c r="BM226" i="10"/>
  <c r="BM242" i="10"/>
  <c r="H228" i="10"/>
  <c r="H261" i="10"/>
  <c r="H260" i="10"/>
  <c r="H253" i="10"/>
  <c r="AT220" i="10"/>
  <c r="AT219" i="10"/>
  <c r="AT270" i="10"/>
  <c r="AT229" i="10"/>
  <c r="M259" i="10"/>
  <c r="M269" i="10"/>
  <c r="M224" i="10"/>
  <c r="M229" i="10"/>
  <c r="M256" i="10"/>
  <c r="AD237" i="10"/>
  <c r="AD259" i="10"/>
  <c r="AD224" i="10"/>
  <c r="AD263" i="10"/>
  <c r="BO236" i="10"/>
  <c r="BO262" i="10"/>
  <c r="BO252" i="10"/>
  <c r="BO254" i="10"/>
  <c r="BJ232" i="10"/>
  <c r="BJ265" i="10"/>
  <c r="BJ223" i="10"/>
  <c r="P263" i="10"/>
  <c r="Q226" i="10"/>
  <c r="AL224" i="10"/>
  <c r="BE224" i="10"/>
  <c r="AQ263" i="10"/>
  <c r="U272" i="10"/>
  <c r="AB248" i="10"/>
  <c r="AB221" i="10"/>
  <c r="AG228" i="10"/>
  <c r="AN250" i="10"/>
  <c r="AN232" i="10"/>
  <c r="L266" i="10"/>
  <c r="AO222" i="10"/>
  <c r="AO259" i="10"/>
  <c r="J250" i="10"/>
  <c r="V258" i="10"/>
  <c r="V262" i="10"/>
  <c r="AH226" i="10"/>
  <c r="AH258" i="10"/>
  <c r="BH234" i="10"/>
  <c r="BH250" i="10"/>
  <c r="R252" i="10"/>
  <c r="R243" i="10"/>
  <c r="R228" i="10"/>
  <c r="BC235" i="10"/>
  <c r="BC230" i="10"/>
  <c r="AU229" i="10"/>
  <c r="AU243" i="10"/>
  <c r="AU241" i="10"/>
  <c r="Z254" i="10"/>
  <c r="Z219" i="10"/>
  <c r="Z255" i="10"/>
  <c r="Z253" i="10"/>
  <c r="AS239" i="10"/>
  <c r="AS218" i="10"/>
  <c r="AS256" i="10"/>
  <c r="S265" i="10"/>
  <c r="S254" i="10"/>
  <c r="S267" i="10"/>
  <c r="S237" i="10"/>
  <c r="BM243" i="10"/>
  <c r="BM225" i="10"/>
  <c r="BM235" i="10"/>
  <c r="BM259" i="10"/>
  <c r="H266" i="10"/>
  <c r="H262" i="10"/>
  <c r="P255" i="10"/>
  <c r="Q232" i="10"/>
  <c r="AL228" i="10"/>
  <c r="BE227" i="10"/>
  <c r="AQ227" i="10"/>
  <c r="U248" i="10"/>
  <c r="AB270" i="10"/>
  <c r="AB234" i="10"/>
  <c r="AG234" i="10"/>
  <c r="AN238" i="10"/>
  <c r="AN271" i="10"/>
  <c r="L255" i="10"/>
  <c r="AO238" i="10"/>
  <c r="AO255" i="10"/>
  <c r="J263" i="10"/>
  <c r="V266" i="10"/>
  <c r="V223" i="10"/>
  <c r="AH250" i="10"/>
  <c r="AH219" i="10"/>
  <c r="BH219" i="10"/>
  <c r="BH270" i="10"/>
  <c r="R220" i="10"/>
  <c r="R242" i="10"/>
  <c r="R229" i="10"/>
  <c r="BC261" i="10"/>
  <c r="BC233" i="10"/>
  <c r="AU259" i="10"/>
  <c r="AU271" i="10"/>
  <c r="AU253" i="10"/>
  <c r="Z248" i="10"/>
  <c r="Z257" i="10"/>
  <c r="Z266" i="10"/>
  <c r="Z270" i="10"/>
  <c r="AS240" i="10"/>
  <c r="AS242" i="10"/>
  <c r="AS249" i="10"/>
  <c r="S233" i="10"/>
  <c r="S241" i="10"/>
  <c r="S238" i="10"/>
  <c r="S234" i="10"/>
  <c r="BM256" i="10"/>
  <c r="BM222" i="10"/>
  <c r="BM262" i="10"/>
  <c r="BM261" i="10"/>
  <c r="H259" i="10"/>
  <c r="H255" i="10"/>
  <c r="H250" i="10"/>
  <c r="H229" i="10"/>
  <c r="H251" i="10"/>
  <c r="BK259" i="10"/>
  <c r="AC253" i="10"/>
  <c r="AL249" i="10"/>
  <c r="AQ268" i="10"/>
  <c r="AQ267" i="10"/>
  <c r="U237" i="10"/>
  <c r="AB265" i="10"/>
  <c r="AB226" i="10"/>
  <c r="AG257" i="10"/>
  <c r="AN248" i="10"/>
  <c r="L258" i="10"/>
  <c r="L240" i="10"/>
  <c r="AO229" i="10"/>
  <c r="J253" i="10"/>
  <c r="J265" i="10"/>
  <c r="V239" i="10"/>
  <c r="V227" i="10"/>
  <c r="AH221" i="10"/>
  <c r="AH271" i="10"/>
  <c r="BH247" i="10"/>
  <c r="BH241" i="10"/>
  <c r="R268" i="10"/>
  <c r="R232" i="10"/>
  <c r="BC263" i="10"/>
  <c r="BC236" i="10"/>
  <c r="BC257" i="10"/>
  <c r="AU250" i="10"/>
  <c r="AU264" i="10"/>
  <c r="AU224" i="10"/>
  <c r="Z227" i="10"/>
  <c r="Z271" i="10"/>
  <c r="Z260" i="10"/>
  <c r="Z272" i="10"/>
  <c r="AS226" i="10"/>
  <c r="AS224" i="10"/>
  <c r="AS221" i="10"/>
  <c r="S272" i="10"/>
  <c r="S223" i="10"/>
  <c r="S228" i="10"/>
  <c r="S220" i="10"/>
  <c r="BM221" i="10"/>
  <c r="BM228" i="10"/>
  <c r="BM249" i="10"/>
  <c r="BM239" i="10"/>
  <c r="H252" i="10"/>
  <c r="H248" i="10"/>
  <c r="H220" i="10"/>
  <c r="H218" i="10"/>
  <c r="H271" i="10"/>
  <c r="AT261" i="10"/>
  <c r="AT228" i="10"/>
  <c r="AT235" i="10"/>
  <c r="AT221" i="10"/>
  <c r="M240" i="10"/>
  <c r="M270" i="10"/>
  <c r="M231" i="10"/>
  <c r="M254" i="10"/>
  <c r="AD239" i="10"/>
  <c r="AD222" i="10"/>
  <c r="AD248" i="10"/>
  <c r="AD262" i="10"/>
  <c r="AD247" i="10"/>
  <c r="BO241" i="10"/>
  <c r="BO238" i="10"/>
  <c r="BO264" i="10"/>
  <c r="BO231" i="10"/>
  <c r="BJ269" i="10"/>
  <c r="BJ258" i="10"/>
  <c r="BJ226" i="10"/>
  <c r="BJ267" i="10"/>
  <c r="AV240" i="10"/>
  <c r="AV254" i="10"/>
  <c r="AV224" i="10"/>
  <c r="AV228" i="10"/>
  <c r="AV235" i="10"/>
  <c r="AF243" i="10"/>
  <c r="AF234" i="10"/>
  <c r="AF248" i="10"/>
  <c r="AF232" i="10"/>
  <c r="BF255" i="10"/>
  <c r="BF259" i="10"/>
  <c r="BF225" i="10"/>
  <c r="BF224" i="10"/>
  <c r="Y218" i="10"/>
  <c r="Y262" i="10"/>
  <c r="Y256" i="10"/>
  <c r="Y243" i="10"/>
  <c r="Y270" i="10"/>
  <c r="AP271" i="10"/>
  <c r="AP227" i="10"/>
  <c r="AP266" i="10"/>
  <c r="AP220" i="10"/>
  <c r="BL253" i="10"/>
  <c r="BL268" i="10"/>
  <c r="BL223" i="10"/>
  <c r="BL248" i="10"/>
  <c r="AX254" i="10"/>
  <c r="AX227" i="10"/>
  <c r="AX219" i="10"/>
  <c r="AX272" i="10"/>
  <c r="AX226" i="10"/>
  <c r="AJ249" i="10"/>
  <c r="AJ226" i="10"/>
  <c r="AJ271" i="10"/>
  <c r="AJ247" i="10"/>
  <c r="AZ270" i="10"/>
  <c r="AZ249" i="10"/>
  <c r="AZ239" i="10"/>
  <c r="AZ265" i="10"/>
  <c r="T258" i="10"/>
  <c r="T220" i="10"/>
  <c r="T237" i="10"/>
  <c r="T250" i="10"/>
  <c r="T261" i="10"/>
  <c r="AA237" i="10"/>
  <c r="AA265" i="10"/>
  <c r="AA240" i="10"/>
  <c r="AA249" i="10"/>
  <c r="K231" i="10"/>
  <c r="K223" i="10"/>
  <c r="K248" i="10"/>
  <c r="K219" i="10"/>
  <c r="AK256" i="10"/>
  <c r="AK249" i="10"/>
  <c r="AK238" i="10"/>
  <c r="AK271" i="10"/>
  <c r="AK264" i="10"/>
  <c r="BB237" i="10"/>
  <c r="BB265" i="10"/>
  <c r="BB227" i="10"/>
  <c r="BB241" i="10"/>
  <c r="N234" i="10"/>
  <c r="N248" i="10"/>
  <c r="N233" i="10"/>
  <c r="N266" i="10"/>
  <c r="BG263" i="10"/>
  <c r="BG259" i="10"/>
  <c r="BG260" i="10"/>
  <c r="BK253" i="10"/>
  <c r="AC255" i="10"/>
  <c r="AL265" i="10"/>
  <c r="AQ222" i="10"/>
  <c r="AQ269" i="10"/>
  <c r="U252" i="10"/>
  <c r="AB253" i="10"/>
  <c r="AB225" i="10"/>
  <c r="AG263" i="10"/>
  <c r="AN259" i="10"/>
  <c r="L231" i="10"/>
  <c r="L270" i="10"/>
  <c r="AO268" i="10"/>
  <c r="J260" i="10"/>
  <c r="J226" i="10"/>
  <c r="V247" i="10"/>
  <c r="V251" i="10"/>
  <c r="AH225" i="10"/>
  <c r="AH242" i="10"/>
  <c r="BH248" i="10"/>
  <c r="BH233" i="10"/>
  <c r="R227" i="10"/>
  <c r="R226" i="10"/>
  <c r="BK224" i="10"/>
  <c r="AC221" i="10"/>
  <c r="AL251" i="10"/>
  <c r="AQ241" i="10"/>
  <c r="AQ264" i="10"/>
  <c r="U258" i="10"/>
  <c r="AB251" i="10"/>
  <c r="AB267" i="10"/>
  <c r="AG242" i="10"/>
  <c r="AN257" i="10"/>
  <c r="L227" i="10"/>
  <c r="L230" i="10"/>
  <c r="BK223" i="10"/>
  <c r="BE255" i="10"/>
  <c r="U247" i="10"/>
  <c r="AG223" i="10"/>
  <c r="AN237" i="10"/>
  <c r="AO243" i="10"/>
  <c r="J220" i="10"/>
  <c r="V240" i="10"/>
  <c r="AH229" i="10"/>
  <c r="BH265" i="10"/>
  <c r="R255" i="10"/>
  <c r="BC264" i="10"/>
  <c r="AU258" i="10"/>
  <c r="AU272" i="10"/>
  <c r="Z239" i="10"/>
  <c r="Z229" i="10"/>
  <c r="AS223" i="10"/>
  <c r="AS227" i="10"/>
  <c r="AS243" i="10"/>
  <c r="S247" i="10"/>
  <c r="S227" i="10"/>
  <c r="BM234" i="10"/>
  <c r="BM268" i="10"/>
  <c r="H226" i="10"/>
  <c r="H232" i="10"/>
  <c r="H222" i="10"/>
  <c r="AT255" i="10"/>
  <c r="AT238" i="10"/>
  <c r="AT271" i="10"/>
  <c r="M263" i="10"/>
  <c r="M232" i="10"/>
  <c r="M271" i="10"/>
  <c r="AD238" i="10"/>
  <c r="AD230" i="10"/>
  <c r="AD254" i="10"/>
  <c r="AD234" i="10"/>
  <c r="BO271" i="10"/>
  <c r="BO261" i="10"/>
  <c r="BO263" i="10"/>
  <c r="BJ221" i="10"/>
  <c r="BJ220" i="10"/>
  <c r="BJ230" i="10"/>
  <c r="AV223" i="10"/>
  <c r="AV260" i="10"/>
  <c r="AV226" i="10"/>
  <c r="AV236" i="10"/>
  <c r="AF233" i="10"/>
  <c r="AF221" i="10"/>
  <c r="AF261" i="10"/>
  <c r="AF238" i="10"/>
  <c r="BF232" i="10"/>
  <c r="BF241" i="10"/>
  <c r="BF237" i="10"/>
  <c r="Y240" i="10"/>
  <c r="Y223" i="10"/>
  <c r="Y258" i="10"/>
  <c r="Y267" i="10"/>
  <c r="AP225" i="10"/>
  <c r="AP239" i="10"/>
  <c r="AP255" i="10"/>
  <c r="AP234" i="10"/>
  <c r="BL259" i="10"/>
  <c r="BL221" i="10"/>
  <c r="BL231" i="10"/>
  <c r="BL255" i="10"/>
  <c r="AX266" i="10"/>
  <c r="AX251" i="10"/>
  <c r="AX247" i="10"/>
  <c r="AX223" i="10"/>
  <c r="AJ259" i="10"/>
  <c r="AJ270" i="10"/>
  <c r="AJ252" i="10"/>
  <c r="AJ258" i="10"/>
  <c r="AZ229" i="10"/>
  <c r="AZ218" i="10"/>
  <c r="AZ268" i="10"/>
  <c r="AZ259" i="10"/>
  <c r="T259" i="10"/>
  <c r="T266" i="10"/>
  <c r="T224" i="10"/>
  <c r="T223" i="10"/>
  <c r="AA268" i="10"/>
  <c r="AA219" i="10"/>
  <c r="AA226" i="10"/>
  <c r="AA259" i="10"/>
  <c r="K257" i="10"/>
  <c r="K226" i="10"/>
  <c r="K238" i="10"/>
  <c r="K256" i="10"/>
  <c r="AK233" i="10"/>
  <c r="AK236" i="10"/>
  <c r="AK247" i="10"/>
  <c r="AK254" i="10"/>
  <c r="BB219" i="10"/>
  <c r="BB257" i="10"/>
  <c r="BB272" i="10"/>
  <c r="BB232" i="10"/>
  <c r="N270" i="10"/>
  <c r="N257" i="10"/>
  <c r="N231" i="10"/>
  <c r="N222" i="10"/>
  <c r="BG253" i="10"/>
  <c r="BG236" i="10"/>
  <c r="BG248" i="10"/>
  <c r="BG243" i="10"/>
  <c r="X252" i="10"/>
  <c r="X261" i="10"/>
  <c r="X236" i="10"/>
  <c r="X230" i="10"/>
  <c r="BA219" i="10"/>
  <c r="BA267" i="10"/>
  <c r="BA225" i="10"/>
  <c r="BA265" i="10"/>
  <c r="AE227" i="10"/>
  <c r="AE255" i="10"/>
  <c r="AE230" i="10"/>
  <c r="AE234" i="10"/>
  <c r="AE254" i="10"/>
  <c r="O266" i="10"/>
  <c r="O268" i="10"/>
  <c r="O232" i="10"/>
  <c r="O263" i="10"/>
  <c r="AR243" i="10"/>
  <c r="AR266" i="10"/>
  <c r="AR235" i="10"/>
  <c r="AR222" i="10"/>
  <c r="AM240" i="10"/>
  <c r="AM243" i="10"/>
  <c r="AM248" i="10"/>
  <c r="AM224" i="10"/>
  <c r="AM267" i="10"/>
  <c r="BD251" i="10"/>
  <c r="BD261" i="10"/>
  <c r="BD268" i="10"/>
  <c r="BD262" i="10"/>
  <c r="W232" i="10"/>
  <c r="W219" i="10"/>
  <c r="W236" i="10"/>
  <c r="W253" i="10"/>
  <c r="AW254" i="10"/>
  <c r="AW222" i="10"/>
  <c r="AW266" i="10"/>
  <c r="AW261" i="10"/>
  <c r="AW228" i="10"/>
  <c r="BN233" i="10"/>
  <c r="BN260" i="10"/>
  <c r="BN228" i="10"/>
  <c r="BN235" i="10"/>
  <c r="T248" i="10"/>
  <c r="BK272" i="10"/>
  <c r="BE241" i="10"/>
  <c r="U231" i="10"/>
  <c r="AG256" i="10"/>
  <c r="AN243" i="10"/>
  <c r="AO263" i="10"/>
  <c r="J236" i="10"/>
  <c r="V221" i="10"/>
  <c r="BH239" i="10"/>
  <c r="BH236" i="10"/>
  <c r="R237" i="10"/>
  <c r="BC272" i="10"/>
  <c r="AU231" i="10"/>
  <c r="AU233" i="10"/>
  <c r="Z218" i="10"/>
  <c r="Z230" i="10"/>
  <c r="AS237" i="10"/>
  <c r="AS264" i="10"/>
  <c r="S232" i="10"/>
  <c r="S229" i="10"/>
  <c r="S253" i="10"/>
  <c r="BM237" i="10"/>
  <c r="BM252" i="10"/>
  <c r="H237" i="10"/>
  <c r="H241" i="10"/>
  <c r="H263" i="10"/>
  <c r="AT265" i="10"/>
  <c r="AT263" i="10"/>
  <c r="AT268" i="10"/>
  <c r="M266" i="10"/>
  <c r="M219" i="10"/>
  <c r="M227" i="10"/>
  <c r="AD242" i="10"/>
  <c r="AD261" i="10"/>
  <c r="AD252" i="10"/>
  <c r="AD218" i="10"/>
  <c r="BO266" i="10"/>
  <c r="BO240" i="10"/>
  <c r="BO220" i="10"/>
  <c r="BJ261" i="10"/>
  <c r="BJ229" i="10"/>
  <c r="BJ241" i="10"/>
  <c r="AV241" i="10"/>
  <c r="AV248" i="10"/>
  <c r="AV247" i="10"/>
  <c r="AV229" i="10"/>
  <c r="AF240" i="10"/>
  <c r="AF223" i="10"/>
  <c r="AF267" i="10"/>
  <c r="BF249" i="10"/>
  <c r="BF254" i="10"/>
  <c r="BF268" i="10"/>
  <c r="BF234" i="10"/>
  <c r="Y264" i="10"/>
  <c r="Y225" i="10"/>
  <c r="Y239" i="10"/>
  <c r="Y261" i="10"/>
  <c r="AP267" i="10"/>
  <c r="AP252" i="10"/>
  <c r="AP240" i="10"/>
  <c r="AP233" i="10"/>
  <c r="BL272" i="10"/>
  <c r="BL263" i="10"/>
  <c r="BL269" i="10"/>
  <c r="BL267" i="10"/>
  <c r="AX231" i="10"/>
  <c r="AX248" i="10"/>
  <c r="AX238" i="10"/>
  <c r="AX252" i="10"/>
  <c r="AJ238" i="10"/>
  <c r="AJ253" i="10"/>
  <c r="AJ265" i="10"/>
  <c r="AJ229" i="10"/>
  <c r="AZ241" i="10"/>
  <c r="AZ255" i="10"/>
  <c r="AZ254" i="10"/>
  <c r="AZ225" i="10"/>
  <c r="T269" i="10"/>
  <c r="T221" i="10"/>
  <c r="T256" i="10"/>
  <c r="AA234" i="10"/>
  <c r="AA227" i="10"/>
  <c r="AA269" i="10"/>
  <c r="AA220" i="10"/>
  <c r="K253" i="10"/>
  <c r="BK254" i="10"/>
  <c r="BE254" i="10"/>
  <c r="U269" i="10"/>
  <c r="AG218" i="10"/>
  <c r="L232" i="10"/>
  <c r="AO239" i="10"/>
  <c r="J256" i="10"/>
  <c r="V235" i="10"/>
  <c r="BH249" i="10"/>
  <c r="R218" i="10"/>
  <c r="R264" i="10"/>
  <c r="BC239" i="10"/>
  <c r="AU239" i="10"/>
  <c r="AU270" i="10"/>
  <c r="Z232" i="10"/>
  <c r="Z249" i="10"/>
  <c r="AS241" i="10"/>
  <c r="AS265" i="10"/>
  <c r="S235" i="10"/>
  <c r="S260" i="10"/>
  <c r="S263" i="10"/>
  <c r="BM236" i="10"/>
  <c r="BM223" i="10"/>
  <c r="H230" i="10"/>
  <c r="H264" i="10"/>
  <c r="H234" i="10"/>
  <c r="AT256" i="10"/>
  <c r="AT233" i="10"/>
  <c r="AT242" i="10"/>
  <c r="M226" i="10"/>
  <c r="M272" i="10"/>
  <c r="M241" i="10"/>
  <c r="AD267" i="10"/>
  <c r="AD232" i="10"/>
  <c r="AD219" i="10"/>
  <c r="BO251" i="10"/>
  <c r="BO228" i="10"/>
  <c r="BO239" i="10"/>
  <c r="BO258" i="10"/>
  <c r="BJ260" i="10"/>
  <c r="BJ222" i="10"/>
  <c r="BJ238" i="10"/>
  <c r="AV269" i="10"/>
  <c r="AV232" i="10"/>
  <c r="AV257" i="10"/>
  <c r="AV264" i="10"/>
  <c r="AF226" i="10"/>
  <c r="AF229" i="10"/>
  <c r="AF224" i="10"/>
  <c r="BF248" i="10"/>
  <c r="BF272" i="10"/>
  <c r="BF227" i="10"/>
  <c r="BF235" i="10"/>
  <c r="Y251" i="10"/>
  <c r="Y249" i="10"/>
  <c r="Y248" i="10"/>
  <c r="Y269" i="10"/>
  <c r="AP264" i="10"/>
  <c r="AP251" i="10"/>
  <c r="AP228" i="10"/>
  <c r="AP230" i="10"/>
  <c r="BL262" i="10"/>
  <c r="BL256" i="10"/>
  <c r="BL264" i="10"/>
  <c r="BL240" i="10"/>
  <c r="AX271" i="10"/>
  <c r="AX232" i="10"/>
  <c r="AX224" i="10"/>
  <c r="AX236" i="10"/>
  <c r="AJ219" i="10"/>
  <c r="AJ268" i="10"/>
  <c r="AJ223" i="10"/>
  <c r="AJ261" i="10"/>
  <c r="AZ228" i="10"/>
  <c r="AZ227" i="10"/>
  <c r="AZ260" i="10"/>
  <c r="AZ219" i="10"/>
  <c r="T231" i="10"/>
  <c r="T264" i="10"/>
  <c r="T271" i="10"/>
  <c r="Q239" i="10"/>
  <c r="AQ233" i="10"/>
  <c r="U229" i="10"/>
  <c r="AG253" i="10"/>
  <c r="L249" i="10"/>
  <c r="AO236" i="10"/>
  <c r="J225" i="10"/>
  <c r="V225" i="10"/>
  <c r="BH257" i="10"/>
  <c r="R223" i="10"/>
  <c r="R248" i="10"/>
  <c r="BC248" i="10"/>
  <c r="AU257" i="10"/>
  <c r="AU227" i="10"/>
  <c r="Z265" i="10"/>
  <c r="Z224" i="10"/>
  <c r="AS262" i="10"/>
  <c r="AS234" i="10"/>
  <c r="S255" i="10"/>
  <c r="S221" i="10"/>
  <c r="BM227" i="10"/>
  <c r="BM247" i="10"/>
  <c r="BM230" i="10"/>
  <c r="H223" i="10"/>
  <c r="H243" i="10"/>
  <c r="H254" i="10"/>
  <c r="AT251" i="10"/>
  <c r="AT267" i="10"/>
  <c r="AT227" i="10"/>
  <c r="M268" i="10"/>
  <c r="M236" i="10"/>
  <c r="M225" i="10"/>
  <c r="AD268" i="10"/>
  <c r="AD251" i="10"/>
  <c r="AD240" i="10"/>
  <c r="BO265" i="10"/>
  <c r="BO242" i="10"/>
  <c r="BO243" i="10"/>
  <c r="BO229" i="10"/>
  <c r="BJ248" i="10"/>
  <c r="BJ243" i="10"/>
  <c r="BJ262" i="10"/>
  <c r="AV233" i="10"/>
  <c r="AV249" i="10"/>
  <c r="AV242" i="10"/>
  <c r="AV222" i="10"/>
  <c r="AF254" i="10"/>
  <c r="AF256" i="10"/>
  <c r="AF219" i="10"/>
  <c r="BF219" i="10"/>
  <c r="BF231" i="10"/>
  <c r="BF223" i="10"/>
  <c r="BF257" i="10"/>
  <c r="Y271" i="10"/>
  <c r="Y226" i="10"/>
  <c r="Y232" i="10"/>
  <c r="Y238" i="10"/>
  <c r="AP258" i="10"/>
  <c r="AP260" i="10"/>
  <c r="AP269" i="10"/>
  <c r="AP262" i="10"/>
  <c r="BL236" i="10"/>
  <c r="BL258" i="10"/>
  <c r="BL252" i="10"/>
  <c r="BL218" i="10"/>
  <c r="AX256" i="10"/>
  <c r="AX268" i="10"/>
  <c r="AX228" i="10"/>
  <c r="AX255" i="10"/>
  <c r="AJ266" i="10"/>
  <c r="AJ262" i="10"/>
  <c r="AJ263" i="10"/>
  <c r="AJ227" i="10"/>
  <c r="AZ237" i="10"/>
  <c r="AZ220" i="10"/>
  <c r="AZ240" i="10"/>
  <c r="AZ230" i="10"/>
  <c r="T243" i="10"/>
  <c r="T251" i="10"/>
  <c r="Q228" i="10"/>
  <c r="AQ265" i="10"/>
  <c r="U250" i="10"/>
  <c r="AG265" i="10"/>
  <c r="L239" i="10"/>
  <c r="AO224" i="10"/>
  <c r="J268" i="10"/>
  <c r="V269" i="10"/>
  <c r="BH258" i="10"/>
  <c r="R249" i="10"/>
  <c r="R219" i="10"/>
  <c r="BC260" i="10"/>
  <c r="AU230" i="10"/>
  <c r="AU240" i="10"/>
  <c r="Z222" i="10"/>
  <c r="Z226" i="10"/>
  <c r="AS267" i="10"/>
  <c r="AS251" i="10"/>
  <c r="S236" i="10"/>
  <c r="S251" i="10"/>
  <c r="BM250" i="10"/>
  <c r="BM224" i="10"/>
  <c r="BM272" i="10"/>
  <c r="H239" i="10"/>
  <c r="H231" i="10"/>
  <c r="H242" i="10"/>
  <c r="AT248" i="10"/>
  <c r="AT234" i="10"/>
  <c r="AT250" i="10"/>
  <c r="M247" i="10"/>
  <c r="M261" i="10"/>
  <c r="M221" i="10"/>
  <c r="AD249" i="10"/>
  <c r="AD250" i="10"/>
  <c r="AD223" i="10"/>
  <c r="BO255" i="10"/>
  <c r="BO237" i="10"/>
  <c r="BO249" i="10"/>
  <c r="BO227" i="10"/>
  <c r="BJ240" i="10"/>
  <c r="BJ255" i="10"/>
  <c r="BJ239" i="10"/>
  <c r="AV238" i="10"/>
  <c r="AV253" i="10"/>
  <c r="AV255" i="10"/>
  <c r="AV234" i="10"/>
  <c r="AF262" i="10"/>
  <c r="AF271" i="10"/>
  <c r="AF257" i="10"/>
  <c r="BF221" i="10"/>
  <c r="BF265" i="10"/>
  <c r="BF252" i="10"/>
  <c r="BF233" i="10"/>
  <c r="Y250" i="10"/>
  <c r="Y260" i="10"/>
  <c r="Y229" i="10"/>
  <c r="Y235" i="10"/>
  <c r="AP250" i="10"/>
  <c r="AP268" i="10"/>
  <c r="AP219" i="10"/>
  <c r="AP247" i="10"/>
  <c r="BL241" i="10"/>
  <c r="BL237" i="10"/>
  <c r="BL260" i="10"/>
  <c r="BL249" i="10"/>
  <c r="AX237" i="10"/>
  <c r="AX262" i="10"/>
  <c r="AX249" i="10"/>
  <c r="AX220" i="10"/>
  <c r="AJ230" i="10"/>
  <c r="AJ241" i="10"/>
  <c r="AJ272" i="10"/>
  <c r="AJ243" i="10"/>
  <c r="AZ250" i="10"/>
  <c r="AZ235" i="10"/>
  <c r="AZ243" i="10"/>
  <c r="AZ231" i="10"/>
  <c r="T270" i="10"/>
  <c r="T236" i="10"/>
  <c r="T239" i="10"/>
  <c r="AA223" i="10"/>
  <c r="AA264" i="10"/>
  <c r="AA258" i="10"/>
  <c r="AA254" i="10"/>
  <c r="K251" i="10"/>
  <c r="K249" i="10"/>
  <c r="K218" i="10"/>
  <c r="K229" i="10"/>
  <c r="AK219" i="10"/>
  <c r="AK231" i="10"/>
  <c r="AK239" i="10"/>
  <c r="AK226" i="10"/>
  <c r="BB264" i="10"/>
  <c r="BB222" i="10"/>
  <c r="BB221" i="10"/>
  <c r="BB255" i="10"/>
  <c r="N263" i="10"/>
  <c r="N256" i="10"/>
  <c r="N254" i="10"/>
  <c r="N226" i="10"/>
  <c r="BG221" i="10"/>
  <c r="BG229" i="10"/>
  <c r="BG232" i="10"/>
  <c r="BG237" i="10"/>
  <c r="X270" i="10"/>
  <c r="X223" i="10"/>
  <c r="X227" i="10"/>
  <c r="X255" i="10"/>
  <c r="X239" i="10"/>
  <c r="BA269" i="10"/>
  <c r="BA231" i="10"/>
  <c r="BA234" i="10"/>
  <c r="BA255" i="10"/>
  <c r="AE256" i="10"/>
  <c r="AE243" i="10"/>
  <c r="AE219" i="10"/>
  <c r="AE236" i="10"/>
  <c r="O227" i="10"/>
  <c r="O269" i="10"/>
  <c r="O242" i="10"/>
  <c r="O221" i="10"/>
  <c r="O248" i="10"/>
  <c r="AR229" i="10"/>
  <c r="AR224" i="10"/>
  <c r="AR228" i="10"/>
  <c r="AR231" i="10"/>
  <c r="AM251" i="10"/>
  <c r="AM272" i="10"/>
  <c r="AM250" i="10"/>
  <c r="AM237" i="10"/>
  <c r="BD259" i="10"/>
  <c r="BD227" i="10"/>
  <c r="BD269" i="10"/>
  <c r="BD234" i="10"/>
  <c r="BD272" i="10"/>
  <c r="W268" i="10"/>
  <c r="W270" i="10"/>
  <c r="W249" i="10"/>
  <c r="W247" i="10"/>
  <c r="AW238" i="10"/>
  <c r="AW259" i="10"/>
  <c r="AW272" i="10"/>
  <c r="AW235" i="10"/>
  <c r="BN270" i="10"/>
  <c r="BN225" i="10"/>
  <c r="BN232" i="10"/>
  <c r="BN223" i="10"/>
  <c r="BN248" i="10"/>
  <c r="AC226" i="10"/>
  <c r="AQ236" i="10"/>
  <c r="U256" i="10"/>
  <c r="AG239" i="10"/>
  <c r="L271" i="10"/>
  <c r="AO260" i="10"/>
  <c r="V243" i="10"/>
  <c r="AH234" i="10"/>
  <c r="BH263" i="10"/>
  <c r="R239" i="10"/>
  <c r="R258" i="10"/>
  <c r="BC256" i="10"/>
  <c r="AU220" i="10"/>
  <c r="AU269" i="10"/>
  <c r="Z256" i="10"/>
  <c r="Z237" i="10"/>
  <c r="AS268" i="10"/>
  <c r="AS220" i="10"/>
  <c r="S262" i="10"/>
  <c r="S250" i="10"/>
  <c r="BM231" i="10"/>
  <c r="BM254" i="10"/>
  <c r="BM258" i="10"/>
  <c r="H219" i="10"/>
  <c r="H224" i="10"/>
  <c r="AT223" i="10"/>
  <c r="AT243" i="10"/>
  <c r="AT247" i="10"/>
  <c r="AT253" i="10"/>
  <c r="M222" i="10"/>
  <c r="M242" i="10"/>
  <c r="M249" i="10"/>
  <c r="AD266" i="10"/>
  <c r="AD227" i="10"/>
  <c r="AD257" i="10"/>
  <c r="BO218" i="10"/>
  <c r="BO223" i="10"/>
  <c r="BO272" i="10"/>
  <c r="BO234" i="10"/>
  <c r="BJ263" i="10"/>
  <c r="BJ259" i="10"/>
  <c r="BJ264" i="10"/>
  <c r="AV225" i="10"/>
  <c r="AV219" i="10"/>
  <c r="AV218" i="10"/>
  <c r="AF265" i="10"/>
  <c r="AF269" i="10"/>
  <c r="AF239" i="10"/>
  <c r="AF237" i="10"/>
  <c r="BF238" i="10"/>
  <c r="BF251" i="10"/>
  <c r="BF250" i="10"/>
  <c r="Y265" i="10"/>
  <c r="Y234" i="10"/>
  <c r="Y268" i="10"/>
  <c r="Y219" i="10"/>
  <c r="AP235" i="10"/>
  <c r="AP223" i="10"/>
  <c r="AP237" i="10"/>
  <c r="AP263" i="10"/>
  <c r="BL228" i="10"/>
  <c r="BL250" i="10"/>
  <c r="BL247" i="10"/>
  <c r="BL271" i="10"/>
  <c r="AC237" i="10"/>
  <c r="AQ271" i="10"/>
  <c r="AB258" i="10"/>
  <c r="AG264" i="10"/>
  <c r="L218" i="10"/>
  <c r="J228" i="10"/>
  <c r="V237" i="10"/>
  <c r="AH249" i="10"/>
  <c r="BH238" i="10"/>
  <c r="R234" i="10"/>
  <c r="BC251" i="10"/>
  <c r="BC219" i="10"/>
  <c r="AU247" i="10"/>
  <c r="AU267" i="10"/>
  <c r="Z247" i="10"/>
  <c r="Z241" i="10"/>
  <c r="AS261" i="10"/>
  <c r="AS231" i="10"/>
  <c r="S261" i="10"/>
  <c r="S230" i="10"/>
  <c r="BM241" i="10"/>
  <c r="BM220" i="10"/>
  <c r="BM248" i="10"/>
  <c r="H268" i="10"/>
  <c r="H238" i="10"/>
  <c r="AT249" i="10"/>
  <c r="AT259" i="10"/>
  <c r="AT258" i="10"/>
  <c r="AT240" i="10"/>
  <c r="M230" i="10"/>
  <c r="M264" i="10"/>
  <c r="M257" i="10"/>
  <c r="AD264" i="10"/>
  <c r="AD253" i="10"/>
  <c r="AD258" i="10"/>
  <c r="BO270" i="10"/>
  <c r="BO253" i="10"/>
  <c r="BO235" i="10"/>
  <c r="BJ257" i="10"/>
  <c r="BJ249" i="10"/>
  <c r="BJ225" i="10"/>
  <c r="BJ247" i="10"/>
  <c r="AV221" i="10"/>
  <c r="AV261" i="10"/>
  <c r="AV243" i="10"/>
  <c r="AF247" i="10"/>
  <c r="AF272" i="10"/>
  <c r="AF242" i="10"/>
  <c r="AF230" i="10"/>
  <c r="BF271" i="10"/>
  <c r="BF270" i="10"/>
  <c r="BF264" i="10"/>
  <c r="BF228" i="10"/>
  <c r="Y242" i="10"/>
  <c r="Y230" i="10"/>
  <c r="Y224" i="10"/>
  <c r="AP272" i="10"/>
  <c r="AC258" i="10"/>
  <c r="AB223" i="10"/>
  <c r="L222" i="10"/>
  <c r="AH252" i="10"/>
  <c r="R262" i="10"/>
  <c r="AU221" i="10"/>
  <c r="Z263" i="10"/>
  <c r="AS230" i="10"/>
  <c r="S257" i="10"/>
  <c r="BM232" i="10"/>
  <c r="H256" i="10"/>
  <c r="AT230" i="10"/>
  <c r="M267" i="10"/>
  <c r="M228" i="10"/>
  <c r="AD229" i="10"/>
  <c r="BO248" i="10"/>
  <c r="BJ219" i="10"/>
  <c r="BJ237" i="10"/>
  <c r="AV268" i="10"/>
  <c r="AF222" i="10"/>
  <c r="AF260" i="10"/>
  <c r="BF260" i="10"/>
  <c r="Y237" i="10"/>
  <c r="Y228" i="10"/>
  <c r="AP221" i="10"/>
  <c r="AP270" i="10"/>
  <c r="BL230" i="10"/>
  <c r="BL261" i="10"/>
  <c r="AX221" i="10"/>
  <c r="AX265" i="10"/>
  <c r="AJ250" i="10"/>
  <c r="AJ264" i="10"/>
  <c r="AZ232" i="10"/>
  <c r="AZ224" i="10"/>
  <c r="AZ236" i="10"/>
  <c r="T240" i="10"/>
  <c r="T255" i="10"/>
  <c r="AA263" i="10"/>
  <c r="AA231" i="10"/>
  <c r="AA242" i="10"/>
  <c r="K271" i="10"/>
  <c r="K221" i="10"/>
  <c r="K270" i="10"/>
  <c r="K263" i="10"/>
  <c r="AK262" i="10"/>
  <c r="AK267" i="10"/>
  <c r="AK266" i="10"/>
  <c r="BB251" i="10"/>
  <c r="BB243" i="10"/>
  <c r="BB240" i="10"/>
  <c r="N240" i="10"/>
  <c r="N235" i="10"/>
  <c r="N261" i="10"/>
  <c r="BG226" i="10"/>
  <c r="BG235" i="10"/>
  <c r="BG231" i="10"/>
  <c r="BG256" i="10"/>
  <c r="X258" i="10"/>
  <c r="X251" i="10"/>
  <c r="X265" i="10"/>
  <c r="BA253" i="10"/>
  <c r="BA238" i="10"/>
  <c r="BA223" i="10"/>
  <c r="BA242" i="10"/>
  <c r="AE261" i="10"/>
  <c r="AE237" i="10"/>
  <c r="AE268" i="10"/>
  <c r="AE224" i="10"/>
  <c r="O253" i="10"/>
  <c r="O265" i="10"/>
  <c r="O251" i="10"/>
  <c r="AR258" i="10"/>
  <c r="AR225" i="10"/>
  <c r="AR234" i="10"/>
  <c r="AR259" i="10"/>
  <c r="AM257" i="10"/>
  <c r="AM260" i="10"/>
  <c r="AM218" i="10"/>
  <c r="AM262" i="10"/>
  <c r="BD238" i="10"/>
  <c r="BD232" i="10"/>
  <c r="BD265" i="10"/>
  <c r="W242" i="10"/>
  <c r="W243" i="10"/>
  <c r="W259" i="10"/>
  <c r="W238" i="10"/>
  <c r="AW218" i="10"/>
  <c r="AW237" i="10"/>
  <c r="AW226" i="10"/>
  <c r="BN259" i="10"/>
  <c r="BN268" i="10"/>
  <c r="BN266" i="10"/>
  <c r="BN236" i="10"/>
  <c r="AC229" i="10"/>
  <c r="AB260" i="10"/>
  <c r="J247" i="10"/>
  <c r="AH256" i="10"/>
  <c r="R269" i="10"/>
  <c r="AU225" i="10"/>
  <c r="Z243" i="10"/>
  <c r="AS263" i="10"/>
  <c r="S222" i="10"/>
  <c r="BM238" i="10"/>
  <c r="H236" i="10"/>
  <c r="AT239" i="10"/>
  <c r="M238" i="10"/>
  <c r="M220" i="10"/>
  <c r="AD260" i="10"/>
  <c r="BO232" i="10"/>
  <c r="BJ228" i="10"/>
  <c r="BJ268" i="10"/>
  <c r="AV259" i="10"/>
  <c r="AF225" i="10"/>
  <c r="AF264" i="10"/>
  <c r="BF230" i="10"/>
  <c r="Y257" i="10"/>
  <c r="Y272" i="10"/>
  <c r="AP236" i="10"/>
  <c r="AP248" i="10"/>
  <c r="BL226" i="10"/>
  <c r="BL222" i="10"/>
  <c r="AX230" i="10"/>
  <c r="AX267" i="10"/>
  <c r="AJ228" i="10"/>
  <c r="AJ256" i="10"/>
  <c r="AZ251" i="10"/>
  <c r="AZ266" i="10"/>
  <c r="AZ222" i="10"/>
  <c r="T260" i="10"/>
  <c r="T218" i="10"/>
  <c r="AA266" i="10"/>
  <c r="AA222" i="10"/>
  <c r="AA253" i="10"/>
  <c r="K264" i="10"/>
  <c r="K247" i="10"/>
  <c r="K228" i="10"/>
  <c r="AK251" i="10"/>
  <c r="AK241" i="10"/>
  <c r="AK228" i="10"/>
  <c r="BB247" i="10"/>
  <c r="BB262" i="10"/>
  <c r="AC262" i="10"/>
  <c r="AB255" i="10"/>
  <c r="J272" i="10"/>
  <c r="AH239" i="10"/>
  <c r="BC269" i="10"/>
  <c r="AU254" i="10"/>
  <c r="Z228" i="10"/>
  <c r="AS257" i="10"/>
  <c r="S271" i="10"/>
  <c r="BM267" i="10"/>
  <c r="H267" i="10"/>
  <c r="AT241" i="10"/>
  <c r="M237" i="10"/>
  <c r="M233" i="10"/>
  <c r="AD225" i="10"/>
  <c r="BO224" i="10"/>
  <c r="BJ256" i="10"/>
  <c r="BJ235" i="10"/>
  <c r="AV263" i="10"/>
  <c r="AF249" i="10"/>
  <c r="AF266" i="10"/>
  <c r="BF222" i="10"/>
  <c r="Y221" i="10"/>
  <c r="Y253" i="10"/>
  <c r="AP256" i="10"/>
  <c r="AP249" i="10"/>
  <c r="BL239" i="10"/>
  <c r="BL220" i="10"/>
  <c r="AX261" i="10"/>
  <c r="AX269" i="10"/>
  <c r="AJ267" i="10"/>
  <c r="AJ251" i="10"/>
  <c r="AZ252" i="10"/>
  <c r="AZ221" i="10"/>
  <c r="AZ248" i="10"/>
  <c r="T272" i="10"/>
  <c r="T242" i="10"/>
  <c r="AA261" i="10"/>
  <c r="AA271" i="10"/>
  <c r="AA233" i="10"/>
  <c r="K222" i="10"/>
  <c r="K240" i="10"/>
  <c r="K258" i="10"/>
  <c r="AK258" i="10"/>
  <c r="AK250" i="10"/>
  <c r="AL218" i="10"/>
  <c r="AG220" i="10"/>
  <c r="J229" i="10"/>
  <c r="AH264" i="10"/>
  <c r="BC221" i="10"/>
  <c r="AU238" i="10"/>
  <c r="Z250" i="10"/>
  <c r="AS248" i="10"/>
  <c r="S256" i="10"/>
  <c r="BM229" i="10"/>
  <c r="H247" i="10"/>
  <c r="AT218" i="10"/>
  <c r="M255" i="10"/>
  <c r="AD271" i="10"/>
  <c r="AD233" i="10"/>
  <c r="BO267" i="10"/>
  <c r="BJ271" i="10"/>
  <c r="BJ272" i="10"/>
  <c r="AV271" i="10"/>
  <c r="AF263" i="10"/>
  <c r="AF235" i="10"/>
  <c r="BF229" i="10"/>
  <c r="Y236" i="10"/>
  <c r="Y222" i="10"/>
  <c r="AP231" i="10"/>
  <c r="AP224" i="10"/>
  <c r="BL266" i="10"/>
  <c r="BL238" i="10"/>
  <c r="AX239" i="10"/>
  <c r="AX263" i="10"/>
  <c r="AJ248" i="10"/>
  <c r="AJ260" i="10"/>
  <c r="AZ261" i="10"/>
  <c r="AZ267" i="10"/>
  <c r="T257" i="10"/>
  <c r="T241" i="10"/>
  <c r="T226" i="10"/>
  <c r="AA252" i="10"/>
  <c r="AA218" i="10"/>
  <c r="AA272" i="10"/>
  <c r="K261" i="10"/>
  <c r="K254" i="10"/>
  <c r="K237" i="10"/>
  <c r="AK248" i="10"/>
  <c r="AK252" i="10"/>
  <c r="AK261" i="10"/>
  <c r="AK225" i="10"/>
  <c r="BB218" i="10"/>
  <c r="BB225" i="10"/>
  <c r="BB261" i="10"/>
  <c r="N220" i="10"/>
  <c r="N252" i="10"/>
  <c r="N232" i="10"/>
  <c r="BG255" i="10"/>
  <c r="BG230" i="10"/>
  <c r="BG241" i="10"/>
  <c r="BG247" i="10"/>
  <c r="X229" i="10"/>
  <c r="X257" i="10"/>
  <c r="X242" i="10"/>
  <c r="BA264" i="10"/>
  <c r="BA243" i="10"/>
  <c r="BA271" i="10"/>
  <c r="BA263" i="10"/>
  <c r="AE251" i="10"/>
  <c r="AE272" i="10"/>
  <c r="AE229" i="10"/>
  <c r="O257" i="10"/>
  <c r="O239" i="10"/>
  <c r="O223" i="10"/>
  <c r="O230" i="10"/>
  <c r="AR220" i="10"/>
  <c r="AR237" i="10"/>
  <c r="AR223" i="10"/>
  <c r="AR260" i="10"/>
  <c r="AM265" i="10"/>
  <c r="AM259" i="10"/>
  <c r="AM249" i="10"/>
  <c r="BD255" i="10"/>
  <c r="BD256" i="10"/>
  <c r="BD263" i="10"/>
  <c r="BD243" i="10"/>
  <c r="W261" i="10"/>
  <c r="W227" i="10"/>
  <c r="W233" i="10"/>
  <c r="AQ237" i="10"/>
  <c r="AN249" i="10"/>
  <c r="J262" i="10"/>
  <c r="BH264" i="10"/>
  <c r="BC229" i="10"/>
  <c r="AU255" i="10"/>
  <c r="AS270" i="10"/>
  <c r="AS236" i="10"/>
  <c r="BM257" i="10"/>
  <c r="H257" i="10"/>
  <c r="AT225" i="10"/>
  <c r="AT236" i="10"/>
  <c r="M265" i="10"/>
  <c r="AD235" i="10"/>
  <c r="AD256" i="10"/>
  <c r="BO256" i="10"/>
  <c r="BJ251" i="10"/>
  <c r="AV270" i="10"/>
  <c r="AV265" i="10"/>
  <c r="AF258" i="10"/>
  <c r="BF261" i="10"/>
  <c r="BF266" i="10"/>
  <c r="Y259" i="10"/>
  <c r="AP254" i="10"/>
  <c r="AP265" i="10"/>
  <c r="BL233" i="10"/>
  <c r="BL227" i="10"/>
  <c r="AX270" i="10"/>
  <c r="AX222" i="10"/>
  <c r="AX229" i="10"/>
  <c r="AJ237" i="10"/>
  <c r="AJ222" i="10"/>
  <c r="AZ257" i="10"/>
  <c r="AZ271" i="10"/>
  <c r="T228" i="10"/>
  <c r="T219" i="10"/>
  <c r="T233" i="10"/>
  <c r="AA232" i="10"/>
  <c r="AA255" i="10"/>
  <c r="AA267" i="10"/>
  <c r="K239" i="10"/>
  <c r="K255" i="10"/>
  <c r="K272" i="10"/>
  <c r="AK227" i="10"/>
  <c r="AQ243" i="10"/>
  <c r="AN235" i="10"/>
  <c r="V241" i="10"/>
  <c r="BH266" i="10"/>
  <c r="BC220" i="10"/>
  <c r="AU256" i="10"/>
  <c r="AS233" i="10"/>
  <c r="S259" i="10"/>
  <c r="BM263" i="10"/>
  <c r="H233" i="10"/>
  <c r="AT226" i="10"/>
  <c r="AT269" i="10"/>
  <c r="M223" i="10"/>
  <c r="AD236" i="10"/>
  <c r="AD231" i="10"/>
  <c r="BO268" i="10"/>
  <c r="BJ236" i="10"/>
  <c r="AV231" i="10"/>
  <c r="AV258" i="10"/>
  <c r="AF227" i="10"/>
  <c r="BF269" i="10"/>
  <c r="BF262" i="10"/>
  <c r="Y227" i="10"/>
  <c r="U221" i="10"/>
  <c r="AN229" i="10"/>
  <c r="V253" i="10"/>
  <c r="BH271" i="10"/>
  <c r="BC266" i="10"/>
  <c r="Z233" i="10"/>
  <c r="AS260" i="10"/>
  <c r="S225" i="10"/>
  <c r="BM266" i="10"/>
  <c r="H265" i="10"/>
  <c r="AT232" i="10"/>
  <c r="AT237" i="10"/>
  <c r="M235" i="10"/>
  <c r="AD221" i="10"/>
  <c r="BO259" i="10"/>
  <c r="BO225" i="10"/>
  <c r="BE239" i="10"/>
  <c r="V228" i="10"/>
  <c r="BC252" i="10"/>
  <c r="S268" i="10"/>
  <c r="H221" i="10"/>
  <c r="M243" i="10"/>
  <c r="BO247" i="10"/>
  <c r="BJ233" i="10"/>
  <c r="AF236" i="10"/>
  <c r="BF239" i="10"/>
  <c r="Y255" i="10"/>
  <c r="AP253" i="10"/>
  <c r="BL229" i="10"/>
  <c r="AX242" i="10"/>
  <c r="AJ257" i="10"/>
  <c r="AJ236" i="10"/>
  <c r="AZ263" i="10"/>
  <c r="T254" i="10"/>
  <c r="T238" i="10"/>
  <c r="AA247" i="10"/>
  <c r="K232" i="10"/>
  <c r="K267" i="10"/>
  <c r="AK243" i="10"/>
  <c r="AK269" i="10"/>
  <c r="BB260" i="10"/>
  <c r="BB238" i="10"/>
  <c r="BB263" i="10"/>
  <c r="N268" i="10"/>
  <c r="N228" i="10"/>
  <c r="N271" i="10"/>
  <c r="BG264" i="10"/>
  <c r="BG242" i="10"/>
  <c r="BG252" i="10"/>
  <c r="X222" i="10"/>
  <c r="X259" i="10"/>
  <c r="X224" i="10"/>
  <c r="BA247" i="10"/>
  <c r="BA262" i="10"/>
  <c r="BA254" i="10"/>
  <c r="AE266" i="10"/>
  <c r="AE265" i="10"/>
  <c r="AE239" i="10"/>
  <c r="O272" i="10"/>
  <c r="O252" i="10"/>
  <c r="O234" i="10"/>
  <c r="AR254" i="10"/>
  <c r="AR247" i="10"/>
  <c r="AR239" i="10"/>
  <c r="AM254" i="10"/>
  <c r="AM268" i="10"/>
  <c r="AM238" i="10"/>
  <c r="BD249" i="10"/>
  <c r="BD233" i="10"/>
  <c r="BD229" i="10"/>
  <c r="W223" i="10"/>
  <c r="W221" i="10"/>
  <c r="W262" i="10"/>
  <c r="AW263" i="10"/>
  <c r="AW269" i="10"/>
  <c r="AW220" i="10"/>
  <c r="BN263" i="10"/>
  <c r="BN253" i="10"/>
  <c r="BN237" i="10"/>
  <c r="AX233" i="10"/>
  <c r="T232" i="10"/>
  <c r="AA229" i="10"/>
  <c r="K242" i="10"/>
  <c r="K234" i="10"/>
  <c r="AK268" i="10"/>
  <c r="BB223" i="10"/>
  <c r="BB254" i="10"/>
  <c r="BB249" i="10"/>
  <c r="N238" i="10"/>
  <c r="N219" i="10"/>
  <c r="N251" i="10"/>
  <c r="BG249" i="10"/>
  <c r="BG228" i="10"/>
  <c r="BG218" i="10"/>
  <c r="X243" i="10"/>
  <c r="X247" i="10"/>
  <c r="BA250" i="10"/>
  <c r="BA270" i="10"/>
  <c r="BA227" i="10"/>
  <c r="AE257" i="10"/>
  <c r="AE252" i="10"/>
  <c r="AE222" i="10"/>
  <c r="O224" i="10"/>
  <c r="O222" i="10"/>
  <c r="O247" i="10"/>
  <c r="AR238" i="10"/>
  <c r="AR261" i="10"/>
  <c r="AR251" i="10"/>
  <c r="AM256" i="10"/>
  <c r="AM235" i="10"/>
  <c r="AM229" i="10"/>
  <c r="BD270" i="10"/>
  <c r="BD223" i="10"/>
  <c r="BD257" i="10"/>
  <c r="W222" i="10"/>
  <c r="W256" i="10"/>
  <c r="AW242" i="10"/>
  <c r="AW219" i="10"/>
  <c r="AW239" i="10"/>
  <c r="BN257" i="10"/>
  <c r="BN249" i="10"/>
  <c r="BN238" i="10"/>
  <c r="AM239" i="10"/>
  <c r="BD228" i="10"/>
  <c r="BD252" i="10"/>
  <c r="W228" i="10"/>
  <c r="W254" i="10"/>
  <c r="AW234" i="10"/>
  <c r="AW223" i="10"/>
  <c r="AW240" i="10"/>
  <c r="BN240" i="10"/>
  <c r="BN243" i="10"/>
  <c r="BN256" i="10"/>
  <c r="AK218" i="10"/>
  <c r="AE242" i="10"/>
  <c r="O231" i="10"/>
  <c r="AR249" i="10"/>
  <c r="AR265" i="10"/>
  <c r="AM227" i="10"/>
  <c r="BD241" i="10"/>
  <c r="W271" i="10"/>
  <c r="W226" i="10"/>
  <c r="W234" i="10"/>
  <c r="AW260" i="10"/>
  <c r="AW268" i="10"/>
  <c r="BN220" i="10"/>
  <c r="AM271" i="10"/>
  <c r="BD253" i="10"/>
  <c r="BD250" i="10"/>
  <c r="AW267" i="10"/>
  <c r="AW233" i="10"/>
  <c r="BN272" i="10"/>
  <c r="O258" i="10"/>
  <c r="AM247" i="10"/>
  <c r="AM222" i="10"/>
  <c r="BD231" i="10"/>
  <c r="AW270" i="10"/>
  <c r="BN231" i="10"/>
  <c r="BA260" i="10"/>
  <c r="O255" i="10"/>
  <c r="AR264" i="10"/>
  <c r="AM231" i="10"/>
  <c r="BD248" i="10"/>
  <c r="W240" i="10"/>
  <c r="AW225" i="10"/>
  <c r="BN265" i="10"/>
  <c r="AV230" i="10"/>
  <c r="AX241" i="10"/>
  <c r="AZ247" i="10"/>
  <c r="AA260" i="10"/>
  <c r="K250" i="10"/>
  <c r="AK230" i="10"/>
  <c r="BB259" i="10"/>
  <c r="N230" i="10"/>
  <c r="BG250" i="10"/>
  <c r="X233" i="10"/>
  <c r="BA239" i="10"/>
  <c r="AE220" i="10"/>
  <c r="O260" i="10"/>
  <c r="AR219" i="10"/>
  <c r="AR236" i="10"/>
  <c r="AM234" i="10"/>
  <c r="BD224" i="10"/>
  <c r="W255" i="10"/>
  <c r="AW264" i="10"/>
  <c r="BN262" i="10"/>
  <c r="U220" i="10"/>
  <c r="V261" i="10"/>
  <c r="AU236" i="10"/>
  <c r="S218" i="10"/>
  <c r="H270" i="10"/>
  <c r="M260" i="10"/>
  <c r="BO230" i="10"/>
  <c r="BJ253" i="10"/>
  <c r="AF218" i="10"/>
  <c r="BF243" i="10"/>
  <c r="Y231" i="10"/>
  <c r="AP226" i="10"/>
  <c r="BL232" i="10"/>
  <c r="AJ232" i="10"/>
  <c r="AJ240" i="10"/>
  <c r="AZ233" i="10"/>
  <c r="T230" i="10"/>
  <c r="AK270" i="10"/>
  <c r="X218" i="10"/>
  <c r="W225" i="10"/>
  <c r="AE233" i="10"/>
  <c r="BD264" i="10"/>
  <c r="AW257" i="10"/>
  <c r="W258" i="10"/>
  <c r="O229" i="10"/>
  <c r="W265" i="10"/>
  <c r="AE264" i="10"/>
  <c r="W239" i="10"/>
  <c r="X256" i="10"/>
  <c r="AW248" i="10"/>
  <c r="U235" i="10"/>
  <c r="AH259" i="10"/>
  <c r="Z264" i="10"/>
  <c r="S258" i="10"/>
  <c r="H225" i="10"/>
  <c r="M252" i="10"/>
  <c r="BO257" i="10"/>
  <c r="AV252" i="10"/>
  <c r="AF252" i="10"/>
  <c r="BF256" i="10"/>
  <c r="Y241" i="10"/>
  <c r="AP241" i="10"/>
  <c r="BL251" i="10"/>
  <c r="AX250" i="10"/>
  <c r="AJ225" i="10"/>
  <c r="AJ269" i="10"/>
  <c r="AZ242" i="10"/>
  <c r="T265" i="10"/>
  <c r="AA270" i="10"/>
  <c r="AA224" i="10"/>
  <c r="K265" i="10"/>
  <c r="K235" i="10"/>
  <c r="AK221" i="10"/>
  <c r="AK234" i="10"/>
  <c r="BB248" i="10"/>
  <c r="BB253" i="10"/>
  <c r="BB234" i="10"/>
  <c r="N227" i="10"/>
  <c r="N259" i="10"/>
  <c r="N265" i="10"/>
  <c r="BG225" i="10"/>
  <c r="BG267" i="10"/>
  <c r="BG227" i="10"/>
  <c r="X232" i="10"/>
  <c r="X221" i="10"/>
  <c r="X268" i="10"/>
  <c r="BA266" i="10"/>
  <c r="BA261" i="10"/>
  <c r="BA230" i="10"/>
  <c r="AE267" i="10"/>
  <c r="AE231" i="10"/>
  <c r="AE223" i="10"/>
  <c r="O270" i="10"/>
  <c r="O250" i="10"/>
  <c r="O237" i="10"/>
  <c r="AR221" i="10"/>
  <c r="AR256" i="10"/>
  <c r="AR252" i="10"/>
  <c r="AM236" i="10"/>
  <c r="AM219" i="10"/>
  <c r="BD242" i="10"/>
  <c r="W248" i="10"/>
  <c r="X266" i="10"/>
  <c r="AM263" i="10"/>
  <c r="BN226" i="10"/>
  <c r="W260" i="10"/>
  <c r="BN251" i="10"/>
  <c r="AR233" i="10"/>
  <c r="W230" i="10"/>
  <c r="AE238" i="10"/>
  <c r="BD260" i="10"/>
  <c r="BG262" i="10"/>
  <c r="W224" i="10"/>
  <c r="AB247" i="10"/>
  <c r="BH259" i="10"/>
  <c r="Z223" i="10"/>
  <c r="S224" i="10"/>
  <c r="AT264" i="10"/>
  <c r="M253" i="10"/>
  <c r="BO219" i="10"/>
  <c r="AV262" i="10"/>
  <c r="AF241" i="10"/>
  <c r="BF247" i="10"/>
  <c r="AP238" i="10"/>
  <c r="AP232" i="10"/>
  <c r="BL242" i="10"/>
  <c r="AX259" i="10"/>
  <c r="AJ220" i="10"/>
  <c r="AJ234" i="10"/>
  <c r="AZ269" i="10"/>
  <c r="T235" i="10"/>
  <c r="AA239" i="10"/>
  <c r="AA230" i="10"/>
  <c r="K224" i="10"/>
  <c r="K241" i="10"/>
  <c r="AK223" i="10"/>
  <c r="AK259" i="10"/>
  <c r="BB266" i="10"/>
  <c r="BB256" i="10"/>
  <c r="BB229" i="10"/>
  <c r="N243" i="10"/>
  <c r="N264" i="10"/>
  <c r="N224" i="10"/>
  <c r="BG224" i="10"/>
  <c r="BG261" i="10"/>
  <c r="X231" i="10"/>
  <c r="X267" i="10"/>
  <c r="X271" i="10"/>
  <c r="X262" i="10"/>
  <c r="BA237" i="10"/>
  <c r="BA268" i="10"/>
  <c r="BA229" i="10"/>
  <c r="AE241" i="10"/>
  <c r="AE258" i="10"/>
  <c r="AE235" i="10"/>
  <c r="O225" i="10"/>
  <c r="O261" i="10"/>
  <c r="O235" i="10"/>
  <c r="AR253" i="10"/>
  <c r="AR270" i="10"/>
  <c r="AR241" i="10"/>
  <c r="AM225" i="10"/>
  <c r="AM261" i="10"/>
  <c r="AM233" i="10"/>
  <c r="BD220" i="10"/>
  <c r="BD266" i="10"/>
  <c r="BD239" i="10"/>
  <c r="W252" i="10"/>
  <c r="W269" i="10"/>
  <c r="W220" i="10"/>
  <c r="AW247" i="10"/>
  <c r="AW255" i="10"/>
  <c r="AW253" i="10"/>
  <c r="BN239" i="10"/>
  <c r="BN224" i="10"/>
  <c r="BN234" i="10"/>
  <c r="AB271" i="10"/>
  <c r="BH226" i="10"/>
  <c r="Z258" i="10"/>
  <c r="BM251" i="10"/>
  <c r="AT254" i="10"/>
  <c r="M258" i="10"/>
  <c r="BO221" i="10"/>
  <c r="AV267" i="10"/>
  <c r="AF268" i="10"/>
  <c r="BF218" i="10"/>
  <c r="AP261" i="10"/>
  <c r="BL243" i="10"/>
  <c r="BL219" i="10"/>
  <c r="AX253" i="10"/>
  <c r="AJ255" i="10"/>
  <c r="AZ223" i="10"/>
  <c r="AZ234" i="10"/>
  <c r="T222" i="10"/>
  <c r="AA241" i="10"/>
  <c r="AA228" i="10"/>
  <c r="K268" i="10"/>
  <c r="K233" i="10"/>
  <c r="AK265" i="10"/>
  <c r="BB258" i="10"/>
  <c r="BB271" i="10"/>
  <c r="BB220" i="10"/>
  <c r="N241" i="10"/>
  <c r="N255" i="10"/>
  <c r="N250" i="10"/>
  <c r="BG220" i="10"/>
  <c r="BG239" i="10"/>
  <c r="X263" i="10"/>
  <c r="X248" i="10"/>
  <c r="BA240" i="10"/>
  <c r="BA249" i="10"/>
  <c r="BA233" i="10"/>
  <c r="AE221" i="10"/>
  <c r="O249" i="10"/>
  <c r="O262" i="10"/>
  <c r="AR267" i="10"/>
  <c r="AM226" i="10"/>
  <c r="BD222" i="10"/>
  <c r="W218" i="10"/>
  <c r="BN264" i="10"/>
  <c r="AM223" i="10"/>
  <c r="W266" i="10"/>
  <c r="AW250" i="10"/>
  <c r="AW224" i="10"/>
  <c r="AE249" i="10"/>
  <c r="AR227" i="10"/>
  <c r="AM264" i="10"/>
  <c r="BD230" i="10"/>
  <c r="W264" i="10"/>
  <c r="AW265" i="10"/>
  <c r="AW249" i="10"/>
  <c r="BN230" i="10"/>
  <c r="BA226" i="10"/>
  <c r="O254" i="10"/>
  <c r="AR268" i="10"/>
  <c r="AM266" i="10"/>
  <c r="AM242" i="10"/>
  <c r="W250" i="10"/>
  <c r="AW252" i="10"/>
  <c r="BN222" i="10"/>
  <c r="BC234" i="10"/>
  <c r="AS255" i="10"/>
  <c r="BM240" i="10"/>
  <c r="AT224" i="10"/>
  <c r="AD228" i="10"/>
  <c r="BJ252" i="10"/>
  <c r="AF220" i="10"/>
  <c r="Y263" i="10"/>
  <c r="AP242" i="10"/>
  <c r="BL225" i="10"/>
  <c r="AX234" i="10"/>
  <c r="AJ218" i="10"/>
  <c r="T262" i="10"/>
  <c r="AA256" i="10"/>
  <c r="K230" i="10"/>
  <c r="AK272" i="10"/>
  <c r="BB228" i="10"/>
  <c r="N260" i="10"/>
  <c r="X254" i="10"/>
  <c r="BA224" i="10"/>
  <c r="AE240" i="10"/>
  <c r="O228" i="10"/>
  <c r="O267" i="10"/>
  <c r="AR218" i="10"/>
  <c r="AM269" i="10"/>
  <c r="AM252" i="10"/>
  <c r="W229" i="10"/>
  <c r="AW221" i="10"/>
  <c r="AW256" i="10"/>
  <c r="BN258" i="10"/>
  <c r="AG236" i="10"/>
  <c r="R260" i="10"/>
  <c r="Z259" i="10"/>
  <c r="BM265" i="10"/>
  <c r="AT257" i="10"/>
  <c r="AD265" i="10"/>
  <c r="BO260" i="10"/>
  <c r="AV250" i="10"/>
  <c r="AF253" i="10"/>
  <c r="BF258" i="10"/>
  <c r="AP259" i="10"/>
  <c r="BL265" i="10"/>
  <c r="BL235" i="10"/>
  <c r="AX258" i="10"/>
  <c r="AJ239" i="10"/>
  <c r="AZ258" i="10"/>
  <c r="AZ272" i="10"/>
  <c r="T227" i="10"/>
  <c r="AA257" i="10"/>
  <c r="AA225" i="10"/>
  <c r="K236" i="10"/>
  <c r="K227" i="10"/>
  <c r="AK260" i="10"/>
  <c r="AK242" i="10"/>
  <c r="BB231" i="10"/>
  <c r="BB267" i="10"/>
  <c r="BB239" i="10"/>
  <c r="N272" i="10"/>
  <c r="N218" i="10"/>
  <c r="N247" i="10"/>
  <c r="BG254" i="10"/>
  <c r="BG265" i="10"/>
  <c r="X241" i="10"/>
  <c r="X272" i="10"/>
  <c r="X249" i="10"/>
  <c r="BA251" i="10"/>
  <c r="BA272" i="10"/>
  <c r="BA252" i="10"/>
  <c r="AE232" i="10"/>
  <c r="AE226" i="10"/>
  <c r="AE260" i="10"/>
  <c r="O233" i="10"/>
  <c r="O271" i="10"/>
  <c r="O236" i="10"/>
  <c r="AR248" i="10"/>
  <c r="AR250" i="10"/>
  <c r="AR255" i="10"/>
  <c r="AM270" i="10"/>
  <c r="BD254" i="10"/>
  <c r="BN221" i="10"/>
  <c r="BD240" i="10"/>
  <c r="BN261" i="10"/>
  <c r="O256" i="10"/>
  <c r="AW243" i="10"/>
  <c r="BA236" i="10"/>
  <c r="BN267" i="10"/>
  <c r="L252" i="10"/>
  <c r="R233" i="10"/>
  <c r="Z262" i="10"/>
  <c r="BM255" i="10"/>
  <c r="AT272" i="10"/>
  <c r="AD255" i="10"/>
  <c r="BJ227" i="10"/>
  <c r="AV256" i="10"/>
  <c r="AF231" i="10"/>
  <c r="Y247" i="10"/>
  <c r="AP243" i="10"/>
  <c r="BL270" i="10"/>
  <c r="AX264" i="10"/>
  <c r="AX218" i="10"/>
  <c r="AJ233" i="10"/>
  <c r="AZ238" i="10"/>
  <c r="AZ262" i="10"/>
  <c r="T247" i="10"/>
  <c r="AA235" i="10"/>
  <c r="AA238" i="10"/>
  <c r="K220" i="10"/>
  <c r="K259" i="10"/>
  <c r="AK220" i="10"/>
  <c r="AK255" i="10"/>
  <c r="BB235" i="10"/>
  <c r="BB224" i="10"/>
  <c r="BB269" i="10"/>
  <c r="N253" i="10"/>
  <c r="N242" i="10"/>
  <c r="BG251" i="10"/>
  <c r="BG219" i="10"/>
  <c r="BG233" i="10"/>
  <c r="X260" i="10"/>
  <c r="X238" i="10"/>
  <c r="X240" i="10"/>
  <c r="BA218" i="10"/>
  <c r="BA220" i="10"/>
  <c r="BA241" i="10"/>
  <c r="AE269" i="10"/>
  <c r="AE228" i="10"/>
  <c r="O241" i="10"/>
  <c r="AR230" i="10"/>
  <c r="AW241" i="10"/>
  <c r="BD235" i="10"/>
  <c r="BN269" i="10"/>
  <c r="BG271" i="10"/>
  <c r="BD237" i="10"/>
  <c r="L226" i="10"/>
  <c r="R221" i="10"/>
  <c r="AS269" i="10"/>
  <c r="BM271" i="10"/>
  <c r="AT266" i="10"/>
  <c r="AD269" i="10"/>
  <c r="BJ231" i="10"/>
  <c r="AV220" i="10"/>
  <c r="AF228" i="10"/>
  <c r="Y266" i="10"/>
  <c r="AP229" i="10"/>
  <c r="BL257" i="10"/>
  <c r="AX235" i="10"/>
  <c r="AX243" i="10"/>
  <c r="AJ224" i="10"/>
  <c r="AZ253" i="10"/>
  <c r="T263" i="10"/>
  <c r="T267" i="10"/>
  <c r="AA236" i="10"/>
  <c r="AA221" i="10"/>
  <c r="K225" i="10"/>
  <c r="K262" i="10"/>
  <c r="AK257" i="10"/>
  <c r="AK237" i="10"/>
  <c r="BB252" i="10"/>
  <c r="BB236" i="10"/>
  <c r="BB268" i="10"/>
  <c r="N258" i="10"/>
  <c r="N236" i="10"/>
  <c r="BG240" i="10"/>
  <c r="BG268" i="10"/>
  <c r="BG272" i="10"/>
  <c r="X234" i="10"/>
  <c r="X219" i="10"/>
  <c r="X228" i="10"/>
  <c r="BA221" i="10"/>
  <c r="AE262" i="10"/>
  <c r="AR271" i="10"/>
  <c r="AW230" i="10"/>
  <c r="L259" i="10"/>
  <c r="T234" i="10"/>
  <c r="N269" i="10"/>
  <c r="AE218" i="10"/>
  <c r="BD218" i="10"/>
  <c r="W263" i="10"/>
  <c r="O226" i="10"/>
  <c r="BA222" i="10"/>
  <c r="BG223" i="10"/>
  <c r="N262" i="10"/>
  <c r="AK235" i="10"/>
  <c r="AA243" i="10"/>
  <c r="AZ226" i="10"/>
  <c r="BL254" i="10"/>
  <c r="BN252" i="10"/>
  <c r="AR269" i="10"/>
  <c r="X237" i="10"/>
  <c r="N249" i="10"/>
  <c r="AP257" i="10"/>
  <c r="AS235" i="10"/>
  <c r="BN242" i="10"/>
  <c r="BD267" i="10"/>
  <c r="AE270" i="10"/>
  <c r="N267" i="10"/>
  <c r="AA248" i="10"/>
  <c r="BJ254" i="10"/>
  <c r="BD226" i="10"/>
  <c r="O259" i="10"/>
  <c r="X220" i="10"/>
  <c r="AK240" i="10"/>
  <c r="AJ231" i="10"/>
  <c r="AP222" i="10"/>
  <c r="BN271" i="10"/>
  <c r="AM220" i="10"/>
  <c r="BA232" i="10"/>
  <c r="BB270" i="10"/>
  <c r="BN219" i="10"/>
  <c r="W251" i="10"/>
  <c r="AR263" i="10"/>
  <c r="X250" i="10"/>
  <c r="BB226" i="10"/>
  <c r="AJ254" i="10"/>
  <c r="AD270" i="10"/>
  <c r="BN227" i="10"/>
  <c r="W235" i="10"/>
  <c r="AM230" i="10"/>
  <c r="AR232" i="10"/>
  <c r="O220" i="10"/>
  <c r="BA228" i="10"/>
  <c r="X226" i="10"/>
  <c r="BG234" i="10"/>
  <c r="BB242" i="10"/>
  <c r="K266" i="10"/>
  <c r="T268" i="10"/>
  <c r="AX240" i="10"/>
  <c r="Y252" i="10"/>
  <c r="AD243" i="10"/>
  <c r="BC238" i="10"/>
  <c r="W231" i="10"/>
  <c r="AE248" i="10"/>
  <c r="H269" i="10"/>
  <c r="AJ242" i="10"/>
  <c r="AR240" i="10"/>
  <c r="AW258" i="10"/>
  <c r="AX260" i="10"/>
  <c r="V226" i="10"/>
  <c r="AM228" i="10"/>
  <c r="AE247" i="10"/>
  <c r="AK253" i="10"/>
  <c r="BL224" i="10"/>
  <c r="AV237" i="10"/>
  <c r="AM255" i="10"/>
  <c r="AW229" i="10"/>
  <c r="AK232" i="10"/>
  <c r="X253" i="10"/>
  <c r="AP218" i="10"/>
  <c r="W237" i="10"/>
  <c r="N239" i="10"/>
  <c r="AW227" i="10"/>
  <c r="O243" i="10"/>
  <c r="O240" i="10"/>
  <c r="T253" i="10"/>
  <c r="N237" i="10"/>
  <c r="AX257" i="10"/>
  <c r="BF226" i="10"/>
  <c r="M239" i="10"/>
  <c r="J237" i="10"/>
  <c r="BG266" i="10"/>
  <c r="BL234" i="10"/>
  <c r="W241" i="10"/>
  <c r="O238" i="10"/>
  <c r="BG270" i="10"/>
  <c r="AA262" i="10"/>
  <c r="BJ266" i="10"/>
  <c r="AW262" i="10"/>
  <c r="O264" i="10"/>
  <c r="BG238" i="10"/>
  <c r="AK263" i="10"/>
  <c r="AJ235" i="10"/>
  <c r="AS271" i="10"/>
  <c r="BN229" i="10"/>
  <c r="AR226" i="10"/>
  <c r="AE253" i="10"/>
  <c r="BG257" i="10"/>
  <c r="AA251" i="10"/>
  <c r="BJ234" i="10"/>
  <c r="W257" i="10"/>
  <c r="AR257" i="10"/>
  <c r="X269" i="10"/>
  <c r="AK229" i="10"/>
  <c r="AW231" i="10"/>
  <c r="AM258" i="10"/>
  <c r="BA256" i="10"/>
  <c r="BG222" i="10"/>
  <c r="AK222" i="10"/>
  <c r="Y254" i="10"/>
  <c r="BC271" i="10"/>
  <c r="AW236" i="10"/>
  <c r="BN254" i="10"/>
  <c r="AW251" i="10"/>
  <c r="BD258" i="10"/>
  <c r="AM221" i="10"/>
  <c r="AR242" i="10"/>
  <c r="AE250" i="10"/>
  <c r="BA257" i="10"/>
  <c r="X235" i="10"/>
  <c r="N229" i="10"/>
  <c r="BB233" i="10"/>
  <c r="K243" i="10"/>
  <c r="T249" i="10"/>
  <c r="BF242" i="10"/>
  <c r="M218" i="10"/>
  <c r="BN250" i="10"/>
  <c r="AW271" i="10"/>
  <c r="BD221" i="10"/>
  <c r="AM253" i="10"/>
  <c r="AR272" i="10"/>
  <c r="AE263" i="10"/>
  <c r="BA258" i="10"/>
  <c r="X225" i="10"/>
  <c r="BB250" i="10"/>
  <c r="K252" i="10"/>
  <c r="T225" i="10"/>
  <c r="BN255" i="10"/>
  <c r="AW232" i="10"/>
  <c r="BD236" i="10"/>
  <c r="AM232" i="10"/>
  <c r="AR262" i="10"/>
  <c r="AE225" i="10"/>
  <c r="BA259" i="10"/>
  <c r="X264" i="10"/>
  <c r="N221" i="10"/>
  <c r="BB230" i="10"/>
  <c r="K269" i="10"/>
  <c r="T229" i="10"/>
  <c r="AX225" i="10"/>
  <c r="BF267" i="10"/>
  <c r="AT231" i="10"/>
  <c r="L228" i="10"/>
  <c r="BK263" i="10"/>
  <c r="BK228" i="10"/>
  <c r="BK227" i="10"/>
  <c r="BK257" i="10"/>
  <c r="P223" i="10"/>
  <c r="P268" i="10"/>
  <c r="P259" i="10"/>
  <c r="P236" i="10"/>
  <c r="BI252" i="10"/>
  <c r="BI240" i="10"/>
  <c r="AI239" i="10"/>
  <c r="I240" i="10"/>
  <c r="BK225" i="10"/>
  <c r="BK231" i="10"/>
  <c r="BK241" i="10"/>
  <c r="BK243" i="10"/>
  <c r="P249" i="10"/>
  <c r="P242" i="10"/>
  <c r="P270" i="10"/>
  <c r="P224" i="10"/>
  <c r="BI261" i="10"/>
  <c r="BI236" i="10"/>
  <c r="AI230" i="10"/>
  <c r="I229" i="10"/>
  <c r="BE238" i="10"/>
  <c r="BE260" i="10"/>
  <c r="BE222" i="10"/>
  <c r="BE221" i="10"/>
  <c r="AL236" i="10"/>
  <c r="AL227" i="10"/>
  <c r="AL261" i="10"/>
  <c r="AL260" i="10"/>
  <c r="AC239" i="10"/>
  <c r="AC227" i="10"/>
  <c r="AC267" i="10"/>
  <c r="AC260" i="10"/>
  <c r="AC264" i="10"/>
  <c r="Q233" i="10"/>
  <c r="Q227" i="10"/>
  <c r="Q272" i="10"/>
  <c r="Q225" i="10"/>
  <c r="BK235" i="10"/>
  <c r="BK236" i="10"/>
  <c r="BK219" i="10"/>
  <c r="BK262" i="10"/>
  <c r="P271" i="10"/>
  <c r="P227" i="10"/>
  <c r="P219" i="10"/>
  <c r="P234" i="10"/>
  <c r="BI222" i="10"/>
  <c r="BI241" i="10"/>
  <c r="AI224" i="10"/>
  <c r="I223" i="10"/>
  <c r="BE235" i="10"/>
  <c r="BE263" i="10"/>
  <c r="BE248" i="10"/>
  <c r="BE232" i="10"/>
  <c r="AL220" i="10"/>
  <c r="AL226" i="10"/>
  <c r="AL268" i="10"/>
  <c r="AL264" i="10"/>
  <c r="AC256" i="10"/>
  <c r="AC247" i="10"/>
  <c r="AC266" i="10"/>
  <c r="AC250" i="10"/>
  <c r="AC249" i="10"/>
  <c r="Q241" i="10"/>
  <c r="Q260" i="10"/>
  <c r="Q220" i="10"/>
  <c r="Q263" i="10"/>
  <c r="BK220" i="10"/>
  <c r="BK268" i="10"/>
  <c r="BK258" i="10"/>
  <c r="BK238" i="10"/>
  <c r="P230" i="10"/>
  <c r="P218" i="10"/>
  <c r="P222" i="10"/>
  <c r="P262" i="10"/>
  <c r="BI271" i="10"/>
  <c r="BI256" i="10"/>
  <c r="AI255" i="10"/>
  <c r="I241" i="10"/>
  <c r="BE253" i="10"/>
  <c r="BE240" i="10"/>
  <c r="BE258" i="10"/>
  <c r="BE243" i="10"/>
  <c r="BE223" i="10"/>
  <c r="AL237" i="10"/>
  <c r="AL222" i="10"/>
  <c r="AL271" i="10"/>
  <c r="AL231" i="10"/>
  <c r="AC271" i="10"/>
  <c r="AC261" i="10"/>
  <c r="AC219" i="10"/>
  <c r="AC224" i="10"/>
  <c r="Q229" i="10"/>
  <c r="Q250" i="10"/>
  <c r="Q251" i="10"/>
  <c r="Q265" i="10"/>
  <c r="Q271" i="10"/>
  <c r="BK247" i="10"/>
  <c r="BK265" i="10"/>
  <c r="BK270" i="10"/>
  <c r="BK230" i="10"/>
  <c r="P237" i="10"/>
  <c r="P257" i="10"/>
  <c r="P272" i="10"/>
  <c r="P233" i="10"/>
  <c r="BI239" i="10"/>
  <c r="AI269" i="10"/>
  <c r="AI221" i="10"/>
  <c r="BE228" i="10"/>
  <c r="BE236" i="10"/>
  <c r="BE231" i="10"/>
  <c r="BE225" i="10"/>
  <c r="BE250" i="10"/>
  <c r="AL234" i="10"/>
  <c r="AL272" i="10"/>
  <c r="AL219" i="10"/>
  <c r="AL241" i="10"/>
  <c r="AC240" i="10"/>
  <c r="AC230" i="10"/>
  <c r="AC241" i="10"/>
  <c r="AC254" i="10"/>
  <c r="Q237" i="10"/>
  <c r="Q238" i="10"/>
  <c r="Q256" i="10"/>
  <c r="Q223" i="10"/>
  <c r="Q257" i="10"/>
  <c r="BK222" i="10"/>
  <c r="BK218" i="10"/>
  <c r="BK250" i="10"/>
  <c r="BK232" i="10"/>
  <c r="P252" i="10"/>
  <c r="P254" i="10"/>
  <c r="P235" i="10"/>
  <c r="P231" i="10"/>
  <c r="BI253" i="10"/>
  <c r="AI266" i="10"/>
  <c r="AI254" i="10"/>
  <c r="BE237" i="10"/>
  <c r="BE247" i="10"/>
  <c r="BE218" i="10"/>
  <c r="BE270" i="10"/>
  <c r="BE261" i="10"/>
  <c r="AL256" i="10"/>
  <c r="AL269" i="10"/>
  <c r="AL232" i="10"/>
  <c r="AL230" i="10"/>
  <c r="AC233" i="10"/>
  <c r="AC236" i="10"/>
  <c r="AC222" i="10"/>
  <c r="AC235" i="10"/>
  <c r="Q253" i="10"/>
  <c r="Q247" i="10"/>
  <c r="Q231" i="10"/>
  <c r="Q248" i="10"/>
  <c r="Q254" i="10"/>
  <c r="BK226" i="10"/>
  <c r="BK271" i="10"/>
  <c r="BK269" i="10"/>
  <c r="BK239" i="10"/>
  <c r="P248" i="10"/>
  <c r="P232" i="10"/>
  <c r="P229" i="10"/>
  <c r="BI232" i="10"/>
  <c r="BI243" i="10"/>
  <c r="AI243" i="10"/>
  <c r="AI236" i="10"/>
  <c r="BE257" i="10"/>
  <c r="BE266" i="10"/>
  <c r="BE219" i="10"/>
  <c r="BE226" i="10"/>
  <c r="AL255" i="10"/>
  <c r="AL243" i="10"/>
  <c r="AL221" i="10"/>
  <c r="AL239" i="10"/>
  <c r="AL267" i="10"/>
  <c r="AC228" i="10"/>
  <c r="AC252" i="10"/>
  <c r="AC272" i="10"/>
  <c r="AC220" i="10"/>
  <c r="Q218" i="10"/>
  <c r="Q230" i="10"/>
  <c r="Q264" i="10"/>
  <c r="Q243" i="10"/>
  <c r="BK260" i="10"/>
  <c r="BK234" i="10"/>
  <c r="BK221" i="10"/>
  <c r="BK237" i="10"/>
  <c r="BK233" i="10"/>
  <c r="P228" i="10"/>
  <c r="P239" i="10"/>
  <c r="P251" i="10"/>
  <c r="BI254" i="10"/>
  <c r="BI234" i="10"/>
  <c r="AI261" i="10"/>
  <c r="AI238" i="10"/>
  <c r="BE249" i="10"/>
  <c r="BE220" i="10"/>
  <c r="BE268" i="10"/>
  <c r="BE251" i="10"/>
  <c r="AL262" i="10"/>
  <c r="AL240" i="10"/>
  <c r="AL223" i="10"/>
  <c r="AL258" i="10"/>
  <c r="AL270" i="10"/>
  <c r="AC269" i="10"/>
  <c r="AC238" i="10"/>
  <c r="AC248" i="10"/>
  <c r="AC231" i="10"/>
  <c r="Q266" i="10"/>
  <c r="Q261" i="10"/>
  <c r="Q255" i="10"/>
  <c r="Q249" i="10"/>
  <c r="BK249" i="10"/>
  <c r="BK264" i="10"/>
  <c r="BK240" i="10"/>
  <c r="BK252" i="10"/>
  <c r="BK267" i="10"/>
  <c r="P266" i="10"/>
  <c r="P220" i="10"/>
  <c r="P264" i="10"/>
  <c r="BI228" i="10"/>
  <c r="BI247" i="10"/>
  <c r="AI237" i="10"/>
  <c r="AI271" i="10"/>
  <c r="BI242" i="10"/>
  <c r="BI260" i="10"/>
  <c r="BI219" i="10"/>
  <c r="BI227" i="10"/>
  <c r="AI229" i="10"/>
  <c r="AI228" i="10"/>
  <c r="AI253" i="10"/>
  <c r="I259" i="10"/>
  <c r="I222" i="10"/>
  <c r="BI235" i="10"/>
  <c r="BI266" i="10"/>
  <c r="BI224" i="10"/>
  <c r="BI269" i="10"/>
  <c r="BI257" i="10"/>
  <c r="AI258" i="10"/>
  <c r="AI240" i="10"/>
  <c r="AI227" i="10"/>
  <c r="I233" i="10"/>
  <c r="I251" i="10"/>
  <c r="P226" i="10"/>
  <c r="BI230" i="10"/>
  <c r="BI221" i="10"/>
  <c r="BI272" i="10"/>
  <c r="BI267" i="10"/>
  <c r="BI265" i="10"/>
  <c r="AI249" i="10"/>
  <c r="AI263" i="10"/>
  <c r="AI257" i="10"/>
  <c r="I220" i="10"/>
  <c r="I266" i="10"/>
  <c r="P269" i="10"/>
  <c r="P265" i="10"/>
  <c r="BI220" i="10"/>
  <c r="BI229" i="10"/>
  <c r="BI231" i="10"/>
  <c r="BI263" i="10"/>
  <c r="BI270" i="10"/>
  <c r="AI260" i="10"/>
  <c r="AI256" i="10"/>
  <c r="AI267" i="10"/>
  <c r="I264" i="10"/>
  <c r="AY237" i="10"/>
  <c r="P267" i="10"/>
  <c r="P260" i="10"/>
  <c r="BI237" i="10"/>
  <c r="BI258" i="10"/>
  <c r="BI255" i="10"/>
  <c r="BI238" i="10"/>
  <c r="AI268" i="10"/>
  <c r="AI235" i="10"/>
  <c r="AI252" i="10"/>
  <c r="AI225" i="10"/>
  <c r="I243" i="10"/>
  <c r="P243" i="10"/>
  <c r="P256" i="10"/>
  <c r="BI259" i="10"/>
  <c r="BI249" i="10"/>
  <c r="BI262" i="10"/>
  <c r="BI264" i="10"/>
  <c r="AI234" i="10"/>
  <c r="AI220" i="10"/>
  <c r="AI248" i="10"/>
  <c r="AI265" i="10"/>
  <c r="I235" i="10"/>
  <c r="P240" i="10"/>
  <c r="P253" i="10"/>
  <c r="BI251" i="10"/>
  <c r="BI225" i="10"/>
  <c r="BI268" i="10"/>
  <c r="BI226" i="10"/>
  <c r="AI272" i="10"/>
  <c r="AI264" i="10"/>
  <c r="AI241" i="10"/>
  <c r="AI251" i="10"/>
  <c r="I225" i="10"/>
  <c r="AY258" i="10"/>
  <c r="I231" i="10"/>
  <c r="AY219" i="10"/>
  <c r="AI226" i="10"/>
  <c r="AI222" i="10"/>
  <c r="I260" i="10"/>
  <c r="I268" i="10"/>
  <c r="AI223" i="10"/>
  <c r="AI242" i="10"/>
  <c r="I269" i="10"/>
  <c r="I228" i="10"/>
  <c r="AI219" i="10"/>
  <c r="AI218" i="10"/>
  <c r="I262" i="10"/>
  <c r="I234" i="10"/>
  <c r="AI250" i="10"/>
  <c r="AI270" i="10"/>
  <c r="AI233" i="10"/>
  <c r="I258" i="10"/>
  <c r="I236" i="10"/>
  <c r="I249" i="10"/>
  <c r="I242" i="10"/>
  <c r="I256" i="10"/>
  <c r="I267" i="10"/>
  <c r="AI247" i="10"/>
  <c r="I226" i="10"/>
  <c r="I271" i="10"/>
  <c r="I224" i="10"/>
  <c r="AY253" i="10"/>
  <c r="I255" i="10"/>
  <c r="I252" i="10"/>
  <c r="I221" i="10"/>
  <c r="AY267" i="10"/>
  <c r="I230" i="10"/>
  <c r="I247" i="10"/>
  <c r="I265" i="10"/>
  <c r="AY238" i="10"/>
  <c r="I272" i="10"/>
  <c r="I227" i="10"/>
  <c r="I250" i="10"/>
  <c r="AY254" i="10"/>
  <c r="I219" i="10"/>
  <c r="I218" i="10"/>
  <c r="I261" i="10"/>
  <c r="I270" i="10"/>
  <c r="I232" i="10"/>
  <c r="AY271" i="10"/>
  <c r="I239" i="10"/>
  <c r="I238" i="10"/>
  <c r="AY228" i="10"/>
  <c r="I257" i="10"/>
  <c r="AY218" i="10"/>
  <c r="AY222" i="10"/>
  <c r="I263" i="10"/>
  <c r="AY241" i="10"/>
  <c r="AY220" i="10"/>
  <c r="I253" i="10"/>
  <c r="AY266" i="10"/>
  <c r="AY262" i="10"/>
  <c r="AY242" i="10"/>
  <c r="AY257" i="10"/>
  <c r="AY259" i="10"/>
  <c r="AY233" i="10"/>
  <c r="AY263" i="10"/>
  <c r="AY247" i="10"/>
  <c r="AY272" i="10"/>
  <c r="AY265" i="10"/>
  <c r="AY270" i="10"/>
  <c r="AY268" i="10"/>
  <c r="AY223" i="10"/>
  <c r="I237" i="10"/>
  <c r="AY240" i="10"/>
  <c r="AY264" i="10"/>
  <c r="AY248" i="10"/>
  <c r="AY260" i="10"/>
  <c r="AY234" i="10"/>
  <c r="AY256" i="10"/>
  <c r="AY221" i="10"/>
  <c r="AY243" i="10"/>
  <c r="AY236" i="10"/>
  <c r="AY226" i="10"/>
  <c r="AY224" i="10"/>
  <c r="AY239" i="10"/>
  <c r="AY252" i="10"/>
  <c r="AY251" i="10"/>
  <c r="AY269" i="10"/>
  <c r="AY231" i="10"/>
  <c r="AY227" i="10"/>
  <c r="AY232" i="10"/>
  <c r="AY230" i="10"/>
  <c r="AY235" i="10"/>
  <c r="AY255" i="10"/>
  <c r="AY249" i="10"/>
  <c r="AY229" i="10"/>
  <c r="AY250" i="10"/>
  <c r="AY225" i="10"/>
  <c r="H444" i="10" a="1"/>
  <c r="H444" i="10" s="1"/>
  <c r="H449" i="10" s="1" a="1"/>
  <c r="H465" i="10" a="1"/>
  <c r="G118" i="10"/>
  <c r="BP236" i="10" l="1"/>
  <c r="BP268" i="10"/>
  <c r="BP231" i="10"/>
  <c r="BP234" i="10"/>
  <c r="BP230" i="10"/>
  <c r="BP263" i="10"/>
  <c r="BP222" i="10"/>
  <c r="BP248" i="10"/>
  <c r="BP229" i="10"/>
  <c r="BP255" i="10"/>
  <c r="BP260" i="10"/>
  <c r="BP261" i="10"/>
  <c r="BP227" i="10"/>
  <c r="AS272" i="10"/>
  <c r="R256" i="10"/>
  <c r="AO242" i="10"/>
  <c r="U253" i="10"/>
  <c r="N223" i="10"/>
  <c r="BP223" i="10" s="1"/>
  <c r="W267" i="10"/>
  <c r="BP267" i="10" s="1"/>
  <c r="AQ238" i="10"/>
  <c r="AS228" i="10"/>
  <c r="BH221" i="10"/>
  <c r="BH244" i="10" s="1"/>
  <c r="AO264" i="10"/>
  <c r="AQ249" i="10"/>
  <c r="BP249" i="10" s="1"/>
  <c r="AS247" i="10"/>
  <c r="AU252" i="10"/>
  <c r="AH228" i="10"/>
  <c r="BP228" i="10" s="1"/>
  <c r="L241" i="10"/>
  <c r="AB220" i="10"/>
  <c r="Q242" i="10"/>
  <c r="BN247" i="10"/>
  <c r="AM241" i="10"/>
  <c r="AM244" i="10" s="1"/>
  <c r="AQ272" i="10"/>
  <c r="AI259" i="10"/>
  <c r="AI273" i="10" s="1"/>
  <c r="AU237" i="10"/>
  <c r="AH247" i="10"/>
  <c r="L269" i="10"/>
  <c r="L273" i="10" s="1"/>
  <c r="AB240" i="10"/>
  <c r="P258" i="10"/>
  <c r="BP258" i="10" s="1"/>
  <c r="H235" i="10"/>
  <c r="BD225" i="10"/>
  <c r="I461" i="10"/>
  <c r="J458" i="10" s="1"/>
  <c r="J461" i="10" s="1"/>
  <c r="K458" i="10" s="1"/>
  <c r="K461" i="10" s="1"/>
  <c r="L458" i="10" s="1"/>
  <c r="L461" i="10" s="1"/>
  <c r="M458" i="10" s="1"/>
  <c r="M461" i="10" s="1"/>
  <c r="N458" i="10" s="1"/>
  <c r="N461" i="10" s="1"/>
  <c r="O458" i="10" s="1"/>
  <c r="O461" i="10" s="1"/>
  <c r="P458" i="10" s="1"/>
  <c r="P461" i="10" s="1"/>
  <c r="Q458" i="10" s="1"/>
  <c r="Q461" i="10" s="1"/>
  <c r="R458" i="10" s="1"/>
  <c r="R461" i="10" s="1"/>
  <c r="S458" i="10" s="1"/>
  <c r="S461" i="10" s="1"/>
  <c r="T458" i="10" s="1"/>
  <c r="T461" i="10" s="1"/>
  <c r="U458" i="10" s="1"/>
  <c r="U461" i="10" s="1"/>
  <c r="V458" i="10" s="1"/>
  <c r="V461" i="10" s="1"/>
  <c r="W458" i="10" s="1"/>
  <c r="W461" i="10" s="1"/>
  <c r="X458" i="10" s="1"/>
  <c r="X461" i="10" s="1"/>
  <c r="Y458" i="10" s="1"/>
  <c r="Y461" i="10" s="1"/>
  <c r="Z458" i="10" s="1"/>
  <c r="Z461" i="10" s="1"/>
  <c r="AA458" i="10" s="1"/>
  <c r="AA461" i="10" s="1"/>
  <c r="AB458" i="10" s="1"/>
  <c r="AB461" i="10" s="1"/>
  <c r="AC458" i="10" s="1"/>
  <c r="AC461" i="10" s="1"/>
  <c r="AD458" i="10" s="1"/>
  <c r="AD461" i="10" s="1"/>
  <c r="AE458" i="10" s="1"/>
  <c r="AE461" i="10" s="1"/>
  <c r="AF458" i="10" s="1"/>
  <c r="AF461" i="10" s="1"/>
  <c r="AG458" i="10" s="1"/>
  <c r="AG461" i="10" s="1"/>
  <c r="AH458" i="10" s="1"/>
  <c r="AH461" i="10" s="1"/>
  <c r="AI458" i="10" s="1"/>
  <c r="AI461" i="10" s="1"/>
  <c r="AJ458" i="10" s="1"/>
  <c r="AJ461" i="10" s="1"/>
  <c r="AK458" i="10" s="1"/>
  <c r="AK461" i="10" s="1"/>
  <c r="AL458" i="10" s="1"/>
  <c r="AL461" i="10" s="1"/>
  <c r="AM458" i="10" s="1"/>
  <c r="AM461" i="10" s="1"/>
  <c r="AN458" i="10" s="1"/>
  <c r="AN461" i="10" s="1"/>
  <c r="AO458" i="10" s="1"/>
  <c r="AO461" i="10" s="1"/>
  <c r="AP458" i="10" s="1"/>
  <c r="AP461" i="10" s="1"/>
  <c r="AQ458" i="10" s="1"/>
  <c r="AQ461" i="10" s="1"/>
  <c r="AR458" i="10" s="1"/>
  <c r="AR461" i="10" s="1"/>
  <c r="AS458" i="10" s="1"/>
  <c r="AS461" i="10" s="1"/>
  <c r="AT458" i="10" s="1"/>
  <c r="AT461" i="10" s="1"/>
  <c r="AU458" i="10" s="1"/>
  <c r="AU461" i="10" s="1"/>
  <c r="AV458" i="10" s="1"/>
  <c r="AV461" i="10" s="1"/>
  <c r="AW458" i="10" s="1"/>
  <c r="AW461" i="10" s="1"/>
  <c r="AX458" i="10" s="1"/>
  <c r="AX461" i="10" s="1"/>
  <c r="AY458" i="10" s="1"/>
  <c r="AY461" i="10" s="1"/>
  <c r="AZ458" i="10" s="1"/>
  <c r="AZ461" i="10" s="1"/>
  <c r="BA458" i="10" s="1"/>
  <c r="BA461" i="10" s="1"/>
  <c r="BB458" i="10" s="1"/>
  <c r="BB461" i="10" s="1"/>
  <c r="BC458" i="10" s="1"/>
  <c r="BC461" i="10" s="1"/>
  <c r="BD458" i="10" s="1"/>
  <c r="BD461" i="10" s="1"/>
  <c r="BE458" i="10" s="1"/>
  <c r="BE461" i="10" s="1"/>
  <c r="BF458" i="10" s="1"/>
  <c r="BF461" i="10" s="1"/>
  <c r="BG458" i="10" s="1"/>
  <c r="BG461" i="10" s="1"/>
  <c r="BH458" i="10" s="1"/>
  <c r="BH461" i="10" s="1"/>
  <c r="BI458" i="10" s="1"/>
  <c r="BI461" i="10" s="1"/>
  <c r="BJ458" i="10" s="1"/>
  <c r="BJ461" i="10" s="1"/>
  <c r="BK458" i="10" s="1"/>
  <c r="BK461" i="10" s="1"/>
  <c r="BL458" i="10" s="1"/>
  <c r="BL461" i="10" s="1"/>
  <c r="BM458" i="10" s="1"/>
  <c r="BM461" i="10" s="1"/>
  <c r="BN458" i="10" s="1"/>
  <c r="BN461" i="10" s="1"/>
  <c r="BO458" i="10" s="1"/>
  <c r="BO461" i="10" s="1"/>
  <c r="AQ240" i="10"/>
  <c r="BO226" i="10"/>
  <c r="O219" i="10"/>
  <c r="H479" i="10"/>
  <c r="AQ257" i="10"/>
  <c r="BP257" i="10" s="1"/>
  <c r="AS232" i="10"/>
  <c r="AS244" i="10" s="1"/>
  <c r="R265" i="10"/>
  <c r="BP265" i="10" s="1"/>
  <c r="V272" i="10"/>
  <c r="AN239" i="10"/>
  <c r="AQ242" i="10"/>
  <c r="Y220" i="10"/>
  <c r="AZ264" i="10"/>
  <c r="AZ273" i="10" s="1"/>
  <c r="AL252" i="10"/>
  <c r="AS253" i="10"/>
  <c r="BC262" i="10"/>
  <c r="BP262" i="10" s="1"/>
  <c r="AH233" i="10"/>
  <c r="BP233" i="10" s="1"/>
  <c r="J269" i="10"/>
  <c r="AN219" i="10"/>
  <c r="AN244" i="10" s="1"/>
  <c r="U239" i="10"/>
  <c r="AC232" i="10"/>
  <c r="BP232" i="10" s="1"/>
  <c r="W272" i="10"/>
  <c r="W273" i="10" s="1"/>
  <c r="AV266" i="10"/>
  <c r="I254" i="10"/>
  <c r="BC247" i="10"/>
  <c r="AH235" i="10"/>
  <c r="AO225" i="10"/>
  <c r="AO244" i="10" s="1"/>
  <c r="AN270" i="10"/>
  <c r="BP270" i="10" s="1"/>
  <c r="U251" i="10"/>
  <c r="Q221" i="10"/>
  <c r="BD271" i="10"/>
  <c r="BP271" i="10" s="1"/>
  <c r="BD219" i="10"/>
  <c r="N225" i="10"/>
  <c r="BP225" i="10" s="1"/>
  <c r="AA250" i="10"/>
  <c r="AE259" i="10"/>
  <c r="AC243" i="10"/>
  <c r="BP243" i="10" s="1"/>
  <c r="Z238" i="10"/>
  <c r="BC240" i="10"/>
  <c r="BC244" i="10" s="1"/>
  <c r="AH224" i="10"/>
  <c r="BP224" i="10" s="1"/>
  <c r="AO256" i="10"/>
  <c r="AG219" i="10"/>
  <c r="AG244" i="10" s="1"/>
  <c r="AQ235" i="10"/>
  <c r="AQ244" i="10" s="1"/>
  <c r="BK266" i="10"/>
  <c r="BK273" i="10" s="1"/>
  <c r="BN241" i="10"/>
  <c r="BA235" i="10"/>
  <c r="BA244" i="10" s="1"/>
  <c r="BN218" i="10"/>
  <c r="H93" i="10" a="1"/>
  <c r="H93" i="10" s="1"/>
  <c r="H42" i="10" a="1"/>
  <c r="H42" i="10" s="1"/>
  <c r="E13" i="11"/>
  <c r="D13" i="11" s="1"/>
  <c r="H449" i="10"/>
  <c r="H59" i="10" s="1" a="1"/>
  <c r="H465" i="10"/>
  <c r="H471" i="10" s="1" a="1"/>
  <c r="BJ273" i="10"/>
  <c r="X273" i="10"/>
  <c r="R244" i="10"/>
  <c r="Z273" i="10"/>
  <c r="N273" i="10"/>
  <c r="AD244" i="10"/>
  <c r="H273" i="10"/>
  <c r="BF244" i="10"/>
  <c r="BG273" i="10"/>
  <c r="BN273" i="10"/>
  <c r="AZ244" i="10"/>
  <c r="BA273" i="10"/>
  <c r="AR273" i="10"/>
  <c r="V273" i="10"/>
  <c r="BL244" i="10"/>
  <c r="AB273" i="10"/>
  <c r="AP244" i="10"/>
  <c r="T273" i="10"/>
  <c r="AJ244" i="10"/>
  <c r="BB273" i="10"/>
  <c r="AV244" i="10"/>
  <c r="AK273" i="10"/>
  <c r="BG244" i="10"/>
  <c r="AA244" i="10"/>
  <c r="K273" i="10"/>
  <c r="BO273" i="10"/>
  <c r="V244" i="10"/>
  <c r="AM273" i="10"/>
  <c r="AE244" i="10"/>
  <c r="M273" i="10"/>
  <c r="L244" i="10"/>
  <c r="AP273" i="10"/>
  <c r="BB244" i="10"/>
  <c r="BH273" i="10"/>
  <c r="T244" i="10"/>
  <c r="K244" i="10"/>
  <c r="AT273" i="10"/>
  <c r="BM273" i="10"/>
  <c r="AX273" i="10"/>
  <c r="M244" i="10"/>
  <c r="AF244" i="10"/>
  <c r="BM244" i="10"/>
  <c r="J244" i="10"/>
  <c r="S273" i="10"/>
  <c r="AB244" i="10"/>
  <c r="S244" i="10"/>
  <c r="AX244" i="10"/>
  <c r="AK244" i="10"/>
  <c r="X244" i="10"/>
  <c r="N244" i="10"/>
  <c r="AW273" i="10"/>
  <c r="AW244" i="10"/>
  <c r="O273" i="10"/>
  <c r="W244" i="10"/>
  <c r="Y244" i="10"/>
  <c r="AR244" i="10"/>
  <c r="BL273" i="10"/>
  <c r="BF273" i="10"/>
  <c r="BJ244" i="10"/>
  <c r="Y273" i="10"/>
  <c r="AJ273" i="10"/>
  <c r="AF273" i="10"/>
  <c r="AD273" i="10"/>
  <c r="AT244" i="10"/>
  <c r="AU273" i="10"/>
  <c r="AG273" i="10"/>
  <c r="Q273" i="10"/>
  <c r="BK244" i="10"/>
  <c r="AL244" i="10"/>
  <c r="BE273" i="10"/>
  <c r="P273" i="10"/>
  <c r="AC273" i="10"/>
  <c r="BE244" i="10"/>
  <c r="BI273" i="10"/>
  <c r="BI244" i="10"/>
  <c r="P244" i="10"/>
  <c r="AI244" i="10"/>
  <c r="I244" i="10"/>
  <c r="AY244" i="10"/>
  <c r="AY273" i="10"/>
  <c r="G277" i="10" a="1"/>
  <c r="BP277" i="10" s="1"/>
  <c r="G363" i="10" a="1"/>
  <c r="E19" i="11" s="1"/>
  <c r="D19" i="11" s="1"/>
  <c r="G227" i="10"/>
  <c r="G232" i="10"/>
  <c r="G252" i="10"/>
  <c r="G225" i="10"/>
  <c r="G264" i="10"/>
  <c r="G271" i="10"/>
  <c r="G256" i="10"/>
  <c r="G272" i="10"/>
  <c r="G236" i="10"/>
  <c r="G257" i="10"/>
  <c r="G229" i="10"/>
  <c r="G254" i="10"/>
  <c r="G231" i="10"/>
  <c r="G239" i="10"/>
  <c r="G238" i="10"/>
  <c r="G269" i="10"/>
  <c r="G233" i="10"/>
  <c r="G226" i="10"/>
  <c r="G220" i="10"/>
  <c r="G234" i="10"/>
  <c r="G260" i="10"/>
  <c r="G251" i="10"/>
  <c r="G261" i="10"/>
  <c r="G222" i="10"/>
  <c r="G259" i="10"/>
  <c r="G265" i="10"/>
  <c r="G262" i="10"/>
  <c r="G250" i="10"/>
  <c r="G266" i="10"/>
  <c r="G228" i="10"/>
  <c r="G255" i="10"/>
  <c r="G235" i="10"/>
  <c r="G267" i="10"/>
  <c r="G270" i="10"/>
  <c r="G218" i="10"/>
  <c r="G242" i="10"/>
  <c r="G263" i="10"/>
  <c r="G241" i="10"/>
  <c r="G249" i="10"/>
  <c r="G247" i="10"/>
  <c r="G268" i="10"/>
  <c r="G237" i="10"/>
  <c r="G224" i="10"/>
  <c r="G248" i="10"/>
  <c r="G258" i="10"/>
  <c r="G230" i="10"/>
  <c r="G240" i="10"/>
  <c r="G243" i="10"/>
  <c r="G223" i="10"/>
  <c r="G219" i="10"/>
  <c r="G253" i="10"/>
  <c r="G221" i="10"/>
  <c r="G392" i="10" a="1"/>
  <c r="G426" i="10" a="1"/>
  <c r="G426" i="10" s="1"/>
  <c r="G326" i="10" a="1"/>
  <c r="E17" i="11" s="1"/>
  <c r="D17" i="11" s="1"/>
  <c r="G425" i="10" a="1"/>
  <c r="E14" i="11" l="1"/>
  <c r="D14" i="11" s="1"/>
  <c r="BP218" i="10"/>
  <c r="Z244" i="10"/>
  <c r="BP238" i="10"/>
  <c r="AE273" i="10"/>
  <c r="BP259" i="10"/>
  <c r="AA273" i="10"/>
  <c r="BP250" i="10"/>
  <c r="Q244" i="10"/>
  <c r="BP221" i="10"/>
  <c r="U273" i="10"/>
  <c r="BP251" i="10"/>
  <c r="I273" i="10"/>
  <c r="BP254" i="10"/>
  <c r="AV273" i="10"/>
  <c r="BP266" i="10"/>
  <c r="U244" i="10"/>
  <c r="BP239" i="10"/>
  <c r="J273" i="10"/>
  <c r="BP269" i="10"/>
  <c r="AL273" i="10"/>
  <c r="BP252" i="10"/>
  <c r="E15" i="11"/>
  <c r="D15" i="11" s="1"/>
  <c r="BP220" i="10"/>
  <c r="BP272" i="10"/>
  <c r="O244" i="10"/>
  <c r="BP219" i="10"/>
  <c r="BO244" i="10"/>
  <c r="BP226" i="10"/>
  <c r="BP235" i="10"/>
  <c r="BP240" i="10"/>
  <c r="AH273" i="10"/>
  <c r="BP247" i="10"/>
  <c r="AU244" i="10"/>
  <c r="BP237" i="10"/>
  <c r="BP242" i="10"/>
  <c r="BP241" i="10"/>
  <c r="BP264" i="10"/>
  <c r="BP253" i="10"/>
  <c r="BP256" i="10"/>
  <c r="AH244" i="10"/>
  <c r="AO273" i="10"/>
  <c r="AS273" i="10"/>
  <c r="AQ273" i="10"/>
  <c r="R273" i="10"/>
  <c r="BD273" i="10"/>
  <c r="AN273" i="10"/>
  <c r="BC273" i="10"/>
  <c r="H467" i="10"/>
  <c r="I464" i="10" s="1"/>
  <c r="H244" i="10"/>
  <c r="AC244" i="10"/>
  <c r="BD244" i="10"/>
  <c r="BN244" i="10"/>
  <c r="H59" i="10"/>
  <c r="E24" i="11"/>
  <c r="D24" i="11" s="1"/>
  <c r="H471" i="10"/>
  <c r="H97" i="10" s="1" a="1"/>
  <c r="G326" i="10"/>
  <c r="G359" i="10" s="1" a="1"/>
  <c r="G359" i="10" s="1"/>
  <c r="F432" i="10" s="1" a="1"/>
  <c r="G425" i="10"/>
  <c r="G428" i="10" s="1"/>
  <c r="H428" i="10" a="1"/>
  <c r="H428" i="10" s="1"/>
  <c r="G273" i="10"/>
  <c r="G392" i="10"/>
  <c r="G395" i="10" s="1" a="1"/>
  <c r="AF389" i="10"/>
  <c r="J389" i="10"/>
  <c r="AC389" i="10"/>
  <c r="AA389" i="10"/>
  <c r="G363" i="10"/>
  <c r="G389" i="10" s="1"/>
  <c r="BO389" i="10"/>
  <c r="AX389" i="10"/>
  <c r="X389" i="10"/>
  <c r="BN389" i="10"/>
  <c r="AN389" i="10"/>
  <c r="N389" i="10"/>
  <c r="AO389" i="10"/>
  <c r="AT389" i="10"/>
  <c r="BD389" i="10"/>
  <c r="BC389" i="10"/>
  <c r="AL389" i="10"/>
  <c r="L389" i="10"/>
  <c r="BB389" i="10"/>
  <c r="AB389" i="10"/>
  <c r="H389" i="10"/>
  <c r="AD389" i="10"/>
  <c r="AS389" i="10"/>
  <c r="AY389" i="10"/>
  <c r="AM389" i="10"/>
  <c r="Q389" i="10"/>
  <c r="AQ389" i="10"/>
  <c r="Z389" i="10"/>
  <c r="BG389" i="10"/>
  <c r="AP389" i="10"/>
  <c r="P389" i="10"/>
  <c r="AE389" i="10"/>
  <c r="W389" i="10"/>
  <c r="Y389" i="10"/>
  <c r="BH389" i="10"/>
  <c r="AU389" i="10"/>
  <c r="BM389" i="10"/>
  <c r="BF389" i="10"/>
  <c r="M389" i="10"/>
  <c r="BE389" i="10"/>
  <c r="S389" i="10"/>
  <c r="BI389" i="10"/>
  <c r="AI389" i="10"/>
  <c r="R389" i="10"/>
  <c r="AW389" i="10"/>
  <c r="U389" i="10"/>
  <c r="AH389" i="10"/>
  <c r="AG389" i="10"/>
  <c r="BK389" i="10"/>
  <c r="AK389" i="10"/>
  <c r="K389" i="10"/>
  <c r="BA389" i="10"/>
  <c r="I389" i="10"/>
  <c r="AR389" i="10"/>
  <c r="O389" i="10"/>
  <c r="AV389" i="10"/>
  <c r="V389" i="10"/>
  <c r="BL389" i="10"/>
  <c r="BJ389" i="10"/>
  <c r="AJ389" i="10"/>
  <c r="AZ389" i="10"/>
  <c r="T389" i="10"/>
  <c r="G244" i="10"/>
  <c r="BA289" i="10"/>
  <c r="AA295" i="10"/>
  <c r="AF294" i="10"/>
  <c r="Y295" i="10"/>
  <c r="AT294" i="10"/>
  <c r="AK287" i="10"/>
  <c r="X294" i="10"/>
  <c r="I287" i="10"/>
  <c r="H294" i="10"/>
  <c r="BD287" i="10"/>
  <c r="BN294" i="10"/>
  <c r="AU287" i="10"/>
  <c r="AM294" i="10"/>
  <c r="AJ287" i="10"/>
  <c r="S287" i="10"/>
  <c r="BH287" i="10"/>
  <c r="BF301" i="10"/>
  <c r="BA282" i="10"/>
  <c r="V281" i="10"/>
  <c r="BM299" i="10"/>
  <c r="L288" i="10"/>
  <c r="X304" i="10"/>
  <c r="BH304" i="10"/>
  <c r="BI295" i="10"/>
  <c r="AF293" i="10"/>
  <c r="Y300" i="10"/>
  <c r="AM283" i="10"/>
  <c r="AM298" i="10"/>
  <c r="AX294" i="10"/>
  <c r="BF282" i="10"/>
  <c r="AT281" i="10"/>
  <c r="AD299" i="10"/>
  <c r="AZ288" i="10"/>
  <c r="AS301" i="10"/>
  <c r="AL300" i="10"/>
  <c r="AE281" i="10"/>
  <c r="AV289" i="10"/>
  <c r="AA288" i="10"/>
  <c r="H301" i="10"/>
  <c r="BI300" i="10"/>
  <c r="X283" i="10"/>
  <c r="AK298" i="10"/>
  <c r="BD304" i="10"/>
  <c r="L305" i="10"/>
  <c r="AF282" i="10"/>
  <c r="AR281" i="10"/>
  <c r="BA301" i="10"/>
  <c r="BO282" i="10"/>
  <c r="AF281" i="10"/>
  <c r="BH299" i="10"/>
  <c r="AE288" i="10"/>
  <c r="AZ289" i="10"/>
  <c r="AH287" i="10"/>
  <c r="AQ294" i="10"/>
  <c r="Z295" i="10"/>
  <c r="T294" i="10"/>
  <c r="AV287" i="10"/>
  <c r="AG305" i="10"/>
  <c r="N287" i="10"/>
  <c r="BC294" i="10"/>
  <c r="BL287" i="10"/>
  <c r="R294" i="10"/>
  <c r="AE287" i="10"/>
  <c r="M294" i="10"/>
  <c r="O304" i="10"/>
  <c r="BK287" i="10"/>
  <c r="AG287" i="10"/>
  <c r="BC301" i="10"/>
  <c r="BK300" i="10"/>
  <c r="BL281" i="10"/>
  <c r="AB299" i="10"/>
  <c r="AR288" i="10"/>
  <c r="AC294" i="10"/>
  <c r="BK294" i="10"/>
  <c r="X287" i="10"/>
  <c r="AH293" i="10"/>
  <c r="AR292" i="10"/>
  <c r="U283" i="10"/>
  <c r="AE298" i="10"/>
  <c r="Y305" i="10"/>
  <c r="BD282" i="10"/>
  <c r="U281" i="10"/>
  <c r="M289" i="10"/>
  <c r="AC288" i="10"/>
  <c r="BE301" i="10"/>
  <c r="M300" i="10"/>
  <c r="AS281" i="10"/>
  <c r="I289" i="10"/>
  <c r="AP295" i="10"/>
  <c r="AQ293" i="10"/>
  <c r="BC300" i="10"/>
  <c r="AR283" i="10"/>
  <c r="BK298" i="10"/>
  <c r="AK304" i="10"/>
  <c r="O301" i="10"/>
  <c r="AN300" i="10"/>
  <c r="AM281" i="10"/>
  <c r="BH301" i="10"/>
  <c r="AB300" i="10"/>
  <c r="Q281" i="10"/>
  <c r="AV299" i="10"/>
  <c r="AL288" i="10"/>
  <c r="Y301" i="10"/>
  <c r="W300" i="10"/>
  <c r="BI283" i="10"/>
  <c r="AN289" i="10"/>
  <c r="AD304" i="10"/>
  <c r="K283" i="10"/>
  <c r="AT292" i="10"/>
  <c r="AM293" i="10"/>
  <c r="BO299" i="10"/>
  <c r="AQ299" i="10"/>
  <c r="AT289" i="10"/>
  <c r="AZ292" i="10"/>
  <c r="AD287" i="10"/>
  <c r="BG282" i="10"/>
  <c r="X289" i="10"/>
  <c r="AL293" i="10"/>
  <c r="BM282" i="10"/>
  <c r="BE287" i="10"/>
  <c r="BO294" i="10"/>
  <c r="V287" i="10"/>
  <c r="Z294" i="10"/>
  <c r="P287" i="10"/>
  <c r="BL305" i="10"/>
  <c r="AS287" i="10"/>
  <c r="U305" i="10"/>
  <c r="AR287" i="10"/>
  <c r="I305" i="10"/>
  <c r="Y287" i="10"/>
  <c r="BH294" i="10"/>
  <c r="AL304" i="10"/>
  <c r="AG304" i="10"/>
  <c r="M304" i="10"/>
  <c r="AX301" i="10"/>
  <c r="AI300" i="10"/>
  <c r="O281" i="10"/>
  <c r="BH289" i="10"/>
  <c r="O288" i="10"/>
  <c r="AK294" i="10"/>
  <c r="BL294" i="10"/>
  <c r="I304" i="10"/>
  <c r="J293" i="10"/>
  <c r="BK292" i="10"/>
  <c r="AK299" i="10"/>
  <c r="BB298" i="10"/>
  <c r="AV305" i="10"/>
  <c r="P282" i="10"/>
  <c r="BA281" i="10"/>
  <c r="U289" i="10"/>
  <c r="AO288" i="10"/>
  <c r="AU301" i="10"/>
  <c r="J300" i="10"/>
  <c r="BJ283" i="10"/>
  <c r="AQ289" i="10"/>
  <c r="AB295" i="10"/>
  <c r="AD293" i="10"/>
  <c r="BC292" i="10"/>
  <c r="BO283" i="10"/>
  <c r="AB298" i="10"/>
  <c r="K294" i="10"/>
  <c r="BI301" i="10"/>
  <c r="BG300" i="10"/>
  <c r="AB281" i="10"/>
  <c r="AR301" i="10"/>
  <c r="AU300" i="10"/>
  <c r="H281" i="10"/>
  <c r="BG289" i="10"/>
  <c r="U288" i="10"/>
  <c r="AL301" i="10"/>
  <c r="AS300" i="10"/>
  <c r="AI283" i="10"/>
  <c r="Q289" i="10"/>
  <c r="S305" i="10"/>
  <c r="AE283" i="10"/>
  <c r="BC281" i="10"/>
  <c r="BI282" i="10"/>
  <c r="AW289" i="10"/>
  <c r="AK289" i="10"/>
  <c r="BJ295" i="10"/>
  <c r="BL292" i="10"/>
  <c r="AQ301" i="10"/>
  <c r="AR282" i="10"/>
  <c r="BJ289" i="10"/>
  <c r="AU282" i="10"/>
  <c r="BJ282" i="10"/>
  <c r="U287" i="10"/>
  <c r="AD294" i="10"/>
  <c r="AO287" i="10"/>
  <c r="AL294" i="10"/>
  <c r="T304" i="10"/>
  <c r="BH305" i="10"/>
  <c r="O287" i="10"/>
  <c r="AZ305" i="10"/>
  <c r="H287" i="10"/>
  <c r="AN305" i="10"/>
  <c r="M287" i="10"/>
  <c r="AR305" i="10"/>
  <c r="BE294" i="10"/>
  <c r="H304" i="10"/>
  <c r="AZ304" i="10"/>
  <c r="BC293" i="10"/>
  <c r="L300" i="10"/>
  <c r="S281" i="10"/>
  <c r="AG289" i="10"/>
  <c r="BK288" i="10"/>
  <c r="BJ305" i="10"/>
  <c r="AT305" i="10"/>
  <c r="BD294" i="10"/>
  <c r="AJ293" i="10"/>
  <c r="P292" i="10"/>
  <c r="S299" i="10"/>
  <c r="W288" i="10"/>
  <c r="P301" i="10"/>
  <c r="AX300" i="10"/>
  <c r="I281" i="10"/>
  <c r="BK289" i="10"/>
  <c r="BB295" i="10"/>
  <c r="BO293" i="10"/>
  <c r="BD300" i="10"/>
  <c r="AJ283" i="10"/>
  <c r="AF289" i="10"/>
  <c r="BJ287" i="10"/>
  <c r="V293" i="10"/>
  <c r="O292" i="10"/>
  <c r="AM299" i="10"/>
  <c r="BN298" i="10"/>
  <c r="AS305" i="10"/>
  <c r="AF301" i="10"/>
  <c r="AE300" i="10"/>
  <c r="AD281" i="10"/>
  <c r="AE301" i="10"/>
  <c r="BM300" i="10"/>
  <c r="AC281" i="10"/>
  <c r="N289" i="10"/>
  <c r="AJ295" i="10"/>
  <c r="AG293" i="10"/>
  <c r="AH300" i="10"/>
  <c r="BL283" i="10"/>
  <c r="AV298" i="10"/>
  <c r="AP301" i="10"/>
  <c r="N299" i="10"/>
  <c r="AH289" i="10"/>
  <c r="AX282" i="10"/>
  <c r="J289" i="10"/>
  <c r="BL289" i="10"/>
  <c r="AV304" i="10"/>
  <c r="AA281" i="10"/>
  <c r="AC282" i="10"/>
  <c r="AV300" i="10"/>
  <c r="AX298" i="10"/>
  <c r="BN282" i="10"/>
  <c r="AS288" i="10"/>
  <c r="AC287" i="10"/>
  <c r="S294" i="10"/>
  <c r="BM287" i="10"/>
  <c r="AB294" i="10"/>
  <c r="AY304" i="10"/>
  <c r="M305" i="10"/>
  <c r="BO304" i="10"/>
  <c r="AO305" i="10"/>
  <c r="BC304" i="10"/>
  <c r="X305" i="10"/>
  <c r="BN287" i="10"/>
  <c r="P305" i="10"/>
  <c r="BG294" i="10"/>
  <c r="AG294" i="10"/>
  <c r="U294" i="10"/>
  <c r="BN293" i="10"/>
  <c r="BH300" i="10"/>
  <c r="H283" i="10"/>
  <c r="AR289" i="10"/>
  <c r="BC288" i="10"/>
  <c r="AK305" i="10"/>
  <c r="BM305" i="10"/>
  <c r="AE294" i="10"/>
  <c r="AW282" i="10"/>
  <c r="H292" i="10"/>
  <c r="L299" i="10"/>
  <c r="Q288" i="10"/>
  <c r="J301" i="10"/>
  <c r="AF300" i="10"/>
  <c r="AV283" i="10"/>
  <c r="AE289" i="10"/>
  <c r="AQ295" i="10"/>
  <c r="AW293" i="10"/>
  <c r="T292" i="10"/>
  <c r="BN283" i="10"/>
  <c r="AW298" i="10"/>
  <c r="AT304" i="10"/>
  <c r="BI293" i="10"/>
  <c r="BF292" i="10"/>
  <c r="BF299" i="10"/>
  <c r="AI298" i="10"/>
  <c r="N305" i="10"/>
  <c r="BE293" i="10"/>
  <c r="AJ300" i="10"/>
  <c r="AZ295" i="10"/>
  <c r="AS293" i="10"/>
  <c r="BF300" i="10"/>
  <c r="N283" i="10"/>
  <c r="Z289" i="10"/>
  <c r="AT287" i="10"/>
  <c r="AZ293" i="10"/>
  <c r="T300" i="10"/>
  <c r="O283" i="10"/>
  <c r="AP298" i="10"/>
  <c r="BD293" i="10"/>
  <c r="Q299" i="10"/>
  <c r="AD288" i="10"/>
  <c r="R301" i="10"/>
  <c r="R289" i="10"/>
  <c r="P289" i="10"/>
  <c r="Z305" i="10"/>
  <c r="AB283" i="10"/>
  <c r="AA299" i="10"/>
  <c r="X300" i="10"/>
  <c r="AO298" i="10"/>
  <c r="AC300" i="10"/>
  <c r="AL298" i="10"/>
  <c r="V282" i="10"/>
  <c r="T287" i="10"/>
  <c r="AZ299" i="10"/>
  <c r="Z281" i="10"/>
  <c r="Z293" i="10"/>
  <c r="AH288" i="10"/>
  <c r="O282" i="10"/>
  <c r="AR304" i="10"/>
  <c r="AE305" i="10"/>
  <c r="Q287" i="10"/>
  <c r="X295" i="10"/>
  <c r="Q304" i="10"/>
  <c r="AS295" i="10"/>
  <c r="AB304" i="10"/>
  <c r="AG295" i="10"/>
  <c r="K304" i="10"/>
  <c r="BG305" i="10"/>
  <c r="AW304" i="10"/>
  <c r="BK305" i="10"/>
  <c r="T305" i="10"/>
  <c r="AY294" i="10"/>
  <c r="AZ294" i="10"/>
  <c r="AK293" i="10"/>
  <c r="BO292" i="10"/>
  <c r="AO283" i="10"/>
  <c r="AO289" i="10"/>
  <c r="L295" i="10"/>
  <c r="BK295" i="10"/>
  <c r="BM301" i="10"/>
  <c r="AW305" i="10"/>
  <c r="T282" i="10"/>
  <c r="BF281" i="10"/>
  <c r="Y289" i="10"/>
  <c r="AP288" i="10"/>
  <c r="AW301" i="10"/>
  <c r="BE300" i="10"/>
  <c r="AY283" i="10"/>
  <c r="N298" i="10"/>
  <c r="V304" i="10"/>
  <c r="BK293" i="10"/>
  <c r="M292" i="10"/>
  <c r="BE283" i="10"/>
  <c r="AZ298" i="10"/>
  <c r="AI294" i="10"/>
  <c r="AH282" i="10"/>
  <c r="BH281" i="10"/>
  <c r="K299" i="10"/>
  <c r="P288" i="10"/>
  <c r="K287" i="10"/>
  <c r="BM293" i="10"/>
  <c r="AE292" i="10"/>
  <c r="AY287" i="10"/>
  <c r="AV293" i="10"/>
  <c r="S292" i="10"/>
  <c r="AQ283" i="10"/>
  <c r="BH298" i="10"/>
  <c r="AP304" i="10"/>
  <c r="Q293" i="10"/>
  <c r="BA292" i="10"/>
  <c r="AL299" i="10"/>
  <c r="BD298" i="10"/>
  <c r="AZ282" i="10"/>
  <c r="AC289" i="10"/>
  <c r="I282" i="10"/>
  <c r="Q292" i="10"/>
  <c r="W298" i="10"/>
  <c r="BF298" i="10"/>
  <c r="BO301" i="10"/>
  <c r="BA299" i="10"/>
  <c r="AE295" i="10"/>
  <c r="BE281" i="10"/>
  <c r="BA288" i="10"/>
  <c r="Z292" i="10"/>
  <c r="BB288" i="10"/>
  <c r="AC295" i="10"/>
  <c r="BF294" i="10"/>
  <c r="AO295" i="10"/>
  <c r="BG304" i="10"/>
  <c r="Z287" i="10"/>
  <c r="N294" i="10"/>
  <c r="BO287" i="10"/>
  <c r="AP294" i="10"/>
  <c r="BC287" i="10"/>
  <c r="Y294" i="10"/>
  <c r="AY295" i="10"/>
  <c r="Q294" i="10"/>
  <c r="AQ287" i="10"/>
  <c r="N295" i="10"/>
  <c r="S295" i="10"/>
  <c r="L301" i="10"/>
  <c r="S282" i="10"/>
  <c r="AV281" i="10"/>
  <c r="AF299" i="10"/>
  <c r="H298" i="10"/>
  <c r="BI304" i="10"/>
  <c r="Y304" i="10"/>
  <c r="AT295" i="10"/>
  <c r="BB301" i="10"/>
  <c r="BN300" i="10"/>
  <c r="V283" i="10"/>
  <c r="AS298" i="10"/>
  <c r="AR294" i="10"/>
  <c r="AK282" i="10"/>
  <c r="BM292" i="10"/>
  <c r="BN299" i="10"/>
  <c r="K288" i="10"/>
  <c r="BK301" i="10"/>
  <c r="AQ282" i="10"/>
  <c r="AO281" i="10"/>
  <c r="AC299" i="10"/>
  <c r="M288" i="10"/>
  <c r="AG301" i="10"/>
  <c r="BO300" i="10"/>
  <c r="AX283" i="10"/>
  <c r="V289" i="10"/>
  <c r="AF287" i="10"/>
  <c r="BD305" i="10"/>
  <c r="AB282" i="10"/>
  <c r="X281" i="10"/>
  <c r="AI305" i="10"/>
  <c r="AY282" i="10"/>
  <c r="L281" i="10"/>
  <c r="AS299" i="10"/>
  <c r="J288" i="10"/>
  <c r="AO301" i="10"/>
  <c r="AD282" i="10"/>
  <c r="BM281" i="10"/>
  <c r="AU289" i="10"/>
  <c r="R288" i="10"/>
  <c r="BK281" i="10"/>
  <c r="AM288" i="10"/>
  <c r="V301" i="10"/>
  <c r="AC283" i="10"/>
  <c r="AH283" i="10"/>
  <c r="BD283" i="10"/>
  <c r="Q300" i="10"/>
  <c r="AU299" i="10"/>
  <c r="AN293" i="10"/>
  <c r="AT299" i="10"/>
  <c r="BD301" i="10"/>
  <c r="BB283" i="10"/>
  <c r="BA305" i="10"/>
  <c r="S283" i="10"/>
  <c r="AJ294" i="10"/>
  <c r="N300" i="10"/>
  <c r="AI288" i="10"/>
  <c r="AR299" i="10"/>
  <c r="K300" i="10"/>
  <c r="BD292" i="10"/>
  <c r="BO288" i="10"/>
  <c r="BB289" i="10"/>
  <c r="AK283" i="10"/>
  <c r="BB282" i="10"/>
  <c r="AJ285" i="10"/>
  <c r="Q297" i="10"/>
  <c r="BJ290" i="10"/>
  <c r="AF302" i="10"/>
  <c r="BH285" i="10"/>
  <c r="R304" i="10"/>
  <c r="BL304" i="10"/>
  <c r="BB305" i="10"/>
  <c r="AK295" i="10"/>
  <c r="H295" i="10"/>
  <c r="BF305" i="10"/>
  <c r="W305" i="10"/>
  <c r="AT283" i="10"/>
  <c r="AN287" i="10"/>
  <c r="U301" i="10"/>
  <c r="AN281" i="10"/>
  <c r="BA287" i="10"/>
  <c r="J283" i="10"/>
  <c r="AW294" i="10"/>
  <c r="AH281" i="10"/>
  <c r="AM305" i="10"/>
  <c r="M281" i="10"/>
  <c r="R295" i="10"/>
  <c r="AX292" i="10"/>
  <c r="AS282" i="10"/>
  <c r="BG298" i="10"/>
  <c r="L282" i="10"/>
  <c r="U299" i="10"/>
  <c r="AQ300" i="10"/>
  <c r="AF295" i="10"/>
  <c r="AF288" i="10"/>
  <c r="O293" i="10"/>
  <c r="J305" i="10"/>
  <c r="AP287" i="10"/>
  <c r="AP289" i="10"/>
  <c r="R300" i="10"/>
  <c r="U282" i="10"/>
  <c r="AT293" i="10"/>
  <c r="BF295" i="10"/>
  <c r="AC298" i="10"/>
  <c r="P293" i="10"/>
  <c r="BG299" i="10"/>
  <c r="AR300" i="10"/>
  <c r="AU292" i="10"/>
  <c r="AY288" i="10"/>
  <c r="AH285" i="10"/>
  <c r="AD303" i="10"/>
  <c r="AS290" i="10"/>
  <c r="O284" i="10"/>
  <c r="AZ291" i="10"/>
  <c r="M303" i="10"/>
  <c r="V296" i="10"/>
  <c r="T284" i="10"/>
  <c r="AW297" i="10"/>
  <c r="Q286" i="10"/>
  <c r="AN296" i="10"/>
  <c r="AN285" i="10"/>
  <c r="BA303" i="10"/>
  <c r="BF290" i="10"/>
  <c r="AU302" i="10"/>
  <c r="BN291" i="10"/>
  <c r="P303" i="10"/>
  <c r="I290" i="10"/>
  <c r="Z284" i="10"/>
  <c r="AG303" i="10"/>
  <c r="H291" i="10"/>
  <c r="AX286" i="10"/>
  <c r="AM296" i="10"/>
  <c r="AI286" i="10"/>
  <c r="U297" i="10"/>
  <c r="U303" i="10"/>
  <c r="V291" i="10"/>
  <c r="BG302" i="10"/>
  <c r="BK291" i="10"/>
  <c r="R302" i="10"/>
  <c r="N303" i="10"/>
  <c r="AP284" i="10"/>
  <c r="W296" i="10"/>
  <c r="AS303" i="10"/>
  <c r="AS291" i="10"/>
  <c r="X284" i="10"/>
  <c r="AR286" i="10"/>
  <c r="AI290" i="10"/>
  <c r="BM291" i="10"/>
  <c r="AO302" i="10"/>
  <c r="AH284" i="10"/>
  <c r="P291" i="10"/>
  <c r="AC302" i="10"/>
  <c r="AN303" i="10"/>
  <c r="BF284" i="10"/>
  <c r="L304" i="10"/>
  <c r="AO304" i="10"/>
  <c r="BD295" i="10"/>
  <c r="BA295" i="10"/>
  <c r="AE304" i="10"/>
  <c r="AC305" i="10"/>
  <c r="AN301" i="10"/>
  <c r="I283" i="10"/>
  <c r="AB287" i="10"/>
  <c r="BI305" i="10"/>
  <c r="AK281" i="10"/>
  <c r="AX304" i="10"/>
  <c r="T283" i="10"/>
  <c r="O305" i="10"/>
  <c r="Q283" i="10"/>
  <c r="R305" i="10"/>
  <c r="AP281" i="10"/>
  <c r="AZ287" i="10"/>
  <c r="BG292" i="10"/>
  <c r="U300" i="10"/>
  <c r="T298" i="10"/>
  <c r="AG282" i="10"/>
  <c r="W299" i="10"/>
  <c r="AJ292" i="10"/>
  <c r="BM304" i="10"/>
  <c r="AB288" i="10"/>
  <c r="AV282" i="10"/>
  <c r="Q301" i="10"/>
  <c r="AD305" i="10"/>
  <c r="V298" i="10"/>
  <c r="BB292" i="10"/>
  <c r="AA300" i="10"/>
  <c r="AT300" i="10"/>
  <c r="I301" i="10"/>
  <c r="BL288" i="10"/>
  <c r="BH293" i="10"/>
  <c r="AI289" i="10"/>
  <c r="L287" i="10"/>
  <c r="AJ281" i="10"/>
  <c r="AQ288" i="10"/>
  <c r="BJ285" i="10"/>
  <c r="BD303" i="10"/>
  <c r="BC290" i="10"/>
  <c r="AC284" i="10"/>
  <c r="K291" i="10"/>
  <c r="AD286" i="10"/>
  <c r="P296" i="10"/>
  <c r="J284" i="10"/>
  <c r="W297" i="10"/>
  <c r="BG286" i="10"/>
  <c r="AZ302" i="10"/>
  <c r="AG285" i="10"/>
  <c r="AZ303" i="10"/>
  <c r="K290" i="10"/>
  <c r="H302" i="10"/>
  <c r="AL291" i="10"/>
  <c r="W303" i="10"/>
  <c r="AU290" i="10"/>
  <c r="L284" i="10"/>
  <c r="AV286" i="10"/>
  <c r="BH297" i="10"/>
  <c r="AN286" i="10"/>
  <c r="AD302" i="10"/>
  <c r="AN290" i="10"/>
  <c r="V303" i="10"/>
  <c r="BB286" i="10"/>
  <c r="AT291" i="10"/>
  <c r="BO302" i="10"/>
  <c r="BJ297" i="10"/>
  <c r="U302" i="10"/>
  <c r="AB303" i="10"/>
  <c r="I285" i="10"/>
  <c r="M296" i="10"/>
  <c r="BN286" i="10"/>
  <c r="BL297" i="10"/>
  <c r="BC302" i="10"/>
  <c r="AL290" i="10"/>
  <c r="O296" i="10"/>
  <c r="AA291" i="10"/>
  <c r="S302" i="10"/>
  <c r="G277" i="10"/>
  <c r="U304" i="10"/>
  <c r="BE295" i="10"/>
  <c r="BL295" i="10"/>
  <c r="AR295" i="10"/>
  <c r="AS304" i="10"/>
  <c r="W295" i="10"/>
  <c r="AY293" i="10"/>
  <c r="AF283" i="10"/>
  <c r="AQ304" i="10"/>
  <c r="AD283" i="10"/>
  <c r="AX281" i="10"/>
  <c r="AH301" i="10"/>
  <c r="BK299" i="10"/>
  <c r="AH305" i="10"/>
  <c r="AY299" i="10"/>
  <c r="AY301" i="10"/>
  <c r="R299" i="10"/>
  <c r="BN304" i="10"/>
  <c r="N292" i="10"/>
  <c r="U292" i="10"/>
  <c r="O298" i="10"/>
  <c r="AA282" i="10"/>
  <c r="X299" i="10"/>
  <c r="AO292" i="10"/>
  <c r="AB305" i="10"/>
  <c r="AG281" i="10"/>
  <c r="Z282" i="10"/>
  <c r="AI301" i="10"/>
  <c r="BL301" i="10"/>
  <c r="AF298" i="10"/>
  <c r="W292" i="10"/>
  <c r="AP292" i="10"/>
  <c r="R292" i="10"/>
  <c r="I293" i="10"/>
  <c r="AT298" i="10"/>
  <c r="AI282" i="10"/>
  <c r="O289" i="10"/>
  <c r="J304" i="10"/>
  <c r="AL281" i="10"/>
  <c r="AU281" i="10"/>
  <c r="BO291" i="10"/>
  <c r="BE303" i="10"/>
  <c r="BH296" i="10"/>
  <c r="BD284" i="10"/>
  <c r="BI297" i="10"/>
  <c r="AY286" i="10"/>
  <c r="AD296" i="10"/>
  <c r="AE285" i="10"/>
  <c r="AC297" i="10"/>
  <c r="H286" i="10"/>
  <c r="BF302" i="10"/>
  <c r="BK285" i="10"/>
  <c r="X303" i="10"/>
  <c r="AY290" i="10"/>
  <c r="AX284" i="10"/>
  <c r="BD291" i="10"/>
  <c r="AK303" i="10"/>
  <c r="BG296" i="10"/>
  <c r="V284" i="10"/>
  <c r="AH290" i="10"/>
  <c r="AF297" i="10"/>
  <c r="BC286" i="10"/>
  <c r="BI302" i="10"/>
  <c r="BM285" i="10"/>
  <c r="AH286" i="10"/>
  <c r="BJ286" i="10"/>
  <c r="N297" i="10"/>
  <c r="M284" i="10"/>
  <c r="AG297" i="10"/>
  <c r="BL284" i="10"/>
  <c r="W286" i="10"/>
  <c r="AR291" i="10"/>
  <c r="AK302" i="10"/>
  <c r="P286" i="10"/>
  <c r="AO297" i="10"/>
  <c r="AC285" i="10"/>
  <c r="BD290" i="10"/>
  <c r="AL284" i="10"/>
  <c r="X297" i="10"/>
  <c r="AR302" i="10"/>
  <c r="BL291" i="10"/>
  <c r="BA297" i="10"/>
  <c r="AJ302" i="10"/>
  <c r="BK296" i="10"/>
  <c r="M301" i="10"/>
  <c r="Z304" i="10"/>
  <c r="M295" i="10"/>
  <c r="Q295" i="10"/>
  <c r="AA304" i="10"/>
  <c r="N304" i="10"/>
  <c r="AL295" i="10"/>
  <c r="K293" i="10"/>
  <c r="AX299" i="10"/>
  <c r="BN295" i="10"/>
  <c r="AB301" i="10"/>
  <c r="BH283" i="10"/>
  <c r="T293" i="10"/>
  <c r="Y299" i="10"/>
  <c r="AU293" i="10"/>
  <c r="M299" i="10"/>
  <c r="Z301" i="10"/>
  <c r="BL299" i="10"/>
  <c r="AJ304" i="10"/>
  <c r="BF287" i="10"/>
  <c r="Y292" i="10"/>
  <c r="AV288" i="10"/>
  <c r="P300" i="10"/>
  <c r="BM289" i="10"/>
  <c r="Y281" i="10"/>
  <c r="AR293" i="10"/>
  <c r="AW299" i="10"/>
  <c r="S300" i="10"/>
  <c r="BA293" i="10"/>
  <c r="AB293" i="10"/>
  <c r="AK288" i="10"/>
  <c r="P281" i="10"/>
  <c r="O300" i="10"/>
  <c r="AN292" i="10"/>
  <c r="BL282" i="10"/>
  <c r="BJ293" i="10"/>
  <c r="AL282" i="10"/>
  <c r="Y298" i="10"/>
  <c r="Q305" i="10"/>
  <c r="BK283" i="10"/>
  <c r="AL289" i="10"/>
  <c r="AO291" i="10"/>
  <c r="BG303" i="10"/>
  <c r="AH296" i="10"/>
  <c r="AD284" i="10"/>
  <c r="AI297" i="10"/>
  <c r="AQ286" i="10"/>
  <c r="AP296" i="10"/>
  <c r="BB285" i="10"/>
  <c r="AA297" i="10"/>
  <c r="BO290" i="10"/>
  <c r="AE302" i="10"/>
  <c r="BG285" i="10"/>
  <c r="AR303" i="10"/>
  <c r="X296" i="10"/>
  <c r="AJ284" i="10"/>
  <c r="AW291" i="10"/>
  <c r="BF286" i="10"/>
  <c r="AQ296" i="10"/>
  <c r="Q284" i="10"/>
  <c r="AD285" i="10"/>
  <c r="AB297" i="10"/>
  <c r="N290" i="10"/>
  <c r="AL302" i="10"/>
  <c r="P285" i="10"/>
  <c r="O286" i="10"/>
  <c r="J290" i="10"/>
  <c r="BE297" i="10"/>
  <c r="S284" i="10"/>
  <c r="Z303" i="10"/>
  <c r="AU284" i="10"/>
  <c r="BD286" i="10"/>
  <c r="M291" i="10"/>
  <c r="X302" i="10"/>
  <c r="V290" i="10"/>
  <c r="AL303" i="10"/>
  <c r="AA285" i="10"/>
  <c r="AK296" i="10"/>
  <c r="BH291" i="10"/>
  <c r="BC297" i="10"/>
  <c r="AM284" i="10"/>
  <c r="BE286" i="10"/>
  <c r="BO303" i="10"/>
  <c r="AA284" i="10"/>
  <c r="AB302" i="10"/>
  <c r="BI288" i="10"/>
  <c r="BE305" i="10"/>
  <c r="BO295" i="10"/>
  <c r="AV295" i="10"/>
  <c r="P304" i="10"/>
  <c r="BJ304" i="10"/>
  <c r="W294" i="10"/>
  <c r="Y282" i="10"/>
  <c r="V299" i="10"/>
  <c r="AI287" i="10"/>
  <c r="AD301" i="10"/>
  <c r="AE299" i="10"/>
  <c r="N293" i="10"/>
  <c r="BB299" i="10"/>
  <c r="N301" i="10"/>
  <c r="AI299" i="10"/>
  <c r="BH282" i="10"/>
  <c r="AJ289" i="10"/>
  <c r="BJ294" i="10"/>
  <c r="BB304" i="10"/>
  <c r="I292" i="10"/>
  <c r="AX287" i="10"/>
  <c r="BN292" i="10"/>
  <c r="AU298" i="10"/>
  <c r="BI289" i="10"/>
  <c r="AG300" i="10"/>
  <c r="BJ298" i="10"/>
  <c r="T288" i="10"/>
  <c r="AI292" i="10"/>
  <c r="H300" i="10"/>
  <c r="Z288" i="10"/>
  <c r="Y283" i="10"/>
  <c r="J292" i="10"/>
  <c r="K281" i="10"/>
  <c r="BJ292" i="10"/>
  <c r="BB300" i="10"/>
  <c r="AZ300" i="10"/>
  <c r="AH298" i="10"/>
  <c r="AA301" i="10"/>
  <c r="T299" i="10"/>
  <c r="R298" i="10"/>
  <c r="AN291" i="10"/>
  <c r="BL303" i="10"/>
  <c r="AG296" i="10"/>
  <c r="J297" i="10"/>
  <c r="AT297" i="10"/>
  <c r="L286" i="10"/>
  <c r="BL302" i="10"/>
  <c r="AY285" i="10"/>
  <c r="R297" i="10"/>
  <c r="AJ290" i="10"/>
  <c r="L302" i="10"/>
  <c r="AE291" i="10"/>
  <c r="BI303" i="10"/>
  <c r="BO296" i="10"/>
  <c r="BO284" i="10"/>
  <c r="L291" i="10"/>
  <c r="X286" i="10"/>
  <c r="BM296" i="10"/>
  <c r="BM284" i="10"/>
  <c r="BN285" i="10"/>
  <c r="AZ297" i="10"/>
  <c r="AT290" i="10"/>
  <c r="Z302" i="10"/>
  <c r="AZ285" i="10"/>
  <c r="BK290" i="10"/>
  <c r="Q290" i="10"/>
  <c r="AX303" i="10"/>
  <c r="BI291" i="10"/>
  <c r="AM303" i="10"/>
  <c r="P284" i="10"/>
  <c r="BM290" i="10"/>
  <c r="BN297" i="10"/>
  <c r="AW284" i="10"/>
  <c r="R290" i="10"/>
  <c r="J303" i="10"/>
  <c r="T285" i="10"/>
  <c r="AX296" i="10"/>
  <c r="S297" i="10"/>
  <c r="O303" i="10"/>
  <c r="K284" i="10"/>
  <c r="BK282" i="10"/>
  <c r="AP305" i="10"/>
  <c r="AX295" i="10"/>
  <c r="AM304" i="10"/>
  <c r="BA304" i="10"/>
  <c r="AS294" i="10"/>
  <c r="BO305" i="10"/>
  <c r="H282" i="10"/>
  <c r="BO289" i="10"/>
  <c r="BB287" i="10"/>
  <c r="BG301" i="10"/>
  <c r="AS289" i="10"/>
  <c r="W293" i="10"/>
  <c r="BC289" i="10"/>
  <c r="M282" i="10"/>
  <c r="AP299" i="10"/>
  <c r="Q282" i="10"/>
  <c r="BN289" i="10"/>
  <c r="S293" i="10"/>
  <c r="AI304" i="10"/>
  <c r="L292" i="10"/>
  <c r="AH304" i="10"/>
  <c r="AV292" i="10"/>
  <c r="AJ288" i="10"/>
  <c r="AY289" i="10"/>
  <c r="AH292" i="10"/>
  <c r="K298" i="10"/>
  <c r="AJ298" i="10"/>
  <c r="AY281" i="10"/>
  <c r="BJ281" i="10"/>
  <c r="AM287" i="10"/>
  <c r="K289" i="10"/>
  <c r="W281" i="10"/>
  <c r="BG283" i="10"/>
  <c r="BD281" i="10"/>
  <c r="AU288" i="10"/>
  <c r="I300" i="10"/>
  <c r="S288" i="10"/>
  <c r="W301" i="10"/>
  <c r="BE299" i="10"/>
  <c r="AE282" i="10"/>
  <c r="AF291" i="10"/>
  <c r="AP286" i="10"/>
  <c r="BI296" i="10"/>
  <c r="AR285" i="10"/>
  <c r="BB297" i="10"/>
  <c r="Y286" i="10"/>
  <c r="W302" i="10"/>
  <c r="AI285" i="10"/>
  <c r="BM303" i="10"/>
  <c r="W290" i="10"/>
  <c r="AT302" i="10"/>
  <c r="BJ291" i="10"/>
  <c r="BA286" i="10"/>
  <c r="AF296" i="10"/>
  <c r="R284" i="10"/>
  <c r="M297" i="10"/>
  <c r="BM286" i="10"/>
  <c r="BD296" i="10"/>
  <c r="N291" i="10"/>
  <c r="AF285" i="10"/>
  <c r="BF297" i="10"/>
  <c r="BE290" i="10"/>
  <c r="K302" i="10"/>
  <c r="AW285" i="10"/>
  <c r="AE290" i="10"/>
  <c r="BF296" i="10"/>
  <c r="BH303" i="10"/>
  <c r="V302" i="10"/>
  <c r="AK286" i="10"/>
  <c r="AB285" i="10"/>
  <c r="T290" i="10"/>
  <c r="AN297" i="10"/>
  <c r="U284" i="10"/>
  <c r="K296" i="10"/>
  <c r="AZ286" i="10"/>
  <c r="R291" i="10"/>
  <c r="BA302" i="10"/>
  <c r="L303" i="10"/>
  <c r="K303" i="10"/>
  <c r="R282" i="10"/>
  <c r="BN305" i="10"/>
  <c r="J287" i="10"/>
  <c r="AN304" i="10"/>
  <c r="J294" i="10"/>
  <c r="AL305" i="10"/>
  <c r="V305" i="10"/>
  <c r="AP282" i="10"/>
  <c r="BI298" i="10"/>
  <c r="BI287" i="10"/>
  <c r="K282" i="10"/>
  <c r="AB289" i="10"/>
  <c r="AA293" i="10"/>
  <c r="U298" i="10"/>
  <c r="AT282" i="10"/>
  <c r="I298" i="10"/>
  <c r="AN282" i="10"/>
  <c r="AA289" i="10"/>
  <c r="R293" i="10"/>
  <c r="P294" i="10"/>
  <c r="AU283" i="10"/>
  <c r="AN294" i="10"/>
  <c r="AS292" i="10"/>
  <c r="BD288" i="10"/>
  <c r="AA298" i="10"/>
  <c r="AQ281" i="10"/>
  <c r="H288" i="10"/>
  <c r="AK300" i="10"/>
  <c r="AL283" i="10"/>
  <c r="AW281" i="10"/>
  <c r="I294" i="10"/>
  <c r="X288" i="10"/>
  <c r="AS283" i="10"/>
  <c r="O299" i="10"/>
  <c r="BB281" i="10"/>
  <c r="P283" i="10"/>
  <c r="X292" i="10"/>
  <c r="AD292" i="10"/>
  <c r="AX293" i="10"/>
  <c r="W289" i="10"/>
  <c r="AJ299" i="10"/>
  <c r="AV291" i="10"/>
  <c r="BO286" i="10"/>
  <c r="AR296" i="10"/>
  <c r="BO285" i="10"/>
  <c r="AH297" i="10"/>
  <c r="BI290" i="10"/>
  <c r="BD302" i="10"/>
  <c r="H285" i="10"/>
  <c r="T303" i="10"/>
  <c r="AR290" i="10"/>
  <c r="BJ284" i="10"/>
  <c r="AM291" i="10"/>
  <c r="V286" i="10"/>
  <c r="AB296" i="10"/>
  <c r="AN284" i="10"/>
  <c r="AR297" i="10"/>
  <c r="BK286" i="10"/>
  <c r="AO296" i="10"/>
  <c r="U291" i="10"/>
  <c r="U285" i="10"/>
  <c r="AQ303" i="10"/>
  <c r="AG290" i="10"/>
  <c r="N284" i="10"/>
  <c r="AL285" i="10"/>
  <c r="BD285" i="10"/>
  <c r="AL296" i="10"/>
  <c r="AL286" i="10"/>
  <c r="J302" i="10"/>
  <c r="BH286" i="10"/>
  <c r="V285" i="10"/>
  <c r="BA296" i="10"/>
  <c r="BB303" i="10"/>
  <c r="Y285" i="10"/>
  <c r="BJ296" i="10"/>
  <c r="R287" i="10"/>
  <c r="BK304" i="10"/>
  <c r="BI294" i="10"/>
  <c r="AM295" i="10"/>
  <c r="BC295" i="10"/>
  <c r="BB294" i="10"/>
  <c r="AU305" i="10"/>
  <c r="AL292" i="10"/>
  <c r="BG287" i="10"/>
  <c r="K301" i="10"/>
  <c r="AB292" i="10"/>
  <c r="AW295" i="10"/>
  <c r="BI292" i="10"/>
  <c r="AU294" i="10"/>
  <c r="T301" i="10"/>
  <c r="AA294" i="10"/>
  <c r="R281" i="10"/>
  <c r="W287" i="10"/>
  <c r="AK292" i="10"/>
  <c r="X282" i="10"/>
  <c r="BF289" i="10"/>
  <c r="BB293" i="10"/>
  <c r="BD299" i="10"/>
  <c r="BA300" i="10"/>
  <c r="L283" i="10"/>
  <c r="J298" i="10"/>
  <c r="AE293" i="10"/>
  <c r="AC304" i="10"/>
  <c r="BE288" i="10"/>
  <c r="L289" i="10"/>
  <c r="AM300" i="10"/>
  <c r="X293" i="10"/>
  <c r="U293" i="10"/>
  <c r="BM288" i="10"/>
  <c r="AQ298" i="10"/>
  <c r="AK301" i="10"/>
  <c r="AN299" i="10"/>
  <c r="AG299" i="10"/>
  <c r="AQ292" i="10"/>
  <c r="BH288" i="10"/>
  <c r="O285" i="10"/>
  <c r="AL297" i="10"/>
  <c r="BH290" i="10"/>
  <c r="AH302" i="10"/>
  <c r="W291" i="10"/>
  <c r="I303" i="10"/>
  <c r="AV296" i="10"/>
  <c r="AS284" i="10"/>
  <c r="AK291" i="10"/>
  <c r="AJ286" i="10"/>
  <c r="BE296" i="10"/>
  <c r="R285" i="10"/>
  <c r="BO297" i="10"/>
  <c r="X290" i="10"/>
  <c r="AY302" i="10"/>
  <c r="AT285" i="10"/>
  <c r="AC303" i="10"/>
  <c r="U290" i="10"/>
  <c r="AG302" i="10"/>
  <c r="AH303" i="10"/>
  <c r="Y291" i="10"/>
  <c r="K286" i="10"/>
  <c r="AA296" i="10"/>
  <c r="BJ303" i="10"/>
  <c r="T297" i="10"/>
  <c r="AO303" i="10"/>
  <c r="AO284" i="10"/>
  <c r="T296" i="10"/>
  <c r="AG291" i="10"/>
  <c r="BB296" i="10"/>
  <c r="P297" i="10"/>
  <c r="AI284" i="10"/>
  <c r="AB290" i="10"/>
  <c r="AP303" i="10"/>
  <c r="AK285" i="10"/>
  <c r="BB302" i="10"/>
  <c r="J286" i="10"/>
  <c r="AF303" i="10"/>
  <c r="S285" i="10"/>
  <c r="I296" i="10"/>
  <c r="AA302" i="10"/>
  <c r="BA291" i="10"/>
  <c r="AS296" i="10"/>
  <c r="AY297" i="10"/>
  <c r="AZ284" i="10"/>
  <c r="AS280" i="10"/>
  <c r="AU280" i="10"/>
  <c r="Q280" i="10"/>
  <c r="BM280" i="10"/>
  <c r="AB280" i="10"/>
  <c r="AH294" i="10"/>
  <c r="T295" i="10"/>
  <c r="AR298" i="10"/>
  <c r="AW288" i="10"/>
  <c r="K292" i="10"/>
  <c r="Y288" i="10"/>
  <c r="BJ299" i="10"/>
  <c r="P295" i="10"/>
  <c r="S289" i="10"/>
  <c r="AH299" i="10"/>
  <c r="Q298" i="10"/>
  <c r="H305" i="10"/>
  <c r="AY300" i="10"/>
  <c r="BM297" i="10"/>
  <c r="BC291" i="10"/>
  <c r="H284" i="10"/>
  <c r="J296" i="10"/>
  <c r="AU286" i="10"/>
  <c r="BK297" i="10"/>
  <c r="AQ297" i="10"/>
  <c r="AE296" i="10"/>
  <c r="AD297" i="10"/>
  <c r="X285" i="10"/>
  <c r="I302" i="10"/>
  <c r="H296" i="10"/>
  <c r="AI302" i="10"/>
  <c r="AW290" i="10"/>
  <c r="AV302" i="10"/>
  <c r="AZ296" i="10"/>
  <c r="BD297" i="10"/>
  <c r="AP280" i="10"/>
  <c r="AO280" i="10"/>
  <c r="AQ280" i="10"/>
  <c r="V280" i="10"/>
  <c r="BC280" i="10"/>
  <c r="AW300" i="10"/>
  <c r="AL287" i="10"/>
  <c r="J281" i="10"/>
  <c r="BG293" i="10"/>
  <c r="AZ283" i="10"/>
  <c r="BF293" i="10"/>
  <c r="BL298" i="10"/>
  <c r="L293" i="10"/>
  <c r="H289" i="10"/>
  <c r="L294" i="10"/>
  <c r="BE285" i="10"/>
  <c r="N302" i="10"/>
  <c r="BA290" i="10"/>
  <c r="R286" i="10"/>
  <c r="K297" i="10"/>
  <c r="BI285" i="10"/>
  <c r="AX302" i="10"/>
  <c r="AT286" i="10"/>
  <c r="J291" i="10"/>
  <c r="AT296" i="10"/>
  <c r="AP297" i="10"/>
  <c r="AM297" i="10"/>
  <c r="Z297" i="10"/>
  <c r="AM285" i="10"/>
  <c r="BF285" i="10"/>
  <c r="AC286" i="10"/>
  <c r="AB286" i="10"/>
  <c r="BE280" i="10"/>
  <c r="AG280" i="10"/>
  <c r="AD280" i="10"/>
  <c r="S280" i="10"/>
  <c r="BD280" i="10"/>
  <c r="AX305" i="10"/>
  <c r="AG298" i="10"/>
  <c r="BD289" i="10"/>
  <c r="AM282" i="10"/>
  <c r="AT288" i="10"/>
  <c r="AN283" i="10"/>
  <c r="BN288" i="10"/>
  <c r="BC299" i="10"/>
  <c r="Z283" i="10"/>
  <c r="AX289" i="10"/>
  <c r="BM294" i="10"/>
  <c r="O295" i="10"/>
  <c r="U295" i="10"/>
  <c r="AH295" i="10"/>
  <c r="AC292" i="10"/>
  <c r="AD295" i="10"/>
  <c r="J299" i="10"/>
  <c r="AP293" i="10"/>
  <c r="AC301" i="10"/>
  <c r="I299" i="10"/>
  <c r="AT301" i="10"/>
  <c r="AZ301" i="10"/>
  <c r="AP300" i="10"/>
  <c r="AE297" i="10"/>
  <c r="AC291" i="10"/>
  <c r="BH284" i="10"/>
  <c r="AY296" i="10"/>
  <c r="AX290" i="10"/>
  <c r="BC303" i="10"/>
  <c r="AE303" i="10"/>
  <c r="AW296" i="10"/>
  <c r="H297" i="10"/>
  <c r="S291" i="10"/>
  <c r="BK284" i="10"/>
  <c r="BC285" i="10"/>
  <c r="AS302" i="10"/>
  <c r="AM290" i="10"/>
  <c r="BI284" i="10"/>
  <c r="BH302" i="10"/>
  <c r="BN303" i="10"/>
  <c r="BI280" i="10"/>
  <c r="Y280" i="10"/>
  <c r="T280" i="10"/>
  <c r="H280" i="10"/>
  <c r="AL280" i="10"/>
  <c r="N282" i="10"/>
  <c r="BE304" i="10"/>
  <c r="AA305" i="10"/>
  <c r="S304" i="10"/>
  <c r="AO300" i="10"/>
  <c r="AD298" i="10"/>
  <c r="H293" i="10"/>
  <c r="AQ305" i="10"/>
  <c r="BM298" i="10"/>
  <c r="AI281" i="10"/>
  <c r="AJ301" i="10"/>
  <c r="P299" i="10"/>
  <c r="BI281" i="10"/>
  <c r="AM289" i="10"/>
  <c r="T286" i="10"/>
  <c r="O297" i="10"/>
  <c r="AQ291" i="10"/>
  <c r="AV284" i="10"/>
  <c r="BL296" i="10"/>
  <c r="M286" i="10"/>
  <c r="AS285" i="10"/>
  <c r="BG284" i="10"/>
  <c r="Y296" i="10"/>
  <c r="BB290" i="10"/>
  <c r="AU303" i="10"/>
  <c r="N286" i="10"/>
  <c r="AY284" i="10"/>
  <c r="Q296" i="10"/>
  <c r="BN296" i="10"/>
  <c r="AT284" i="10"/>
  <c r="AW286" i="10"/>
  <c r="L280" i="10"/>
  <c r="U280" i="10"/>
  <c r="X280" i="10"/>
  <c r="P280" i="10"/>
  <c r="AX280" i="10"/>
  <c r="I295" i="10"/>
  <c r="V295" i="10"/>
  <c r="V294" i="10"/>
  <c r="K295" i="10"/>
  <c r="AY305" i="10"/>
  <c r="AF292" i="10"/>
  <c r="AN298" i="10"/>
  <c r="AJ282" i="10"/>
  <c r="K305" i="10"/>
  <c r="V288" i="10"/>
  <c r="M283" i="10"/>
  <c r="S301" i="10"/>
  <c r="AD289" i="10"/>
  <c r="AW283" i="10"/>
  <c r="AI293" i="10"/>
  <c r="AE286" i="10"/>
  <c r="R303" i="10"/>
  <c r="Q291" i="10"/>
  <c r="AB284" i="10"/>
  <c r="BN302" i="10"/>
  <c r="Z286" i="10"/>
  <c r="BB291" i="10"/>
  <c r="BN284" i="10"/>
  <c r="M302" i="10"/>
  <c r="AO290" i="10"/>
  <c r="AS286" i="10"/>
  <c r="BN290" i="10"/>
  <c r="W284" i="10"/>
  <c r="AF284" i="10"/>
  <c r="Z285" i="10"/>
  <c r="AE284" i="10"/>
  <c r="U296" i="10"/>
  <c r="AA280" i="10"/>
  <c r="AM280" i="10"/>
  <c r="AT280" i="10"/>
  <c r="AV280" i="10"/>
  <c r="Z280" i="10"/>
  <c r="V292" i="10"/>
  <c r="BH295" i="10"/>
  <c r="BA294" i="10"/>
  <c r="AV294" i="10"/>
  <c r="AM301" i="10"/>
  <c r="AY292" i="10"/>
  <c r="BF288" i="10"/>
  <c r="BE282" i="10"/>
  <c r="AV301" i="10"/>
  <c r="N281" i="10"/>
  <c r="BG288" i="10"/>
  <c r="M293" i="10"/>
  <c r="BE298" i="10"/>
  <c r="AP283" i="10"/>
  <c r="M298" i="10"/>
  <c r="AA286" i="10"/>
  <c r="AJ303" i="10"/>
  <c r="BF291" i="10"/>
  <c r="BC284" i="10"/>
  <c r="AN302" i="10"/>
  <c r="Z290" i="10"/>
  <c r="Z291" i="10"/>
  <c r="BA284" i="10"/>
  <c r="O302" i="10"/>
  <c r="H290" i="10"/>
  <c r="AG286" i="10"/>
  <c r="AA290" i="10"/>
  <c r="I284" i="10"/>
  <c r="O291" i="10"/>
  <c r="K285" i="10"/>
  <c r="BA285" i="10"/>
  <c r="AW302" i="10"/>
  <c r="AJ280" i="10"/>
  <c r="AY280" i="10"/>
  <c r="AE280" i="10"/>
  <c r="BL280" i="10"/>
  <c r="BM295" i="10"/>
  <c r="BG295" i="10"/>
  <c r="BC305" i="10"/>
  <c r="BJ301" i="10"/>
  <c r="AG292" i="10"/>
  <c r="AG288" i="10"/>
  <c r="V300" i="10"/>
  <c r="AC293" i="10"/>
  <c r="BN301" i="10"/>
  <c r="AG283" i="10"/>
  <c r="Y293" i="10"/>
  <c r="P298" i="10"/>
  <c r="R283" i="10"/>
  <c r="AY298" i="10"/>
  <c r="BL290" i="10"/>
  <c r="Y303" i="10"/>
  <c r="AB291" i="10"/>
  <c r="AG284" i="10"/>
  <c r="AM302" i="10"/>
  <c r="BG290" i="10"/>
  <c r="AJ291" i="10"/>
  <c r="BE284" i="10"/>
  <c r="Y284" i="10"/>
  <c r="S296" i="10"/>
  <c r="L290" i="10"/>
  <c r="P290" i="10"/>
  <c r="BI286" i="10"/>
  <c r="S303" i="10"/>
  <c r="L297" i="10"/>
  <c r="M285" i="10"/>
  <c r="AK284" i="10"/>
  <c r="AN280" i="10"/>
  <c r="AF280" i="10"/>
  <c r="BB280" i="10"/>
  <c r="J280" i="10"/>
  <c r="J295" i="10"/>
  <c r="AO294" i="10"/>
  <c r="AD300" i="10"/>
  <c r="AO282" i="10"/>
  <c r="S298" i="10"/>
  <c r="BL300" i="10"/>
  <c r="AF305" i="10"/>
  <c r="BG281" i="10"/>
  <c r="AZ281" i="10"/>
  <c r="AA283" i="10"/>
  <c r="AX288" i="10"/>
  <c r="W283" i="10"/>
  <c r="BN281" i="10"/>
  <c r="BE289" i="10"/>
  <c r="R296" i="10"/>
  <c r="AV290" i="10"/>
  <c r="AW303" i="10"/>
  <c r="AY291" i="10"/>
  <c r="AQ285" i="10"/>
  <c r="AP302" i="10"/>
  <c r="Q303" i="10"/>
  <c r="L285" i="10"/>
  <c r="AM286" i="10"/>
  <c r="AD291" i="10"/>
  <c r="X291" i="10"/>
  <c r="BC296" i="10"/>
  <c r="M290" i="10"/>
  <c r="BL286" i="10"/>
  <c r="AV303" i="10"/>
  <c r="AV285" i="10"/>
  <c r="Y302" i="10"/>
  <c r="AZ280" i="10"/>
  <c r="AI280" i="10"/>
  <c r="AW280" i="10"/>
  <c r="BK280" i="10"/>
  <c r="AN295" i="10"/>
  <c r="AJ305" i="10"/>
  <c r="AM292" i="10"/>
  <c r="J282" i="10"/>
  <c r="BO298" i="10"/>
  <c r="Z300" i="10"/>
  <c r="BL293" i="10"/>
  <c r="T281" i="10"/>
  <c r="BF283" i="10"/>
  <c r="BC283" i="10"/>
  <c r="I288" i="10"/>
  <c r="Z299" i="10"/>
  <c r="T289" i="10"/>
  <c r="X298" i="10"/>
  <c r="Q302" i="10"/>
  <c r="AP290" i="10"/>
  <c r="BF303" i="10"/>
  <c r="AI291" i="10"/>
  <c r="N285" i="10"/>
  <c r="P302" i="10"/>
  <c r="AY303" i="10"/>
  <c r="AP291" i="10"/>
  <c r="AQ290" i="10"/>
  <c r="I291" i="10"/>
  <c r="AH291" i="10"/>
  <c r="BE291" i="10"/>
  <c r="AC296" i="10"/>
  <c r="Y290" i="10"/>
  <c r="H303" i="10"/>
  <c r="AX291" i="10"/>
  <c r="T302" i="10"/>
  <c r="BJ280" i="10"/>
  <c r="I280" i="10"/>
  <c r="BN280" i="10"/>
  <c r="W280" i="10"/>
  <c r="AW287" i="10"/>
  <c r="AI295" i="10"/>
  <c r="AW292" i="10"/>
  <c r="BJ300" i="10"/>
  <c r="BA298" i="10"/>
  <c r="BH292" i="10"/>
  <c r="AO293" i="10"/>
  <c r="BO281" i="10"/>
  <c r="BI299" i="10"/>
  <c r="AO299" i="10"/>
  <c r="X301" i="10"/>
  <c r="H299" i="10"/>
  <c r="BP299" i="10" s="1"/>
  <c r="N288" i="10"/>
  <c r="BE292" i="10"/>
  <c r="AQ302" i="10"/>
  <c r="O290" i="10"/>
  <c r="BK303" i="10"/>
  <c r="AK297" i="10"/>
  <c r="AX285" i="10"/>
  <c r="BE302" i="10"/>
  <c r="AT303" i="10"/>
  <c r="T291" i="10"/>
  <c r="AF290" i="10"/>
  <c r="Y297" i="10"/>
  <c r="AX297" i="10"/>
  <c r="AJ297" i="10"/>
  <c r="AQ284" i="10"/>
  <c r="L296" i="10"/>
  <c r="U286" i="10"/>
  <c r="BG297" i="10"/>
  <c r="Q285" i="10"/>
  <c r="BG280" i="10"/>
  <c r="R280" i="10"/>
  <c r="AH280" i="10"/>
  <c r="BO280" i="10"/>
  <c r="AF304" i="10"/>
  <c r="BM283" i="10"/>
  <c r="AZ290" i="10"/>
  <c r="BB284" i="10"/>
  <c r="AK290" i="10"/>
  <c r="M280" i="10"/>
  <c r="L298" i="10"/>
  <c r="AJ296" i="10"/>
  <c r="AP285" i="10"/>
  <c r="S290" i="10"/>
  <c r="K280" i="10"/>
  <c r="AU304" i="10"/>
  <c r="AA287" i="10"/>
  <c r="AO286" i="10"/>
  <c r="Z296" i="10"/>
  <c r="AR284" i="10"/>
  <c r="AF286" i="10"/>
  <c r="BJ288" i="10"/>
  <c r="BF304" i="10"/>
  <c r="W304" i="10"/>
  <c r="S286" i="10"/>
  <c r="BM302" i="10"/>
  <c r="AO285" i="10"/>
  <c r="AU295" i="10"/>
  <c r="W282" i="10"/>
  <c r="AS297" i="10"/>
  <c r="N296" i="10"/>
  <c r="AR280" i="10"/>
  <c r="BC298" i="10"/>
  <c r="BC282" i="10"/>
  <c r="V297" i="10"/>
  <c r="W285" i="10"/>
  <c r="BA280" i="10"/>
  <c r="BA283" i="10"/>
  <c r="AU285" i="10"/>
  <c r="Z298" i="10"/>
  <c r="AU291" i="10"/>
  <c r="AV297" i="10"/>
  <c r="AI303" i="10"/>
  <c r="BH280" i="10"/>
  <c r="BL285" i="10"/>
  <c r="BK302" i="10"/>
  <c r="AA292" i="10"/>
  <c r="AU297" i="10"/>
  <c r="I297" i="10"/>
  <c r="AA303" i="10"/>
  <c r="O280" i="10"/>
  <c r="AU296" i="10"/>
  <c r="AN288" i="10"/>
  <c r="J285" i="10"/>
  <c r="AD290" i="10"/>
  <c r="I286" i="10"/>
  <c r="AC280" i="10"/>
  <c r="BF280" i="10"/>
  <c r="AC290" i="10"/>
  <c r="AK280" i="10"/>
  <c r="O294" i="10"/>
  <c r="BJ302" i="10"/>
  <c r="BG291" i="10"/>
  <c r="AI296" i="10"/>
  <c r="N280" i="10"/>
  <c r="BP303" i="10" l="1"/>
  <c r="BP290" i="10"/>
  <c r="BP293" i="10"/>
  <c r="BP280" i="10"/>
  <c r="BP297" i="10"/>
  <c r="BP289" i="10"/>
  <c r="BP296" i="10"/>
  <c r="BP284" i="10"/>
  <c r="BP305" i="10"/>
  <c r="BP285" i="10"/>
  <c r="BP288" i="10"/>
  <c r="BP282" i="10"/>
  <c r="BP300" i="10"/>
  <c r="BP286" i="10"/>
  <c r="BP302" i="10"/>
  <c r="BP291" i="10"/>
  <c r="BP295" i="10"/>
  <c r="BP298" i="10"/>
  <c r="BP292" i="10"/>
  <c r="BP283" i="10"/>
  <c r="BP304" i="10"/>
  <c r="BP287" i="10"/>
  <c r="BP281" i="10"/>
  <c r="BP301" i="10"/>
  <c r="BP294" i="10"/>
  <c r="BP244" i="10"/>
  <c r="BP273" i="10"/>
  <c r="F309" i="10" a="1"/>
  <c r="F310" i="10" a="1"/>
  <c r="G322" i="10" s="1" a="1"/>
  <c r="G322" i="10" s="1"/>
  <c r="E26" i="11"/>
  <c r="D26" i="11" s="1"/>
  <c r="H97" i="10"/>
  <c r="H99" i="10" s="1"/>
  <c r="I99" i="10"/>
  <c r="U99" i="10"/>
  <c r="AG99" i="10"/>
  <c r="AS99" i="10"/>
  <c r="BE99" i="10"/>
  <c r="AP99" i="10"/>
  <c r="AQ99" i="10"/>
  <c r="AF99" i="10"/>
  <c r="J99" i="10"/>
  <c r="V99" i="10"/>
  <c r="AH99" i="10"/>
  <c r="AT99" i="10"/>
  <c r="BF99" i="10"/>
  <c r="K99" i="10"/>
  <c r="AI99" i="10"/>
  <c r="AU99" i="10"/>
  <c r="BG99" i="10"/>
  <c r="Q99" i="10"/>
  <c r="BB99" i="10"/>
  <c r="AE99" i="10"/>
  <c r="BD99" i="10"/>
  <c r="W99" i="10"/>
  <c r="AD99" i="10"/>
  <c r="BC99" i="10"/>
  <c r="AR99" i="10"/>
  <c r="L99" i="10"/>
  <c r="X99" i="10"/>
  <c r="AJ99" i="10"/>
  <c r="AV99" i="10"/>
  <c r="BH99" i="10"/>
  <c r="M99" i="10"/>
  <c r="Y99" i="10"/>
  <c r="AK99" i="10"/>
  <c r="AW99" i="10"/>
  <c r="BI99" i="10"/>
  <c r="N99" i="10"/>
  <c r="Z99" i="10"/>
  <c r="AL99" i="10"/>
  <c r="AX99" i="10"/>
  <c r="BJ99" i="10"/>
  <c r="O99" i="10"/>
  <c r="AA99" i="10"/>
  <c r="AM99" i="10"/>
  <c r="AY99" i="10"/>
  <c r="BK99" i="10"/>
  <c r="P99" i="10"/>
  <c r="AB99" i="10"/>
  <c r="AN99" i="10"/>
  <c r="AZ99" i="10"/>
  <c r="BL99" i="10"/>
  <c r="AC99" i="10"/>
  <c r="AO99" i="10"/>
  <c r="BA99" i="10"/>
  <c r="BM99" i="10"/>
  <c r="R99" i="10"/>
  <c r="BN99" i="10"/>
  <c r="S99" i="10"/>
  <c r="BO99" i="10"/>
  <c r="T99" i="10"/>
  <c r="F435" i="10" a="1"/>
  <c r="F435" i="10" s="1"/>
  <c r="F432" i="10"/>
  <c r="N306" i="10"/>
  <c r="AM306" i="10"/>
  <c r="T306" i="10"/>
  <c r="AW306" i="10"/>
  <c r="W306" i="10"/>
  <c r="AJ306" i="10"/>
  <c r="AN306" i="10"/>
  <c r="AA306" i="10"/>
  <c r="O306" i="10"/>
  <c r="K306" i="10"/>
  <c r="AH306" i="10"/>
  <c r="I306" i="10"/>
  <c r="AZ306" i="10"/>
  <c r="AB306" i="10"/>
  <c r="R306" i="10"/>
  <c r="BC306" i="10"/>
  <c r="BM306" i="10"/>
  <c r="AE306" i="10"/>
  <c r="AX306" i="10"/>
  <c r="AL306" i="10"/>
  <c r="AG306" i="10"/>
  <c r="G321" i="10" a="1"/>
  <c r="BK306" i="10"/>
  <c r="BB306" i="10"/>
  <c r="AY306" i="10"/>
  <c r="AT306" i="10"/>
  <c r="P306" i="10"/>
  <c r="H306" i="10"/>
  <c r="BE306" i="10"/>
  <c r="AW421" i="10"/>
  <c r="AF421" i="10"/>
  <c r="BI421" i="10"/>
  <c r="AH421" i="10"/>
  <c r="Y421" i="10"/>
  <c r="J421" i="10"/>
  <c r="BE421" i="10"/>
  <c r="V421" i="10"/>
  <c r="P421" i="10"/>
  <c r="AI421" i="10"/>
  <c r="AZ421" i="10"/>
  <c r="L421" i="10"/>
  <c r="I421" i="10"/>
  <c r="BC421" i="10"/>
  <c r="AE421" i="10"/>
  <c r="AU421" i="10"/>
  <c r="BH421" i="10"/>
  <c r="BB421" i="10"/>
  <c r="BG421" i="10"/>
  <c r="BF421" i="10"/>
  <c r="AG421" i="10"/>
  <c r="AD421" i="10"/>
  <c r="AM421" i="10"/>
  <c r="BD421" i="10"/>
  <c r="Q421" i="10"/>
  <c r="AX421" i="10"/>
  <c r="X421" i="10"/>
  <c r="AJ421" i="10"/>
  <c r="N421" i="10"/>
  <c r="O421" i="10"/>
  <c r="AQ421" i="10"/>
  <c r="U421" i="10"/>
  <c r="H421" i="10"/>
  <c r="AV421" i="10"/>
  <c r="AL421" i="10"/>
  <c r="AR421" i="10"/>
  <c r="BM421" i="10"/>
  <c r="BL421" i="10"/>
  <c r="AA421" i="10"/>
  <c r="AC421" i="10"/>
  <c r="BA421" i="10"/>
  <c r="AY421" i="10"/>
  <c r="W421" i="10"/>
  <c r="BJ421" i="10"/>
  <c r="M421" i="10"/>
  <c r="BO421" i="10"/>
  <c r="T421" i="10"/>
  <c r="AK421" i="10"/>
  <c r="R421" i="10"/>
  <c r="AP421" i="10"/>
  <c r="S421" i="10"/>
  <c r="AT421" i="10"/>
  <c r="BN421" i="10"/>
  <c r="Z421" i="10"/>
  <c r="AS421" i="10"/>
  <c r="AN421" i="10"/>
  <c r="AB421" i="10"/>
  <c r="AO421" i="10"/>
  <c r="K421" i="10"/>
  <c r="BK421" i="10"/>
  <c r="G395" i="10"/>
  <c r="G421" i="10" s="1"/>
  <c r="BA306" i="10"/>
  <c r="BG306" i="10"/>
  <c r="V306" i="10"/>
  <c r="Q306" i="10"/>
  <c r="AQ306" i="10"/>
  <c r="AU306" i="10"/>
  <c r="G303" i="10"/>
  <c r="G292" i="10"/>
  <c r="G286" i="10"/>
  <c r="G294" i="10"/>
  <c r="G291" i="10"/>
  <c r="G302" i="10"/>
  <c r="G287" i="10"/>
  <c r="G280" i="10"/>
  <c r="G305" i="10"/>
  <c r="G304" i="10"/>
  <c r="G296" i="10"/>
  <c r="G299" i="10"/>
  <c r="G301" i="10"/>
  <c r="G285" i="10"/>
  <c r="G288" i="10"/>
  <c r="G282" i="10"/>
  <c r="G293" i="10"/>
  <c r="G289" i="10"/>
  <c r="G297" i="10"/>
  <c r="G295" i="10"/>
  <c r="G281" i="10"/>
  <c r="G290" i="10"/>
  <c r="G300" i="10"/>
  <c r="G298" i="10"/>
  <c r="G284" i="10"/>
  <c r="G283" i="10"/>
  <c r="BO306" i="10"/>
  <c r="AK306" i="10"/>
  <c r="AO306" i="10"/>
  <c r="AS306" i="10"/>
  <c r="M306" i="10"/>
  <c r="BD306" i="10"/>
  <c r="AP306" i="10"/>
  <c r="AF306" i="10"/>
  <c r="AI306" i="10"/>
  <c r="U306" i="10"/>
  <c r="F309" i="10"/>
  <c r="BF306" i="10"/>
  <c r="AC306" i="10"/>
  <c r="S306" i="10"/>
  <c r="Y306" i="10"/>
  <c r="L306" i="10"/>
  <c r="BJ306" i="10"/>
  <c r="BH306" i="10"/>
  <c r="AR306" i="10"/>
  <c r="BL306" i="10"/>
  <c r="Z306" i="10"/>
  <c r="AD306" i="10"/>
  <c r="X306" i="10"/>
  <c r="BN306" i="10"/>
  <c r="BI306" i="10"/>
  <c r="J306" i="10"/>
  <c r="AV306" i="10"/>
  <c r="F433" i="10" a="1"/>
  <c r="F433" i="10" s="1"/>
  <c r="BP306" i="10" l="1"/>
  <c r="F310" i="10"/>
  <c r="H23" i="10" a="1"/>
  <c r="H23" i="10" s="1"/>
  <c r="H26" i="10" s="1"/>
  <c r="H518" i="10" a="1"/>
  <c r="H518" i="10" s="1"/>
  <c r="H36" i="10" a="1"/>
  <c r="H36" i="10" s="1"/>
  <c r="U26" i="10"/>
  <c r="AG26" i="10"/>
  <c r="AS26" i="10"/>
  <c r="BE26" i="10"/>
  <c r="S26" i="10"/>
  <c r="AR26" i="10"/>
  <c r="V26" i="10"/>
  <c r="AP26" i="10"/>
  <c r="AJ26" i="10"/>
  <c r="AY26" i="10"/>
  <c r="P26" i="10"/>
  <c r="AE26" i="10"/>
  <c r="AA26" i="10"/>
  <c r="AC26" i="10"/>
  <c r="R26" i="10"/>
  <c r="Z26" i="10"/>
  <c r="AL26" i="10"/>
  <c r="G306" i="10"/>
  <c r="F311" i="10" s="1" a="1"/>
  <c r="H17" i="10" s="1" a="1"/>
  <c r="G321" i="10"/>
  <c r="G323" i="10" s="1"/>
  <c r="AW323" i="10"/>
  <c r="BC323" i="10"/>
  <c r="AQ323" i="10"/>
  <c r="S323" i="10"/>
  <c r="AT323" i="10"/>
  <c r="AV323" i="10"/>
  <c r="N323" i="10"/>
  <c r="BA323" i="10"/>
  <c r="P323" i="10"/>
  <c r="AA323" i="10"/>
  <c r="BO323" i="10"/>
  <c r="BK323" i="10"/>
  <c r="AE323" i="10"/>
  <c r="Y323" i="10"/>
  <c r="BF323" i="10"/>
  <c r="AX323" i="10"/>
  <c r="BM323" i="10"/>
  <c r="BD323" i="10"/>
  <c r="AM323" i="10"/>
  <c r="V323" i="10"/>
  <c r="AD323" i="10"/>
  <c r="I323" i="10"/>
  <c r="BN323" i="10"/>
  <c r="BJ323" i="10"/>
  <c r="BL323" i="10"/>
  <c r="BH323" i="10"/>
  <c r="AH323" i="10"/>
  <c r="AS323" i="10"/>
  <c r="AP323" i="10"/>
  <c r="AL323" i="10"/>
  <c r="AN323" i="10"/>
  <c r="AJ323" i="10"/>
  <c r="J323" i="10"/>
  <c r="AO323" i="10"/>
  <c r="AR323" i="10"/>
  <c r="BI323" i="10"/>
  <c r="AI323" i="10"/>
  <c r="AF323" i="10"/>
  <c r="AC323" i="10"/>
  <c r="T323" i="10"/>
  <c r="W323" i="10"/>
  <c r="H323" i="10"/>
  <c r="Q323" i="10"/>
  <c r="AK323" i="10"/>
  <c r="K323" i="10"/>
  <c r="O323" i="10"/>
  <c r="M323" i="10"/>
  <c r="BB323" i="10"/>
  <c r="AZ323" i="10"/>
  <c r="Z323" i="10"/>
  <c r="AB323" i="10"/>
  <c r="X323" i="10"/>
  <c r="BE323" i="10"/>
  <c r="R323" i="10"/>
  <c r="L323" i="10"/>
  <c r="AG323" i="10"/>
  <c r="AY323" i="10"/>
  <c r="BG323" i="10"/>
  <c r="U323" i="10"/>
  <c r="AU323" i="10"/>
  <c r="F434" i="10" a="1"/>
  <c r="F434" i="10" s="1"/>
  <c r="X26" i="10" l="1"/>
  <c r="BJ26" i="10"/>
  <c r="L26" i="10"/>
  <c r="AX26" i="10"/>
  <c r="AF26" i="10"/>
  <c r="AW26" i="10"/>
  <c r="BB26" i="10"/>
  <c r="O26" i="10"/>
  <c r="AK26" i="10"/>
  <c r="W26" i="10"/>
  <c r="AQ26" i="10"/>
  <c r="Y26" i="10"/>
  <c r="K26" i="10"/>
  <c r="AZ26" i="10"/>
  <c r="M26" i="10"/>
  <c r="T26" i="10"/>
  <c r="AM26" i="10"/>
  <c r="BD26" i="10"/>
  <c r="BO26" i="10"/>
  <c r="BM26" i="10"/>
  <c r="BA26" i="10"/>
  <c r="N26" i="10"/>
  <c r="AD26" i="10"/>
  <c r="AO26" i="10"/>
  <c r="AB26" i="10"/>
  <c r="I26" i="10"/>
  <c r="BC26" i="10"/>
  <c r="BL26" i="10"/>
  <c r="AN26" i="10"/>
  <c r="BF26" i="10"/>
  <c r="BK26" i="10"/>
  <c r="AT26" i="10"/>
  <c r="BG26" i="10"/>
  <c r="AH26" i="10"/>
  <c r="BN26" i="10"/>
  <c r="BH26" i="10"/>
  <c r="AU26" i="10"/>
  <c r="Q26" i="10"/>
  <c r="BI26" i="10"/>
  <c r="AV26" i="10"/>
  <c r="AI26" i="10"/>
  <c r="J26" i="10"/>
  <c r="H31" i="10" a="1"/>
  <c r="AD312" i="10"/>
  <c r="N312" i="10"/>
  <c r="AC312" i="10"/>
  <c r="I312" i="10"/>
  <c r="H17" i="10"/>
  <c r="H20" i="10" s="1"/>
  <c r="I20" i="10"/>
  <c r="U20" i="10"/>
  <c r="AG20" i="10"/>
  <c r="AS20" i="10"/>
  <c r="BE20" i="10"/>
  <c r="T20" i="10"/>
  <c r="AR20" i="10"/>
  <c r="J20" i="10"/>
  <c r="V20" i="10"/>
  <c r="AH20" i="10"/>
  <c r="AT20" i="10"/>
  <c r="BF20" i="10"/>
  <c r="AZ20" i="10"/>
  <c r="Q20" i="10"/>
  <c r="BN20" i="10"/>
  <c r="K20" i="10"/>
  <c r="W20" i="10"/>
  <c r="AI20" i="10"/>
  <c r="AU20" i="10"/>
  <c r="BG20" i="10"/>
  <c r="AM20" i="10"/>
  <c r="P20" i="10"/>
  <c r="BA20" i="10"/>
  <c r="AD20" i="10"/>
  <c r="L20" i="10"/>
  <c r="X20" i="10"/>
  <c r="AJ20" i="10"/>
  <c r="AV20" i="10"/>
  <c r="BH20" i="10"/>
  <c r="AY20" i="10"/>
  <c r="AB20" i="10"/>
  <c r="S20" i="10"/>
  <c r="AE20" i="10"/>
  <c r="AQ20" i="10"/>
  <c r="BO20" i="10"/>
  <c r="M20" i="10"/>
  <c r="Y20" i="10"/>
  <c r="AK20" i="10"/>
  <c r="AW20" i="10"/>
  <c r="BI20" i="10"/>
  <c r="O20" i="10"/>
  <c r="AA20" i="10"/>
  <c r="BL20" i="10"/>
  <c r="AO20" i="10"/>
  <c r="BM20" i="10"/>
  <c r="R20" i="10"/>
  <c r="BB20" i="10"/>
  <c r="BC20" i="10"/>
  <c r="AF20" i="10"/>
  <c r="N20" i="10"/>
  <c r="Z20" i="10"/>
  <c r="AL20" i="10"/>
  <c r="AX20" i="10"/>
  <c r="BJ20" i="10"/>
  <c r="BK20" i="10"/>
  <c r="AN20" i="10"/>
  <c r="AC20" i="10"/>
  <c r="AP20" i="10"/>
  <c r="BD20" i="10"/>
  <c r="AN312" i="10"/>
  <c r="V312" i="10"/>
  <c r="Y312" i="10"/>
  <c r="AH312" i="10"/>
  <c r="AV312" i="10"/>
  <c r="AJ312" i="10"/>
  <c r="AS312" i="10"/>
  <c r="AM312" i="10"/>
  <c r="AU312" i="10"/>
  <c r="AL312" i="10"/>
  <c r="H312" i="10"/>
  <c r="Z312" i="10"/>
  <c r="BH312" i="10"/>
  <c r="Q312" i="10"/>
  <c r="U312" i="10"/>
  <c r="BE312" i="10"/>
  <c r="M312" i="10"/>
  <c r="O312" i="10"/>
  <c r="BI312" i="10"/>
  <c r="BC312" i="10"/>
  <c r="BD312" i="10"/>
  <c r="AQ312" i="10"/>
  <c r="BF312" i="10"/>
  <c r="L312" i="10"/>
  <c r="AZ312" i="10"/>
  <c r="AT312" i="10"/>
  <c r="AX312" i="10"/>
  <c r="AK312" i="10"/>
  <c r="AG312" i="10"/>
  <c r="BB312" i="10"/>
  <c r="AB312" i="10"/>
  <c r="BN312" i="10"/>
  <c r="AI312" i="10"/>
  <c r="AW312" i="10"/>
  <c r="AR312" i="10"/>
  <c r="AP312" i="10"/>
  <c r="AE312" i="10"/>
  <c r="P312" i="10"/>
  <c r="BK312" i="10"/>
  <c r="BA312" i="10"/>
  <c r="AA312" i="10"/>
  <c r="K312" i="10"/>
  <c r="W312" i="10"/>
  <c r="F311" i="10"/>
  <c r="BM312" i="10"/>
  <c r="AY312" i="10"/>
  <c r="R312" i="10"/>
  <c r="J312" i="10"/>
  <c r="T312" i="10"/>
  <c r="X312" i="10"/>
  <c r="BJ312" i="10"/>
  <c r="BL312" i="10"/>
  <c r="AF312" i="10"/>
  <c r="G312" i="10"/>
  <c r="BG312" i="10"/>
  <c r="AO312" i="10"/>
  <c r="BO312" i="10"/>
  <c r="S312" i="10"/>
  <c r="F431" i="10" a="1"/>
  <c r="C6" i="13" l="1"/>
  <c r="E16" i="11"/>
  <c r="D16" i="11" s="1"/>
  <c r="H31" i="10"/>
  <c r="H34" i="10" s="1"/>
  <c r="BE34" i="10"/>
  <c r="AS34" i="10"/>
  <c r="AG34" i="10"/>
  <c r="U34" i="10"/>
  <c r="I34" i="10"/>
  <c r="BD34" i="10"/>
  <c r="AR34" i="10"/>
  <c r="AF34" i="10"/>
  <c r="T34" i="10"/>
  <c r="BJ34" i="10"/>
  <c r="AV34" i="10"/>
  <c r="W34" i="10"/>
  <c r="AH34" i="10"/>
  <c r="J34" i="10"/>
  <c r="BO34" i="10"/>
  <c r="BC34" i="10"/>
  <c r="AQ34" i="10"/>
  <c r="AE34" i="10"/>
  <c r="S34" i="10"/>
  <c r="AL34" i="10"/>
  <c r="Y34" i="10"/>
  <c r="BH34" i="10"/>
  <c r="AI34" i="10"/>
  <c r="AT34" i="10"/>
  <c r="V34" i="10"/>
  <c r="BN34" i="10"/>
  <c r="BB34" i="10"/>
  <c r="AP34" i="10"/>
  <c r="AD34" i="10"/>
  <c r="R34" i="10"/>
  <c r="AX34" i="10"/>
  <c r="AJ34" i="10"/>
  <c r="AU34" i="10"/>
  <c r="K34" i="10"/>
  <c r="BF34" i="10"/>
  <c r="BM34" i="10"/>
  <c r="BA34" i="10"/>
  <c r="AO34" i="10"/>
  <c r="AC34" i="10"/>
  <c r="Q34" i="10"/>
  <c r="Z34" i="10"/>
  <c r="BI34" i="10"/>
  <c r="M34" i="10"/>
  <c r="BL34" i="10"/>
  <c r="AZ34" i="10"/>
  <c r="AN34" i="10"/>
  <c r="AB34" i="10"/>
  <c r="P34" i="10"/>
  <c r="N34" i="10"/>
  <c r="AK34" i="10"/>
  <c r="X34" i="10"/>
  <c r="BG34" i="10"/>
  <c r="BK34" i="10"/>
  <c r="AY34" i="10"/>
  <c r="AM34" i="10"/>
  <c r="AA34" i="10"/>
  <c r="O34" i="10"/>
  <c r="AW34" i="10"/>
  <c r="L34" i="10"/>
  <c r="H28" i="10" a="1"/>
  <c r="H448" i="10" a="1"/>
  <c r="F431" i="10"/>
  <c r="G436" i="10"/>
  <c r="BG436" i="10"/>
  <c r="BA436" i="10"/>
  <c r="BF436" i="10"/>
  <c r="AF436" i="10"/>
  <c r="BI436" i="10"/>
  <c r="AD436" i="10"/>
  <c r="S436" i="10"/>
  <c r="H436" i="10"/>
  <c r="BO436" i="10"/>
  <c r="AX436" i="10"/>
  <c r="N436" i="10"/>
  <c r="AE436" i="10"/>
  <c r="Q436" i="10"/>
  <c r="Z436" i="10"/>
  <c r="BM436" i="10"/>
  <c r="BD436" i="10"/>
  <c r="I436" i="10"/>
  <c r="V436" i="10"/>
  <c r="T436" i="10"/>
  <c r="BK436" i="10"/>
  <c r="J436" i="10"/>
  <c r="AN436" i="10"/>
  <c r="AW436" i="10"/>
  <c r="AP436" i="10"/>
  <c r="AT436" i="10"/>
  <c r="P436" i="10"/>
  <c r="AV436" i="10"/>
  <c r="AC436" i="10"/>
  <c r="AY436" i="10"/>
  <c r="BE436" i="10"/>
  <c r="AI436" i="10"/>
  <c r="L436" i="10"/>
  <c r="X436" i="10"/>
  <c r="U436" i="10"/>
  <c r="AG436" i="10"/>
  <c r="AL436" i="10"/>
  <c r="AM436" i="10"/>
  <c r="AS436" i="10"/>
  <c r="AA436" i="10"/>
  <c r="AU436" i="10"/>
  <c r="AZ436" i="10"/>
  <c r="AJ436" i="10"/>
  <c r="BJ436" i="10"/>
  <c r="BN436" i="10"/>
  <c r="Y436" i="10"/>
  <c r="BL436" i="10"/>
  <c r="AR436" i="10"/>
  <c r="AH436" i="10"/>
  <c r="BH436" i="10"/>
  <c r="W436" i="10"/>
  <c r="K436" i="10"/>
  <c r="AK436" i="10"/>
  <c r="BC436" i="10"/>
  <c r="R436" i="10"/>
  <c r="AQ436" i="10"/>
  <c r="M436" i="10"/>
  <c r="O436" i="10"/>
  <c r="AO436" i="10"/>
  <c r="BB436" i="10"/>
  <c r="AB436" i="10"/>
  <c r="H450" i="10" l="1" a="1"/>
  <c r="C23" i="13"/>
  <c r="C22" i="13"/>
  <c r="H448" i="10"/>
  <c r="H58" i="10" s="1" a="1"/>
  <c r="H28" i="10"/>
  <c r="H38" i="10" s="1" a="1"/>
  <c r="BO39" i="10" l="1"/>
  <c r="BN39" i="10"/>
  <c r="BM39" i="10"/>
  <c r="BL39" i="10"/>
  <c r="BK39" i="10"/>
  <c r="BJ39" i="10"/>
  <c r="BI39" i="10"/>
  <c r="BH39" i="10"/>
  <c r="BG39" i="10"/>
  <c r="BF39" i="10"/>
  <c r="BE39" i="10"/>
  <c r="BD39" i="10"/>
  <c r="BC39" i="10"/>
  <c r="BB39" i="10"/>
  <c r="BA39" i="10"/>
  <c r="AZ39" i="10"/>
  <c r="AY39" i="10"/>
  <c r="AX39" i="10"/>
  <c r="AW39" i="10"/>
  <c r="AV39" i="10"/>
  <c r="AU39" i="10"/>
  <c r="AT39" i="10"/>
  <c r="AS39" i="10"/>
  <c r="AR39" i="10"/>
  <c r="AQ39" i="10"/>
  <c r="AP39" i="10"/>
  <c r="AO39" i="10"/>
  <c r="AN39" i="10"/>
  <c r="AM39" i="10"/>
  <c r="AL39" i="10"/>
  <c r="AK39" i="10"/>
  <c r="AJ39" i="10"/>
  <c r="AI39" i="10"/>
  <c r="AH39" i="10"/>
  <c r="AG39" i="10"/>
  <c r="AF39" i="10"/>
  <c r="AE39" i="10"/>
  <c r="AD39" i="10"/>
  <c r="AC39" i="10"/>
  <c r="AB39" i="10"/>
  <c r="AA39" i="10"/>
  <c r="Z39" i="10"/>
  <c r="Y39" i="10"/>
  <c r="X39" i="10"/>
  <c r="W39" i="10"/>
  <c r="V39" i="10"/>
  <c r="U39" i="10"/>
  <c r="T39" i="10"/>
  <c r="S39" i="10"/>
  <c r="R39" i="10"/>
  <c r="Q39" i="10"/>
  <c r="P39" i="10"/>
  <c r="O39" i="10"/>
  <c r="N39" i="10"/>
  <c r="M39" i="10"/>
  <c r="L39" i="10"/>
  <c r="K39" i="10"/>
  <c r="J39" i="10"/>
  <c r="I39" i="10"/>
  <c r="H450" i="10"/>
  <c r="H71" i="10" s="1" a="1"/>
  <c r="H71" i="10" s="1"/>
  <c r="E25" i="11"/>
  <c r="D25" i="11" s="1"/>
  <c r="H58" i="10"/>
  <c r="H38" i="10"/>
  <c r="E20" i="11" l="1"/>
  <c r="D20" i="11" s="1"/>
  <c r="C7" i="13"/>
  <c r="C8" i="13" s="1"/>
  <c r="H39" i="10"/>
  <c r="E23" i="11"/>
  <c r="D23" i="11" s="1"/>
  <c r="I476" i="10"/>
  <c r="I479" i="10" s="1"/>
  <c r="J476" i="10" l="1"/>
  <c r="J479" i="10" s="1"/>
  <c r="K476" i="10" s="1"/>
  <c r="K479" i="10" s="1"/>
  <c r="L476" i="10" s="1"/>
  <c r="L479" i="10" s="1"/>
  <c r="M476" i="10" s="1"/>
  <c r="M479" i="10" s="1"/>
  <c r="N476" i="10" s="1"/>
  <c r="N479" i="10" s="1"/>
  <c r="O476" i="10" s="1"/>
  <c r="O479" i="10" s="1"/>
  <c r="P476" i="10" s="1"/>
  <c r="P479" i="10" s="1"/>
  <c r="Q476" i="10" s="1"/>
  <c r="Q479" i="10" s="1"/>
  <c r="R476" i="10" s="1"/>
  <c r="R479" i="10" s="1"/>
  <c r="S476" i="10" s="1"/>
  <c r="S479" i="10" s="1"/>
  <c r="T476" i="10" s="1"/>
  <c r="T479" i="10" s="1"/>
  <c r="U476" i="10" s="1"/>
  <c r="U479" i="10" s="1"/>
  <c r="V476" i="10" s="1"/>
  <c r="V479" i="10" s="1"/>
  <c r="W476" i="10" s="1"/>
  <c r="W479" i="10" s="1"/>
  <c r="X476" i="10" s="1"/>
  <c r="X479" i="10" s="1"/>
  <c r="Y476" i="10" s="1"/>
  <c r="Y479" i="10" s="1"/>
  <c r="Z476" i="10" s="1"/>
  <c r="Z479" i="10" s="1"/>
  <c r="AA476" i="10" s="1"/>
  <c r="AA479" i="10" s="1"/>
  <c r="AB476" i="10" s="1"/>
  <c r="AB479" i="10" s="1"/>
  <c r="AC476" i="10" s="1"/>
  <c r="AC479" i="10" s="1"/>
  <c r="AD476" i="10" s="1"/>
  <c r="AD479" i="10" s="1"/>
  <c r="AE476" i="10" s="1"/>
  <c r="AE479" i="10" s="1"/>
  <c r="AF476" i="10" s="1"/>
  <c r="AF479" i="10" s="1"/>
  <c r="AG476" i="10" s="1"/>
  <c r="AG479" i="10" s="1"/>
  <c r="AH476" i="10" s="1"/>
  <c r="AH479" i="10" s="1"/>
  <c r="AI476" i="10" s="1"/>
  <c r="AI479" i="10" s="1"/>
  <c r="AJ476" i="10" s="1"/>
  <c r="AJ479" i="10" s="1"/>
  <c r="AK476" i="10" s="1"/>
  <c r="AK479" i="10" s="1"/>
  <c r="AL476" i="10" s="1"/>
  <c r="AL479" i="10" s="1"/>
  <c r="AM476" i="10" s="1"/>
  <c r="AM479" i="10" s="1"/>
  <c r="AN476" i="10" s="1"/>
  <c r="AN479" i="10" s="1"/>
  <c r="AO476" i="10" s="1"/>
  <c r="AO479" i="10" s="1"/>
  <c r="AP476" i="10" s="1"/>
  <c r="AP479" i="10" s="1"/>
  <c r="AQ476" i="10" s="1"/>
  <c r="AQ479" i="10" s="1"/>
  <c r="AR476" i="10" s="1"/>
  <c r="AR479" i="10" s="1"/>
  <c r="AS476" i="10" s="1"/>
  <c r="AS479" i="10" s="1"/>
  <c r="AT476" i="10" s="1"/>
  <c r="AT479" i="10" s="1"/>
  <c r="AU476" i="10" s="1"/>
  <c r="AU479" i="10" s="1"/>
  <c r="AV476" i="10" s="1"/>
  <c r="AV479" i="10" s="1"/>
  <c r="AW476" i="10" s="1"/>
  <c r="AW479" i="10" s="1"/>
  <c r="AX476" i="10" s="1"/>
  <c r="AX479" i="10" s="1"/>
  <c r="AY476" i="10" s="1"/>
  <c r="AY479" i="10" s="1"/>
  <c r="AZ476" i="10" s="1"/>
  <c r="AZ479" i="10" s="1"/>
  <c r="BA476" i="10" s="1"/>
  <c r="BA479" i="10" s="1"/>
  <c r="BB476" i="10" s="1"/>
  <c r="BB479" i="10" s="1"/>
  <c r="BC476" i="10" s="1"/>
  <c r="BC479" i="10" s="1"/>
  <c r="BD476" i="10" s="1"/>
  <c r="BD479" i="10" s="1"/>
  <c r="BE476" i="10" s="1"/>
  <c r="BE479" i="10" s="1"/>
  <c r="BF476" i="10" s="1"/>
  <c r="BF479" i="10" s="1"/>
  <c r="BG476" i="10" s="1"/>
  <c r="BG479" i="10" s="1"/>
  <c r="BH476" i="10" s="1"/>
  <c r="BH479" i="10" s="1"/>
  <c r="BI476" i="10" s="1"/>
  <c r="BI479" i="10" s="1"/>
  <c r="BJ476" i="10" s="1"/>
  <c r="BJ479" i="10" s="1"/>
  <c r="BK476" i="10" s="1"/>
  <c r="BK479" i="10" s="1"/>
  <c r="BL476" i="10" s="1"/>
  <c r="BL479" i="10" s="1"/>
  <c r="BM476" i="10" s="1"/>
  <c r="BM479" i="10" s="1"/>
  <c r="BN476" i="10" s="1"/>
  <c r="BN479" i="10" s="1"/>
  <c r="BO476" i="10" s="1"/>
  <c r="BO479" i="10" s="1"/>
  <c r="H64" i="10" l="1" a="1"/>
  <c r="H64" i="10" s="1"/>
  <c r="E22" i="13" l="1"/>
  <c r="E23" i="13" s="1"/>
  <c r="I466" i="10" a="1"/>
  <c r="I466" i="10" s="1"/>
  <c r="I467" i="10" s="1"/>
  <c r="J464" i="10" s="1"/>
  <c r="J466" i="10" a="1"/>
  <c r="J466" i="10" s="1"/>
  <c r="K466" i="10" a="1"/>
  <c r="K466" i="10"/>
  <c r="L466" i="10" a="1"/>
  <c r="L466" i="10" s="1"/>
  <c r="M466" i="10" a="1"/>
  <c r="M466" i="10" s="1"/>
  <c r="N466" i="10" a="1"/>
  <c r="N466" i="10" s="1"/>
  <c r="O466" i="10" a="1"/>
  <c r="O466" i="10" s="1"/>
  <c r="P466" i="10" a="1"/>
  <c r="P466" i="10" s="1"/>
  <c r="Q466" i="10" a="1"/>
  <c r="Q466" i="10" s="1"/>
  <c r="R466" i="10" a="1"/>
  <c r="R466" i="10" s="1"/>
  <c r="S466" i="10" a="1"/>
  <c r="S466" i="10" s="1"/>
  <c r="T466" i="10" a="1"/>
  <c r="T466" i="10"/>
  <c r="U466" i="10" a="1"/>
  <c r="U466" i="10" s="1"/>
  <c r="V466" i="10" a="1"/>
  <c r="V466" i="10" s="1"/>
  <c r="W466" i="10" a="1"/>
  <c r="W466" i="10"/>
  <c r="X466" i="10" a="1"/>
  <c r="X466" i="10" s="1"/>
  <c r="Y466" i="10" a="1"/>
  <c r="Y466" i="10" s="1"/>
  <c r="Z466" i="10" a="1"/>
  <c r="Z466" i="10" s="1"/>
  <c r="AA466" i="10" a="1"/>
  <c r="AA466" i="10" s="1"/>
  <c r="AB466" i="10" a="1"/>
  <c r="AB466" i="10" s="1"/>
  <c r="AC466" i="10" a="1"/>
  <c r="AC466" i="10"/>
  <c r="AD466" i="10" a="1"/>
  <c r="AD466" i="10" s="1"/>
  <c r="AE466" i="10" a="1"/>
  <c r="AE466" i="10" s="1"/>
  <c r="AF466" i="10" a="1"/>
  <c r="AF466" i="10"/>
  <c r="AG466" i="10" a="1"/>
  <c r="AG466" i="10" s="1"/>
  <c r="AH466" i="10" a="1"/>
  <c r="AH466" i="10" s="1"/>
  <c r="AI466" i="10" a="1"/>
  <c r="AI466" i="10"/>
  <c r="AJ466" i="10" a="1"/>
  <c r="AJ466" i="10" s="1"/>
  <c r="AK466" i="10" a="1"/>
  <c r="AK466" i="10" s="1"/>
  <c r="AL466" i="10" a="1"/>
  <c r="AL466" i="10"/>
  <c r="AM466" i="10" a="1"/>
  <c r="AM466" i="10" s="1"/>
  <c r="AN466" i="10" a="1"/>
  <c r="AN466" i="10" s="1"/>
  <c r="AO466" i="10" a="1"/>
  <c r="AO466" i="10" s="1"/>
  <c r="AP466" i="10" a="1"/>
  <c r="AP466" i="10" s="1"/>
  <c r="AQ466" i="10" a="1"/>
  <c r="AQ466" i="10" s="1"/>
  <c r="AR466" i="10" a="1"/>
  <c r="AR466" i="10" s="1"/>
  <c r="AS466" i="10" a="1"/>
  <c r="AS466" i="10"/>
  <c r="AT466" i="10" a="1"/>
  <c r="AT466" i="10"/>
  <c r="AU466" i="10" a="1"/>
  <c r="AU466" i="10" s="1"/>
  <c r="AV466" i="10" a="1"/>
  <c r="AV466" i="10" s="1"/>
  <c r="AW466" i="10" a="1"/>
  <c r="AW466" i="10" s="1"/>
  <c r="AX466" i="10" a="1"/>
  <c r="AX466" i="10" s="1"/>
  <c r="AY466" i="10" a="1"/>
  <c r="AY466" i="10" s="1"/>
  <c r="AZ466" i="10" a="1"/>
  <c r="AZ466" i="10"/>
  <c r="BA466" i="10" a="1"/>
  <c r="BA466" i="10"/>
  <c r="BB466" i="10" a="1"/>
  <c r="BB466" i="10" s="1"/>
  <c r="BC466" i="10" a="1"/>
  <c r="BC466" i="10" s="1"/>
  <c r="BD466" i="10" a="1"/>
  <c r="BD466" i="10" s="1"/>
  <c r="BE466" i="10" a="1"/>
  <c r="BE466" i="10" s="1"/>
  <c r="BF466" i="10" a="1"/>
  <c r="BF466" i="10" s="1"/>
  <c r="BG466" i="10" a="1"/>
  <c r="BG466" i="10" s="1"/>
  <c r="BH466" i="10" a="1"/>
  <c r="BH466" i="10" s="1"/>
  <c r="BI466" i="10" a="1"/>
  <c r="BI466" i="10" s="1"/>
  <c r="BJ466" i="10" a="1"/>
  <c r="BJ466" i="10" s="1"/>
  <c r="BK466" i="10" a="1"/>
  <c r="BK466" i="10" s="1"/>
  <c r="BL466" i="10" a="1"/>
  <c r="BL466" i="10" s="1"/>
  <c r="BM466" i="10" a="1"/>
  <c r="BM466" i="10" s="1"/>
  <c r="BN466" i="10" a="1"/>
  <c r="BN466" i="10" s="1"/>
  <c r="BO466" i="10" a="1"/>
  <c r="BO466" i="10" s="1"/>
  <c r="J467" i="10" l="1"/>
  <c r="K464" i="10" s="1"/>
  <c r="K467" i="10" s="1"/>
  <c r="L464" i="10" s="1"/>
  <c r="L467" i="10" s="1"/>
  <c r="M464" i="10" s="1"/>
  <c r="M467" i="10" s="1"/>
  <c r="N464" i="10" s="1"/>
  <c r="N467" i="10" s="1"/>
  <c r="O464" i="10" s="1"/>
  <c r="O467" i="10" s="1"/>
  <c r="P464" i="10" s="1"/>
  <c r="P467" i="10" s="1"/>
  <c r="Q464" i="10" s="1"/>
  <c r="Q467" i="10" s="1"/>
  <c r="R464" i="10" s="1"/>
  <c r="R467" i="10" s="1"/>
  <c r="S464" i="10" s="1"/>
  <c r="S467" i="10" s="1"/>
  <c r="T464" i="10" s="1"/>
  <c r="T467" i="10" s="1"/>
  <c r="U464" i="10" s="1"/>
  <c r="U467" i="10" s="1"/>
  <c r="V464" i="10" s="1"/>
  <c r="V467" i="10" s="1"/>
  <c r="W464" i="10" s="1"/>
  <c r="W467" i="10" s="1"/>
  <c r="X464" i="10" s="1"/>
  <c r="X467" i="10" s="1"/>
  <c r="Y464" i="10" s="1"/>
  <c r="Y467" i="10" s="1"/>
  <c r="Z464" i="10" s="1"/>
  <c r="Z467" i="10" s="1"/>
  <c r="AA464" i="10" s="1"/>
  <c r="AA467" i="10" s="1"/>
  <c r="AB464" i="10" s="1"/>
  <c r="AB467" i="10" s="1"/>
  <c r="AC464" i="10" s="1"/>
  <c r="AC467" i="10" s="1"/>
  <c r="AD464" i="10" s="1"/>
  <c r="AD467" i="10" s="1"/>
  <c r="AE464" i="10" s="1"/>
  <c r="AE467" i="10" s="1"/>
  <c r="AF464" i="10" s="1"/>
  <c r="AF467" i="10" s="1"/>
  <c r="AG464" i="10" s="1"/>
  <c r="AG467" i="10" s="1"/>
  <c r="AH464" i="10" s="1"/>
  <c r="AH467" i="10" s="1"/>
  <c r="AI464" i="10" s="1"/>
  <c r="AI467" i="10" s="1"/>
  <c r="AJ464" i="10" s="1"/>
  <c r="AJ467" i="10" s="1"/>
  <c r="AK464" i="10" s="1"/>
  <c r="AK467" i="10" s="1"/>
  <c r="AL464" i="10" s="1"/>
  <c r="AL467" i="10" s="1"/>
  <c r="AM464" i="10" s="1"/>
  <c r="AM467" i="10" s="1"/>
  <c r="AN464" i="10" s="1"/>
  <c r="AN467" i="10" s="1"/>
  <c r="AO464" i="10" s="1"/>
  <c r="AO467" i="10" s="1"/>
  <c r="AP464" i="10" s="1"/>
  <c r="AP467" i="10" s="1"/>
  <c r="AQ464" i="10" s="1"/>
  <c r="AQ467" i="10" s="1"/>
  <c r="AR464" i="10" s="1"/>
  <c r="AR467" i="10" s="1"/>
  <c r="AS464" i="10" s="1"/>
  <c r="AS467" i="10" s="1"/>
  <c r="AT464" i="10" s="1"/>
  <c r="AT467" i="10" s="1"/>
  <c r="AU464" i="10" s="1"/>
  <c r="AU467" i="10" s="1"/>
  <c r="AV464" i="10" s="1"/>
  <c r="AV467" i="10" s="1"/>
  <c r="AW464" i="10" s="1"/>
  <c r="AW467" i="10" s="1"/>
  <c r="AX464" i="10" s="1"/>
  <c r="AX467" i="10" s="1"/>
  <c r="AY464" i="10" s="1"/>
  <c r="AY467" i="10" s="1"/>
  <c r="AZ464" i="10" s="1"/>
  <c r="AZ467" i="10" s="1"/>
  <c r="BA464" i="10" s="1"/>
  <c r="BA467" i="10" s="1"/>
  <c r="BB464" i="10" s="1"/>
  <c r="BB467" i="10" s="1"/>
  <c r="BC464" i="10" s="1"/>
  <c r="BC467" i="10" s="1"/>
  <c r="BD464" i="10" s="1"/>
  <c r="BD467" i="10" s="1"/>
  <c r="BE464" i="10" s="1"/>
  <c r="BE467" i="10" s="1"/>
  <c r="BF464" i="10" s="1"/>
  <c r="BF467" i="10" s="1"/>
  <c r="BG464" i="10" s="1"/>
  <c r="BG467" i="10" s="1"/>
  <c r="BH464" i="10" s="1"/>
  <c r="BH467" i="10" s="1"/>
  <c r="BI464" i="10" s="1"/>
  <c r="BI467" i="10" s="1"/>
  <c r="BJ464" i="10" s="1"/>
  <c r="BJ467" i="10" s="1"/>
  <c r="BK464" i="10" s="1"/>
  <c r="BK467" i="10" s="1"/>
  <c r="BL464" i="10" s="1"/>
  <c r="BL467" i="10" s="1"/>
  <c r="BM464" i="10" s="1"/>
  <c r="BM467" i="10" s="1"/>
  <c r="BN464" i="10" s="1"/>
  <c r="BN467" i="10" s="1"/>
  <c r="BO464" i="10" s="1"/>
  <c r="BO467" i="10" s="1"/>
  <c r="H472" i="10" a="1"/>
  <c r="H472" i="10" s="1"/>
  <c r="H41" i="10" s="1" a="1"/>
  <c r="H470" i="10" l="1" a="1"/>
  <c r="BE473" i="10" s="1"/>
  <c r="H41" i="10"/>
  <c r="H44" i="10" a="1"/>
  <c r="N473" i="10"/>
  <c r="Z473" i="10"/>
  <c r="AL473" i="10"/>
  <c r="AX473" i="10"/>
  <c r="BJ473" i="10"/>
  <c r="P473" i="10"/>
  <c r="AB473" i="10"/>
  <c r="Q473" i="10"/>
  <c r="AE473" i="10"/>
  <c r="AR473" i="10"/>
  <c r="M473" i="10"/>
  <c r="AC473" i="10"/>
  <c r="AP473" i="10"/>
  <c r="BC473" i="10"/>
  <c r="W473" i="10"/>
  <c r="AN473" i="10"/>
  <c r="BD473" i="10"/>
  <c r="AO473" i="10"/>
  <c r="BF473" i="10"/>
  <c r="X473" i="10"/>
  <c r="I473" i="10"/>
  <c r="AQ473" i="10"/>
  <c r="BG473" i="10"/>
  <c r="J473" i="10"/>
  <c r="AA473" i="10"/>
  <c r="AS473" i="10"/>
  <c r="BH473" i="10"/>
  <c r="K473" i="10"/>
  <c r="AD473" i="10"/>
  <c r="AT473" i="10"/>
  <c r="H470" i="10"/>
  <c r="H473" i="10" s="1"/>
  <c r="U473" i="10"/>
  <c r="BA473" i="10"/>
  <c r="V473" i="10"/>
  <c r="BB473" i="10"/>
  <c r="AF473" i="10"/>
  <c r="R473" i="10"/>
  <c r="BI473" i="10"/>
  <c r="AM473" i="10"/>
  <c r="O473" i="10"/>
  <c r="AG473" i="10"/>
  <c r="BK473" i="10"/>
  <c r="BN473" i="10"/>
  <c r="L473" i="10"/>
  <c r="AU473" i="10"/>
  <c r="AH473" i="10"/>
  <c r="BL473" i="10"/>
  <c r="AJ473" i="10"/>
  <c r="AW473" i="10"/>
  <c r="AI473" i="10"/>
  <c r="BM473" i="10"/>
  <c r="BO473" i="10"/>
  <c r="AV473" i="10"/>
  <c r="S473" i="10"/>
  <c r="AY473" i="10"/>
  <c r="T473" i="10"/>
  <c r="AZ473" i="10"/>
  <c r="H92" i="10" a="1"/>
  <c r="H92" i="10" s="1"/>
  <c r="E28" i="11" s="1"/>
  <c r="D28" i="11" s="1"/>
  <c r="AK473" i="10" l="1"/>
  <c r="Y473" i="10"/>
  <c r="H63" i="10" a="1"/>
  <c r="H44" i="10"/>
  <c r="J65" i="10" l="1"/>
  <c r="V65" i="10"/>
  <c r="AH65" i="10"/>
  <c r="AT65" i="10"/>
  <c r="BF65" i="10"/>
  <c r="K65" i="10"/>
  <c r="W65" i="10"/>
  <c r="AI65" i="10"/>
  <c r="AU65" i="10"/>
  <c r="BG65" i="10"/>
  <c r="L65" i="10"/>
  <c r="X65" i="10"/>
  <c r="AJ65" i="10"/>
  <c r="AV65" i="10"/>
  <c r="BH65" i="10"/>
  <c r="M65" i="10"/>
  <c r="Y65" i="10"/>
  <c r="AK65" i="10"/>
  <c r="AW65" i="10"/>
  <c r="BI65" i="10"/>
  <c r="T65" i="10"/>
  <c r="AF65" i="10"/>
  <c r="AR65" i="10"/>
  <c r="BD65" i="10"/>
  <c r="AB65" i="10"/>
  <c r="AX65" i="10"/>
  <c r="BO65" i="10"/>
  <c r="H63" i="10"/>
  <c r="H65" i="10" s="1"/>
  <c r="AC65" i="10"/>
  <c r="AY65" i="10"/>
  <c r="I65" i="10"/>
  <c r="AD65" i="10"/>
  <c r="AZ65" i="10"/>
  <c r="N65" i="10"/>
  <c r="AE65" i="10"/>
  <c r="BA65" i="10"/>
  <c r="O65" i="10"/>
  <c r="AG65" i="10"/>
  <c r="BB65" i="10"/>
  <c r="Z65" i="10"/>
  <c r="AQ65" i="10"/>
  <c r="BM65" i="10"/>
  <c r="AN65" i="10"/>
  <c r="AO65" i="10"/>
  <c r="AP65" i="10"/>
  <c r="AS65" i="10"/>
  <c r="P65" i="10"/>
  <c r="BC65" i="10"/>
  <c r="AL65" i="10"/>
  <c r="AM65" i="10"/>
  <c r="AA65" i="10"/>
  <c r="Q65" i="10"/>
  <c r="R65" i="10"/>
  <c r="U65" i="10"/>
  <c r="BJ65" i="10"/>
  <c r="S65" i="10"/>
  <c r="BE65" i="10"/>
  <c r="BK65" i="10"/>
  <c r="BL65" i="10"/>
  <c r="BN65" i="10"/>
  <c r="C9" i="13"/>
  <c r="C10" i="13"/>
  <c r="H46" i="10" a="1"/>
  <c r="H46" i="10"/>
  <c r="H48" i="10" a="1"/>
  <c r="H48" i="10"/>
  <c r="H50" i="10" a="1"/>
  <c r="H50" i="10"/>
  <c r="H52" i="10" a="1"/>
  <c r="H52" i="10"/>
  <c r="H57" i="10" a="1"/>
  <c r="H57" i="10"/>
  <c r="H60" i="10"/>
  <c r="I60" i="10"/>
  <c r="J60" i="10"/>
  <c r="K60" i="10"/>
  <c r="L60" i="10"/>
  <c r="M60" i="10"/>
  <c r="N60" i="10"/>
  <c r="O60" i="10"/>
  <c r="P60" i="10"/>
  <c r="Q60" i="10"/>
  <c r="R60" i="10"/>
  <c r="S60" i="10"/>
  <c r="T60" i="10"/>
  <c r="U60" i="10"/>
  <c r="V60" i="10"/>
  <c r="W60" i="10"/>
  <c r="X60" i="10"/>
  <c r="Y60" i="10"/>
  <c r="Z60" i="10"/>
  <c r="AA60" i="10"/>
  <c r="AB60" i="10"/>
  <c r="AC60" i="10"/>
  <c r="AD60" i="10"/>
  <c r="AE60" i="10"/>
  <c r="AF60" i="10"/>
  <c r="AG60" i="10"/>
  <c r="AH60" i="10"/>
  <c r="AI60" i="10"/>
  <c r="AJ60" i="10"/>
  <c r="AK60" i="10"/>
  <c r="AL60" i="10"/>
  <c r="AM60" i="10"/>
  <c r="AN60" i="10"/>
  <c r="AO60" i="10"/>
  <c r="AP60" i="10"/>
  <c r="AQ60" i="10"/>
  <c r="AR60" i="10"/>
  <c r="AS60" i="10"/>
  <c r="AT60" i="10"/>
  <c r="AU60" i="10"/>
  <c r="AV60" i="10"/>
  <c r="AW60" i="10"/>
  <c r="AX60" i="10"/>
  <c r="AY60" i="10"/>
  <c r="AZ60" i="10"/>
  <c r="BA60" i="10"/>
  <c r="BB60" i="10"/>
  <c r="BC60" i="10"/>
  <c r="BD60" i="10"/>
  <c r="BE60" i="10"/>
  <c r="BF60" i="10"/>
  <c r="BG60" i="10"/>
  <c r="BH60" i="10"/>
  <c r="BI60" i="10"/>
  <c r="BJ60" i="10"/>
  <c r="BK60" i="10"/>
  <c r="BL60" i="10"/>
  <c r="BM60" i="10"/>
  <c r="BN60" i="10"/>
  <c r="BO60" i="10"/>
  <c r="G67" i="10" a="1"/>
  <c r="G67" i="10"/>
  <c r="H70" i="10" a="1"/>
  <c r="H70" i="10"/>
  <c r="H72" i="10" a="1"/>
  <c r="H72" i="10"/>
  <c r="H73" i="10"/>
  <c r="I73" i="10"/>
  <c r="J73" i="10"/>
  <c r="K73" i="10"/>
  <c r="L73" i="10"/>
  <c r="M73" i="10"/>
  <c r="N73" i="10"/>
  <c r="O73" i="10"/>
  <c r="P73" i="10"/>
  <c r="Q73" i="10"/>
  <c r="R73" i="10"/>
  <c r="S73" i="10"/>
  <c r="T73" i="10"/>
  <c r="U73" i="10"/>
  <c r="V73" i="10"/>
  <c r="W73" i="10"/>
  <c r="X73" i="10"/>
  <c r="Y73" i="10"/>
  <c r="Z73" i="10"/>
  <c r="AA73" i="10"/>
  <c r="AB73" i="10"/>
  <c r="AC73" i="10"/>
  <c r="AD73" i="10"/>
  <c r="AE73" i="10"/>
  <c r="AF73" i="10"/>
  <c r="AG73" i="10"/>
  <c r="AH73" i="10"/>
  <c r="AI73" i="10"/>
  <c r="AJ73" i="10"/>
  <c r="AK73" i="10"/>
  <c r="AL73" i="10"/>
  <c r="AM73" i="10"/>
  <c r="AN73" i="10"/>
  <c r="AO73" i="10"/>
  <c r="AP73" i="10"/>
  <c r="AQ73" i="10"/>
  <c r="AR73" i="10"/>
  <c r="AS73" i="10"/>
  <c r="AT73" i="10"/>
  <c r="AU73" i="10"/>
  <c r="AV73" i="10"/>
  <c r="AW73" i="10"/>
  <c r="AX73" i="10"/>
  <c r="AY73" i="10"/>
  <c r="AZ73" i="10"/>
  <c r="BA73" i="10"/>
  <c r="BB73" i="10"/>
  <c r="BC73" i="10"/>
  <c r="BD73" i="10"/>
  <c r="BE73" i="10"/>
  <c r="BF73" i="10"/>
  <c r="BG73" i="10"/>
  <c r="BH73" i="10"/>
  <c r="BI73" i="10"/>
  <c r="BJ73" i="10"/>
  <c r="BK73" i="10"/>
  <c r="BL73" i="10"/>
  <c r="BM73" i="10"/>
  <c r="BN73" i="10"/>
  <c r="BO73" i="10"/>
  <c r="G80" i="10" a="1"/>
  <c r="G80" i="10"/>
  <c r="H83" i="10" a="1"/>
  <c r="H83" i="10"/>
  <c r="G84" i="10"/>
  <c r="H84" i="10"/>
  <c r="I84" i="10"/>
  <c r="J84" i="10"/>
  <c r="K84" i="10"/>
  <c r="L84" i="10"/>
  <c r="M84" i="10"/>
  <c r="N84" i="10"/>
  <c r="O84" i="10"/>
  <c r="P84" i="10"/>
  <c r="Q84" i="10"/>
  <c r="R84" i="10"/>
  <c r="S84" i="10"/>
  <c r="T84" i="10"/>
  <c r="U84" i="10"/>
  <c r="V84" i="10"/>
  <c r="W84" i="10"/>
  <c r="X84" i="10"/>
  <c r="Y84" i="10"/>
  <c r="Z84" i="10"/>
  <c r="AA84" i="10"/>
  <c r="AB84" i="10"/>
  <c r="AC84" i="10"/>
  <c r="AD84" i="10"/>
  <c r="AE84" i="10"/>
  <c r="AF84" i="10"/>
  <c r="AG84" i="10"/>
  <c r="AH84" i="10"/>
  <c r="AI84" i="10"/>
  <c r="AJ84" i="10"/>
  <c r="AK84" i="10"/>
  <c r="AL84" i="10"/>
  <c r="AM84" i="10"/>
  <c r="AN84" i="10"/>
  <c r="AO84" i="10"/>
  <c r="AP84" i="10"/>
  <c r="AQ84" i="10"/>
  <c r="AR84" i="10"/>
  <c r="AS84" i="10"/>
  <c r="AT84" i="10"/>
  <c r="AU84" i="10"/>
  <c r="AV84" i="10"/>
  <c r="AW84" i="10"/>
  <c r="AX84" i="10"/>
  <c r="AY84" i="10"/>
  <c r="AZ84" i="10"/>
  <c r="BA84" i="10"/>
  <c r="BB84" i="10"/>
  <c r="BC84" i="10"/>
  <c r="BD84" i="10"/>
  <c r="BE84" i="10"/>
  <c r="BF84" i="10"/>
  <c r="BG84" i="10"/>
  <c r="BH84" i="10"/>
  <c r="BI84" i="10"/>
  <c r="BJ84" i="10"/>
  <c r="BK84" i="10"/>
  <c r="BL84" i="10"/>
  <c r="BM84" i="10"/>
  <c r="BN84" i="10"/>
  <c r="BO84" i="10"/>
  <c r="G85" i="10"/>
  <c r="H85" i="10" a="1"/>
  <c r="H85" i="10"/>
  <c r="H87" i="10" a="1"/>
  <c r="H87" i="10"/>
  <c r="H91" i="10" a="1"/>
  <c r="H91" i="10"/>
  <c r="H94" i="10" a="1"/>
  <c r="H94" i="10"/>
  <c r="H95" i="10"/>
  <c r="I95" i="10"/>
  <c r="J95" i="10"/>
  <c r="K95" i="10"/>
  <c r="L95" i="10"/>
  <c r="M95" i="10"/>
  <c r="N95" i="10"/>
  <c r="O95" i="10"/>
  <c r="P95" i="10"/>
  <c r="Q95" i="10"/>
  <c r="R95" i="10"/>
  <c r="S95" i="10"/>
  <c r="T95" i="10"/>
  <c r="U95" i="10"/>
  <c r="V95" i="10"/>
  <c r="W95" i="10"/>
  <c r="X95" i="10"/>
  <c r="Y95" i="10"/>
  <c r="Z95" i="10"/>
  <c r="AA95" i="10"/>
  <c r="AB95" i="10"/>
  <c r="AC95" i="10"/>
  <c r="AD95" i="10"/>
  <c r="AE95" i="10"/>
  <c r="AF95" i="10"/>
  <c r="AG95" i="10"/>
  <c r="AH95" i="10"/>
  <c r="AI95" i="10"/>
  <c r="AJ95" i="10"/>
  <c r="AK95" i="10"/>
  <c r="AL95" i="10"/>
  <c r="AM95" i="10"/>
  <c r="AN95" i="10"/>
  <c r="AO95" i="10"/>
  <c r="AP95" i="10"/>
  <c r="AQ95" i="10"/>
  <c r="AR95" i="10"/>
  <c r="AS95" i="10"/>
  <c r="AT95" i="10"/>
  <c r="AU95" i="10"/>
  <c r="AV95" i="10"/>
  <c r="AW95" i="10"/>
  <c r="AX95" i="10"/>
  <c r="AY95" i="10"/>
  <c r="AZ95" i="10"/>
  <c r="BA95" i="10"/>
  <c r="BB95" i="10"/>
  <c r="BC95" i="10"/>
  <c r="BD95" i="10"/>
  <c r="BE95" i="10"/>
  <c r="BF95" i="10"/>
  <c r="BG95" i="10"/>
  <c r="BH95" i="10"/>
  <c r="BI95" i="10"/>
  <c r="BJ95" i="10"/>
  <c r="BK95" i="10"/>
  <c r="BL95" i="10"/>
  <c r="BM95" i="10"/>
  <c r="BN95" i="10"/>
  <c r="BO95" i="10"/>
  <c r="H101" i="10" a="1"/>
  <c r="H101" i="10"/>
  <c r="H105" i="10" a="1"/>
  <c r="H105" i="10"/>
  <c r="H106" i="10"/>
  <c r="I106" i="10"/>
  <c r="J106" i="10"/>
  <c r="K106" i="10"/>
  <c r="L106" i="10"/>
  <c r="M106" i="10"/>
  <c r="N106" i="10"/>
  <c r="O106" i="10"/>
  <c r="P106" i="10"/>
  <c r="Q106" i="10"/>
  <c r="R106" i="10"/>
  <c r="S106" i="10"/>
  <c r="T106" i="10"/>
  <c r="U106" i="10"/>
  <c r="V106" i="10"/>
  <c r="W106" i="10"/>
  <c r="X106" i="10"/>
  <c r="Y106" i="10"/>
  <c r="Z106" i="10"/>
  <c r="AA106" i="10"/>
  <c r="AB106" i="10"/>
  <c r="AC106" i="10"/>
  <c r="AD106" i="10"/>
  <c r="AE106" i="10"/>
  <c r="AF106" i="10"/>
  <c r="AG106" i="10"/>
  <c r="AH106" i="10"/>
  <c r="AI106" i="10"/>
  <c r="AJ106" i="10"/>
  <c r="AK106" i="10"/>
  <c r="AL106" i="10"/>
  <c r="AM106" i="10"/>
  <c r="AN106" i="10"/>
  <c r="AO106" i="10"/>
  <c r="AP106" i="10"/>
  <c r="AQ106" i="10"/>
  <c r="AR106" i="10"/>
  <c r="AS106" i="10"/>
  <c r="AT106" i="10"/>
  <c r="AU106" i="10"/>
  <c r="AV106" i="10"/>
  <c r="AW106" i="10"/>
  <c r="AX106" i="10"/>
  <c r="AY106" i="10"/>
  <c r="AZ106" i="10"/>
  <c r="BA106" i="10"/>
  <c r="BB106" i="10"/>
  <c r="BC106" i="10"/>
  <c r="BD106" i="10"/>
  <c r="BE106" i="10"/>
  <c r="BF106" i="10"/>
  <c r="BG106" i="10"/>
  <c r="BH106" i="10"/>
  <c r="BI106" i="10"/>
  <c r="BJ106" i="10"/>
  <c r="BK106" i="10"/>
  <c r="BL106" i="10"/>
  <c r="BM106" i="10"/>
  <c r="BN106" i="10"/>
  <c r="BO106" i="10"/>
  <c r="H108" i="10" a="1"/>
  <c r="H108" i="10"/>
  <c r="H110" i="10" a="1"/>
  <c r="H110" i="10"/>
  <c r="H111" i="10" a="1"/>
  <c r="H111" i="10"/>
  <c r="H112" i="10"/>
  <c r="I112" i="10"/>
  <c r="J112" i="10"/>
  <c r="K112" i="10"/>
  <c r="L112" i="10"/>
  <c r="M112" i="10"/>
  <c r="N112" i="10"/>
  <c r="O112" i="10"/>
  <c r="P112" i="10"/>
  <c r="Q112" i="10"/>
  <c r="R112" i="10"/>
  <c r="S112" i="10"/>
  <c r="T112" i="10"/>
  <c r="U112" i="10"/>
  <c r="V112" i="10"/>
  <c r="W112" i="10"/>
  <c r="X112" i="10"/>
  <c r="Y112" i="10"/>
  <c r="Z112" i="10"/>
  <c r="AA112" i="10"/>
  <c r="AB112" i="10"/>
  <c r="AC112" i="10"/>
  <c r="AD112" i="10"/>
  <c r="AE112" i="10"/>
  <c r="AF112" i="10"/>
  <c r="AG112" i="10"/>
  <c r="AH112" i="10"/>
  <c r="AI112" i="10"/>
  <c r="AJ112" i="10"/>
  <c r="AK112" i="10"/>
  <c r="AL112" i="10"/>
  <c r="AM112" i="10"/>
  <c r="AN112" i="10"/>
  <c r="AO112" i="10"/>
  <c r="AP112" i="10"/>
  <c r="AQ112" i="10"/>
  <c r="AR112" i="10"/>
  <c r="AS112" i="10"/>
  <c r="AT112" i="10"/>
  <c r="AU112" i="10"/>
  <c r="AV112" i="10"/>
  <c r="AW112" i="10"/>
  <c r="AX112" i="10"/>
  <c r="AY112" i="10"/>
  <c r="AZ112" i="10"/>
  <c r="BA112" i="10"/>
  <c r="BB112" i="10"/>
  <c r="BC112" i="10"/>
  <c r="BD112" i="10"/>
  <c r="BE112" i="10"/>
  <c r="BF112" i="10"/>
  <c r="BG112" i="10"/>
  <c r="BH112" i="10"/>
  <c r="BI112" i="10"/>
  <c r="BJ112" i="10"/>
  <c r="BK112" i="10"/>
  <c r="BL112" i="10"/>
  <c r="BM112" i="10"/>
  <c r="BN112" i="10"/>
  <c r="BO112" i="10"/>
  <c r="H451" i="10" a="1"/>
  <c r="H451" i="10"/>
  <c r="H452" i="10"/>
  <c r="I452" i="10"/>
  <c r="J452" i="10"/>
  <c r="K452" i="10"/>
  <c r="L452" i="10"/>
  <c r="M452" i="10"/>
  <c r="N452" i="10"/>
  <c r="O452" i="10"/>
  <c r="P452" i="10"/>
  <c r="Q452" i="10"/>
  <c r="R452" i="10"/>
  <c r="S452" i="10"/>
  <c r="T452" i="10"/>
  <c r="U452" i="10"/>
  <c r="V452" i="10"/>
  <c r="W452" i="10"/>
  <c r="X452" i="10"/>
  <c r="Y452" i="10"/>
  <c r="Z452" i="10"/>
  <c r="AA452" i="10"/>
  <c r="AB452" i="10"/>
  <c r="AC452" i="10"/>
  <c r="AD452" i="10"/>
  <c r="AE452" i="10"/>
  <c r="AF452" i="10"/>
  <c r="AG452" i="10"/>
  <c r="AH452" i="10"/>
  <c r="AI452" i="10"/>
  <c r="AJ452" i="10"/>
  <c r="AK452" i="10"/>
  <c r="AL452" i="10"/>
  <c r="AM452" i="10"/>
  <c r="AN452" i="10"/>
  <c r="AO452" i="10"/>
  <c r="AP452" i="10"/>
  <c r="AQ452" i="10"/>
  <c r="AR452" i="10"/>
  <c r="AS452" i="10"/>
  <c r="AT452" i="10"/>
  <c r="AU452" i="10"/>
  <c r="AV452" i="10"/>
  <c r="AW452" i="10"/>
  <c r="AX452" i="10"/>
  <c r="AY452" i="10"/>
  <c r="AZ452" i="10"/>
  <c r="BA452" i="10"/>
  <c r="BB452" i="10"/>
  <c r="BC452" i="10"/>
  <c r="BD452" i="10"/>
  <c r="BE452" i="10"/>
  <c r="BF452" i="10"/>
  <c r="BG452" i="10"/>
  <c r="BH452" i="10"/>
  <c r="BI452" i="10"/>
  <c r="BJ452" i="10"/>
  <c r="BK452" i="10"/>
  <c r="BL452" i="10"/>
  <c r="BM452" i="10"/>
  <c r="BN452" i="10"/>
  <c r="BO452" i="10"/>
  <c r="H453" i="10"/>
  <c r="I453" i="10"/>
  <c r="J453" i="10"/>
  <c r="K453" i="10"/>
  <c r="L453" i="10"/>
  <c r="M453" i="10"/>
  <c r="N453" i="10"/>
  <c r="O453" i="10"/>
  <c r="P453" i="10"/>
  <c r="Q453" i="10"/>
  <c r="R453" i="10"/>
  <c r="S453" i="10"/>
  <c r="T453" i="10"/>
  <c r="U453" i="10"/>
  <c r="V453" i="10"/>
  <c r="W453" i="10"/>
  <c r="X453" i="10"/>
  <c r="Y453" i="10"/>
  <c r="Z453" i="10"/>
  <c r="AA453" i="10"/>
  <c r="AB453" i="10"/>
  <c r="AC453" i="10"/>
  <c r="AD453" i="10"/>
  <c r="AE453" i="10"/>
  <c r="AF453" i="10"/>
  <c r="AG453" i="10"/>
  <c r="AH453" i="10"/>
  <c r="AI453" i="10"/>
  <c r="AJ453" i="10"/>
  <c r="AK453" i="10"/>
  <c r="AL453" i="10"/>
  <c r="AM453" i="10"/>
  <c r="AN453" i="10"/>
  <c r="AO453" i="10"/>
  <c r="AP453" i="10"/>
  <c r="AQ453" i="10"/>
  <c r="AR453" i="10"/>
  <c r="AS453" i="10"/>
  <c r="AT453" i="10"/>
  <c r="AU453" i="10"/>
  <c r="AV453" i="10"/>
  <c r="AW453" i="10"/>
  <c r="AX453" i="10"/>
  <c r="AY453" i="10"/>
  <c r="AZ453" i="10"/>
  <c r="BA453" i="10"/>
  <c r="BB453" i="10"/>
  <c r="BC453" i="10"/>
  <c r="BD453" i="10"/>
  <c r="BE453" i="10"/>
  <c r="BF453" i="10"/>
  <c r="BG453" i="10"/>
  <c r="BH453" i="10"/>
  <c r="BI453" i="10"/>
  <c r="BJ453" i="10"/>
  <c r="BK453" i="10"/>
  <c r="BL453" i="10"/>
  <c r="BM453" i="10"/>
  <c r="BN453" i="10"/>
  <c r="BO453" i="10"/>
  <c r="I502" i="10"/>
  <c r="J502" i="10"/>
  <c r="K502" i="10"/>
  <c r="L502" i="10"/>
  <c r="M502" i="10"/>
  <c r="N502" i="10"/>
  <c r="O502" i="10"/>
  <c r="P502" i="10"/>
  <c r="Q502" i="10"/>
  <c r="R502" i="10"/>
  <c r="S502" i="10"/>
  <c r="T502" i="10"/>
  <c r="U502" i="10"/>
  <c r="V502" i="10"/>
  <c r="W502" i="10"/>
  <c r="X502" i="10"/>
  <c r="Y502" i="10"/>
  <c r="Z502" i="10"/>
  <c r="AA502" i="10"/>
  <c r="AB502" i="10"/>
  <c r="AC502" i="10"/>
  <c r="AD502" i="10"/>
  <c r="AE502" i="10"/>
  <c r="AF502" i="10"/>
  <c r="AG502" i="10"/>
  <c r="AH502" i="10"/>
  <c r="AI502" i="10"/>
  <c r="AJ502" i="10"/>
  <c r="AK502" i="10"/>
  <c r="AL502" i="10"/>
  <c r="AM502" i="10"/>
  <c r="AN502" i="10"/>
  <c r="AO502" i="10"/>
  <c r="AP502" i="10"/>
  <c r="AQ502" i="10"/>
  <c r="AR502" i="10"/>
  <c r="AS502" i="10"/>
  <c r="AT502" i="10"/>
  <c r="AU502" i="10"/>
  <c r="AV502" i="10"/>
  <c r="AW502" i="10"/>
  <c r="AX502" i="10"/>
  <c r="AY502" i="10"/>
  <c r="AZ502" i="10"/>
  <c r="BA502" i="10"/>
  <c r="BB502" i="10"/>
  <c r="BC502" i="10"/>
  <c r="BD502" i="10"/>
  <c r="BE502" i="10"/>
  <c r="BF502" i="10"/>
  <c r="BG502" i="10"/>
  <c r="BH502" i="10"/>
  <c r="BI502" i="10"/>
  <c r="BJ502" i="10"/>
  <c r="BK502" i="10"/>
  <c r="BL502" i="10"/>
  <c r="BM502" i="10"/>
  <c r="BN502" i="10"/>
  <c r="BO502" i="10"/>
  <c r="H503" i="10"/>
  <c r="I503" i="10"/>
  <c r="J503" i="10"/>
  <c r="K503" i="10"/>
  <c r="L503" i="10"/>
  <c r="M503" i="10"/>
  <c r="N503" i="10"/>
  <c r="O503" i="10"/>
  <c r="P503" i="10"/>
  <c r="Q503" i="10"/>
  <c r="R503" i="10"/>
  <c r="S503" i="10"/>
  <c r="T503" i="10"/>
  <c r="U503" i="10"/>
  <c r="V503" i="10"/>
  <c r="W503" i="10"/>
  <c r="X503" i="10"/>
  <c r="Y503" i="10"/>
  <c r="Z503" i="10"/>
  <c r="AA503" i="10"/>
  <c r="AB503" i="10"/>
  <c r="AC503" i="10"/>
  <c r="AD503" i="10"/>
  <c r="AE503" i="10"/>
  <c r="AF503" i="10"/>
  <c r="AG503" i="10"/>
  <c r="AH503" i="10"/>
  <c r="AI503" i="10"/>
  <c r="AJ503" i="10"/>
  <c r="AK503" i="10"/>
  <c r="AL503" i="10"/>
  <c r="AM503" i="10"/>
  <c r="AN503" i="10"/>
  <c r="AO503" i="10"/>
  <c r="AP503" i="10"/>
  <c r="AQ503" i="10"/>
  <c r="AR503" i="10"/>
  <c r="AS503" i="10"/>
  <c r="AT503" i="10"/>
  <c r="AU503" i="10"/>
  <c r="AV503" i="10"/>
  <c r="AW503" i="10"/>
  <c r="AX503" i="10"/>
  <c r="AY503" i="10"/>
  <c r="AZ503" i="10"/>
  <c r="BA503" i="10"/>
  <c r="BB503" i="10"/>
  <c r="BC503" i="10"/>
  <c r="BD503" i="10"/>
  <c r="BE503" i="10"/>
  <c r="BF503" i="10"/>
  <c r="BG503" i="10"/>
  <c r="BH503" i="10"/>
  <c r="BI503" i="10"/>
  <c r="BJ503" i="10"/>
  <c r="BK503" i="10"/>
  <c r="BL503" i="10"/>
  <c r="BM503" i="10"/>
  <c r="BN503" i="10"/>
  <c r="BO503" i="10"/>
  <c r="H504" i="10"/>
  <c r="I504" i="10"/>
  <c r="J504" i="10"/>
  <c r="K504" i="10"/>
  <c r="L504" i="10"/>
  <c r="M504" i="10"/>
  <c r="N504" i="10"/>
  <c r="O504" i="10"/>
  <c r="P504" i="10"/>
  <c r="Q504" i="10"/>
  <c r="R504" i="10"/>
  <c r="S504" i="10"/>
  <c r="T504" i="10"/>
  <c r="U504" i="10"/>
  <c r="V504" i="10"/>
  <c r="W504" i="10"/>
  <c r="X504" i="10"/>
  <c r="Y504" i="10"/>
  <c r="Z504" i="10"/>
  <c r="AA504" i="10"/>
  <c r="AB504" i="10"/>
  <c r="AC504" i="10"/>
  <c r="AD504" i="10"/>
  <c r="AE504" i="10"/>
  <c r="AF504" i="10"/>
  <c r="AG504" i="10"/>
  <c r="AH504" i="10"/>
  <c r="AI504" i="10"/>
  <c r="AJ504" i="10"/>
  <c r="AK504" i="10"/>
  <c r="AL504" i="10"/>
  <c r="AM504" i="10"/>
  <c r="AN504" i="10"/>
  <c r="AO504" i="10"/>
  <c r="AP504" i="10"/>
  <c r="AQ504" i="10"/>
  <c r="AR504" i="10"/>
  <c r="AS504" i="10"/>
  <c r="AT504" i="10"/>
  <c r="AU504" i="10"/>
  <c r="AV504" i="10"/>
  <c r="AW504" i="10"/>
  <c r="AX504" i="10"/>
  <c r="AY504" i="10"/>
  <c r="AZ504" i="10"/>
  <c r="BA504" i="10"/>
  <c r="BB504" i="10"/>
  <c r="BC504" i="10"/>
  <c r="BD504" i="10"/>
  <c r="BE504" i="10"/>
  <c r="BF504" i="10"/>
  <c r="BG504" i="10"/>
  <c r="BH504" i="10"/>
  <c r="BI504" i="10"/>
  <c r="BJ504" i="10"/>
  <c r="BK504" i="10"/>
  <c r="BL504" i="10"/>
  <c r="BM504" i="10"/>
  <c r="BN504" i="10"/>
  <c r="BO504" i="10"/>
  <c r="H505" i="10"/>
  <c r="I505" i="10"/>
  <c r="J505" i="10"/>
  <c r="K505" i="10"/>
  <c r="L505" i="10"/>
  <c r="M505" i="10"/>
  <c r="N505" i="10"/>
  <c r="O505" i="10"/>
  <c r="P505" i="10"/>
  <c r="Q505" i="10"/>
  <c r="R505" i="10"/>
  <c r="S505" i="10"/>
  <c r="T505" i="10"/>
  <c r="U505" i="10"/>
  <c r="V505" i="10"/>
  <c r="W505" i="10"/>
  <c r="X505" i="10"/>
  <c r="Y505" i="10"/>
  <c r="Z505" i="10"/>
  <c r="AA505" i="10"/>
  <c r="AB505" i="10"/>
  <c r="AC505" i="10"/>
  <c r="AD505" i="10"/>
  <c r="AE505" i="10"/>
  <c r="AF505" i="10"/>
  <c r="AG505" i="10"/>
  <c r="AH505" i="10"/>
  <c r="AI505" i="10"/>
  <c r="AJ505" i="10"/>
  <c r="AK505" i="10"/>
  <c r="AL505" i="10"/>
  <c r="AM505" i="10"/>
  <c r="AN505" i="10"/>
  <c r="AO505" i="10"/>
  <c r="AP505" i="10"/>
  <c r="AQ505" i="10"/>
  <c r="AR505" i="10"/>
  <c r="AS505" i="10"/>
  <c r="AT505" i="10"/>
  <c r="AU505" i="10"/>
  <c r="AV505" i="10"/>
  <c r="AW505" i="10"/>
  <c r="AX505" i="10"/>
  <c r="AY505" i="10"/>
  <c r="AZ505" i="10"/>
  <c r="BA505" i="10"/>
  <c r="BB505" i="10"/>
  <c r="BC505" i="10"/>
  <c r="BD505" i="10"/>
  <c r="BE505" i="10"/>
  <c r="BF505" i="10"/>
  <c r="BG505" i="10"/>
  <c r="BH505" i="10"/>
  <c r="BI505" i="10"/>
  <c r="BJ505" i="10"/>
  <c r="BK505" i="10"/>
  <c r="BL505" i="10"/>
  <c r="BM505" i="10"/>
  <c r="BN505" i="10"/>
  <c r="BO505" i="10"/>
  <c r="I506" i="10"/>
  <c r="J506" i="10"/>
  <c r="K506" i="10"/>
  <c r="L506" i="10"/>
  <c r="M506" i="10"/>
  <c r="N506" i="10"/>
  <c r="O506" i="10"/>
  <c r="P506" i="10"/>
  <c r="Q506" i="10"/>
  <c r="R506" i="10"/>
  <c r="S506" i="10"/>
  <c r="T506" i="10"/>
  <c r="U506" i="10"/>
  <c r="V506" i="10"/>
  <c r="W506" i="10"/>
  <c r="X506" i="10"/>
  <c r="Y506" i="10"/>
  <c r="Z506" i="10"/>
  <c r="AA506" i="10"/>
  <c r="AB506" i="10"/>
  <c r="AC506" i="10"/>
  <c r="AD506" i="10"/>
  <c r="AE506" i="10"/>
  <c r="AF506" i="10"/>
  <c r="AG506" i="10"/>
  <c r="AH506" i="10"/>
  <c r="AI506" i="10"/>
  <c r="AJ506" i="10"/>
  <c r="AK506" i="10"/>
  <c r="AL506" i="10"/>
  <c r="AM506" i="10"/>
  <c r="AN506" i="10"/>
  <c r="AO506" i="10"/>
  <c r="AP506" i="10"/>
  <c r="AQ506" i="10"/>
  <c r="AR506" i="10"/>
  <c r="AS506" i="10"/>
  <c r="AT506" i="10"/>
  <c r="AU506" i="10"/>
  <c r="AV506" i="10"/>
  <c r="AW506" i="10"/>
  <c r="AX506" i="10"/>
  <c r="AY506" i="10"/>
  <c r="AZ506" i="10"/>
  <c r="BA506" i="10"/>
  <c r="BB506" i="10"/>
  <c r="BC506" i="10"/>
  <c r="BD506" i="10"/>
  <c r="BE506" i="10"/>
  <c r="BF506" i="10"/>
  <c r="BG506" i="10"/>
  <c r="BH506" i="10"/>
  <c r="BI506" i="10"/>
  <c r="BJ506" i="10"/>
  <c r="BK506" i="10"/>
  <c r="BL506" i="10"/>
  <c r="BM506" i="10"/>
  <c r="BN506" i="10"/>
  <c r="BO506" i="10"/>
  <c r="H507" i="10"/>
  <c r="I507" i="10"/>
  <c r="J507" i="10"/>
  <c r="K507" i="10"/>
  <c r="L507" i="10"/>
  <c r="M507" i="10"/>
  <c r="N507" i="10"/>
  <c r="O507" i="10"/>
  <c r="P507" i="10"/>
  <c r="Q507" i="10"/>
  <c r="R507" i="10"/>
  <c r="S507" i="10"/>
  <c r="T507" i="10"/>
  <c r="U507" i="10"/>
  <c r="V507" i="10"/>
  <c r="W507" i="10"/>
  <c r="X507" i="10"/>
  <c r="Y507" i="10"/>
  <c r="Z507" i="10"/>
  <c r="AA507" i="10"/>
  <c r="AB507" i="10"/>
  <c r="AC507" i="10"/>
  <c r="AD507" i="10"/>
  <c r="AE507" i="10"/>
  <c r="AF507" i="10"/>
  <c r="AG507" i="10"/>
  <c r="AH507" i="10"/>
  <c r="AI507" i="10"/>
  <c r="AJ507" i="10"/>
  <c r="AK507" i="10"/>
  <c r="AL507" i="10"/>
  <c r="AM507" i="10"/>
  <c r="AN507" i="10"/>
  <c r="AO507" i="10"/>
  <c r="AP507" i="10"/>
  <c r="AQ507" i="10"/>
  <c r="AR507" i="10"/>
  <c r="AS507" i="10"/>
  <c r="AT507" i="10"/>
  <c r="AU507" i="10"/>
  <c r="AV507" i="10"/>
  <c r="AW507" i="10"/>
  <c r="AX507" i="10"/>
  <c r="AY507" i="10"/>
  <c r="AZ507" i="10"/>
  <c r="BA507" i="10"/>
  <c r="BB507" i="10"/>
  <c r="BC507" i="10"/>
  <c r="BD507" i="10"/>
  <c r="BE507" i="10"/>
  <c r="BF507" i="10"/>
  <c r="BG507" i="10"/>
  <c r="BH507" i="10"/>
  <c r="BI507" i="10"/>
  <c r="BJ507" i="10"/>
  <c r="BK507" i="10"/>
  <c r="BL507" i="10"/>
  <c r="BM507" i="10"/>
  <c r="BN507" i="10"/>
  <c r="BO507" i="10"/>
  <c r="H512" i="10" a="1"/>
  <c r="H512" i="10"/>
  <c r="H513" i="10"/>
  <c r="I513" i="10"/>
  <c r="J513" i="10"/>
  <c r="K513" i="10"/>
  <c r="L513" i="10"/>
  <c r="M513" i="10"/>
  <c r="N513" i="10"/>
  <c r="O513" i="10"/>
  <c r="P513" i="10"/>
  <c r="Q513" i="10"/>
  <c r="R513" i="10"/>
  <c r="S513" i="10"/>
  <c r="T513" i="10"/>
  <c r="U513" i="10"/>
  <c r="V513" i="10"/>
  <c r="W513" i="10"/>
  <c r="X513" i="10"/>
  <c r="Y513" i="10"/>
  <c r="Z513" i="10"/>
  <c r="AA513" i="10"/>
  <c r="AB513" i="10"/>
  <c r="AC513" i="10"/>
  <c r="AD513" i="10"/>
  <c r="AE513" i="10"/>
  <c r="AF513" i="10"/>
  <c r="AG513" i="10"/>
  <c r="AH513" i="10"/>
  <c r="AI513" i="10"/>
  <c r="AJ513" i="10"/>
  <c r="AK513" i="10"/>
  <c r="AL513" i="10"/>
  <c r="AM513" i="10"/>
  <c r="AN513" i="10"/>
  <c r="AO513" i="10"/>
  <c r="AP513" i="10"/>
  <c r="AQ513" i="10"/>
  <c r="AR513" i="10"/>
  <c r="AS513" i="10"/>
  <c r="AT513" i="10"/>
  <c r="AU513" i="10"/>
  <c r="AV513" i="10"/>
  <c r="AW513" i="10"/>
  <c r="AX513" i="10"/>
  <c r="AY513" i="10"/>
  <c r="AZ513" i="10"/>
  <c r="BA513" i="10"/>
  <c r="BB513" i="10"/>
  <c r="BC513" i="10"/>
  <c r="BD513" i="10"/>
  <c r="BE513" i="10"/>
  <c r="BF513" i="10"/>
  <c r="BG513" i="10"/>
  <c r="BH513" i="10"/>
  <c r="BI513" i="10"/>
  <c r="BJ513" i="10"/>
  <c r="BK513" i="10"/>
  <c r="BL513" i="10"/>
  <c r="BM513" i="10"/>
  <c r="BN513" i="10"/>
  <c r="BO513" i="10"/>
  <c r="H516" i="10" a="1"/>
  <c r="H516" i="10"/>
  <c r="H517" i="10" a="1"/>
  <c r="H517" i="10"/>
  <c r="H520" i="10" a="1"/>
  <c r="H520" i="10"/>
  <c r="H521" i="10"/>
  <c r="I521" i="10"/>
  <c r="J521" i="10"/>
  <c r="K521" i="10"/>
  <c r="L521" i="10"/>
  <c r="M521" i="10"/>
  <c r="N521" i="10"/>
  <c r="O521" i="10"/>
  <c r="P521" i="10"/>
  <c r="Q521" i="10"/>
  <c r="R521" i="10"/>
  <c r="S521" i="10"/>
  <c r="T521" i="10"/>
  <c r="U521" i="10"/>
  <c r="V521" i="10"/>
  <c r="W521" i="10"/>
  <c r="X521" i="10"/>
  <c r="Y521" i="10"/>
  <c r="Z521" i="10"/>
  <c r="AA521" i="10"/>
  <c r="AB521" i="10"/>
  <c r="AC521" i="10"/>
  <c r="AD521" i="10"/>
  <c r="AE521" i="10"/>
  <c r="AF521" i="10"/>
  <c r="AG521" i="10"/>
  <c r="AH521" i="10"/>
  <c r="AI521" i="10"/>
  <c r="AJ521" i="10"/>
  <c r="AK521" i="10"/>
  <c r="AL521" i="10"/>
  <c r="AM521" i="10"/>
  <c r="AN521" i="10"/>
  <c r="AO521" i="10"/>
  <c r="AP521" i="10"/>
  <c r="AQ521" i="10"/>
  <c r="AR521" i="10"/>
  <c r="AS521" i="10"/>
  <c r="AT521" i="10"/>
  <c r="AU521" i="10"/>
  <c r="AV521" i="10"/>
  <c r="AW521" i="10"/>
  <c r="AX521" i="10"/>
  <c r="AY521" i="10"/>
  <c r="AZ521" i="10"/>
  <c r="BA521" i="10"/>
  <c r="BB521" i="10"/>
  <c r="BC521" i="10"/>
  <c r="BD521" i="10"/>
  <c r="BE521" i="10"/>
  <c r="BF521" i="10"/>
  <c r="BG521" i="10"/>
  <c r="BH521" i="10"/>
  <c r="BI521" i="10"/>
  <c r="BJ521" i="10"/>
  <c r="BK521" i="10"/>
  <c r="BL521" i="10"/>
  <c r="BM521" i="10"/>
  <c r="BN521" i="10"/>
  <c r="BO521" i="10"/>
  <c r="H527" i="10" a="1"/>
  <c r="H527" i="10"/>
  <c r="H530" i="10"/>
  <c r="I530" i="10"/>
  <c r="J530" i="10"/>
  <c r="K530" i="10"/>
  <c r="L530" i="10"/>
  <c r="M530" i="10"/>
  <c r="N530" i="10"/>
  <c r="O530" i="10"/>
  <c r="P530" i="10"/>
  <c r="Q530" i="10"/>
  <c r="R530" i="10"/>
  <c r="S530" i="10"/>
  <c r="T530" i="10"/>
  <c r="U530" i="10"/>
  <c r="V530" i="10"/>
  <c r="W530" i="10"/>
  <c r="X530" i="10"/>
  <c r="Y530" i="10"/>
  <c r="Z530" i="10"/>
  <c r="AA530" i="10"/>
  <c r="AB530" i="10"/>
  <c r="AC530" i="10"/>
  <c r="AD530" i="10"/>
  <c r="AE530" i="10"/>
  <c r="AF530" i="10"/>
  <c r="AG530" i="10"/>
  <c r="AH530" i="10"/>
  <c r="AI530" i="10"/>
  <c r="AJ530" i="10"/>
  <c r="AK530" i="10"/>
  <c r="AL530" i="10"/>
  <c r="AM530" i="10"/>
  <c r="AN530" i="10"/>
  <c r="AO530" i="10"/>
  <c r="AP530" i="10"/>
  <c r="AQ530" i="10"/>
  <c r="AR530" i="10"/>
  <c r="AS530" i="10"/>
  <c r="AT530" i="10"/>
  <c r="AU530" i="10"/>
  <c r="AV530" i="10"/>
  <c r="AW530" i="10"/>
  <c r="AX530" i="10"/>
  <c r="AY530" i="10"/>
  <c r="AZ530" i="10"/>
  <c r="BA530" i="10"/>
  <c r="BB530" i="10"/>
  <c r="BC530" i="10"/>
  <c r="BD530" i="10"/>
  <c r="BE530" i="10"/>
  <c r="BF530" i="10"/>
  <c r="BG530" i="10"/>
  <c r="BH530" i="10"/>
  <c r="BI530" i="10"/>
  <c r="BJ530" i="10"/>
  <c r="BK530" i="10"/>
  <c r="BL530" i="10"/>
  <c r="BM530" i="10"/>
  <c r="BN530" i="10"/>
  <c r="BO530" i="10"/>
  <c r="H533" i="10"/>
  <c r="I533" i="10"/>
  <c r="J533" i="10"/>
  <c r="K533" i="10"/>
  <c r="L533" i="10"/>
  <c r="M533" i="10"/>
  <c r="N533" i="10"/>
  <c r="O533" i="10"/>
  <c r="P533" i="10"/>
  <c r="Q533" i="10"/>
  <c r="R533" i="10"/>
  <c r="S533" i="10"/>
  <c r="T533" i="10"/>
  <c r="U533" i="10"/>
  <c r="V533" i="10"/>
  <c r="W533" i="10"/>
  <c r="X533" i="10"/>
  <c r="Y533" i="10"/>
  <c r="Z533" i="10"/>
  <c r="AA533" i="10"/>
  <c r="AB533" i="10"/>
  <c r="AC533" i="10"/>
  <c r="AD533" i="10"/>
  <c r="AE533" i="10"/>
  <c r="AF533" i="10"/>
  <c r="AG533" i="10"/>
  <c r="AH533" i="10"/>
  <c r="AI533" i="10"/>
  <c r="AJ533" i="10"/>
  <c r="AK533" i="10"/>
  <c r="AL533" i="10"/>
  <c r="AM533" i="10"/>
  <c r="AN533" i="10"/>
  <c r="AO533" i="10"/>
  <c r="AP533" i="10"/>
  <c r="AQ533" i="10"/>
  <c r="AR533" i="10"/>
  <c r="AS533" i="10"/>
  <c r="AT533" i="10"/>
  <c r="AU533" i="10"/>
  <c r="AV533" i="10"/>
  <c r="AW533" i="10"/>
  <c r="AX533" i="10"/>
  <c r="AY533" i="10"/>
  <c r="AZ533" i="10"/>
  <c r="BA533" i="10"/>
  <c r="BB533" i="10"/>
  <c r="BC533" i="10"/>
  <c r="BD533" i="10"/>
  <c r="BE533" i="10"/>
  <c r="BF533" i="10"/>
  <c r="BG533" i="10"/>
  <c r="BH533" i="10"/>
  <c r="BI533" i="10"/>
  <c r="BJ533" i="10"/>
  <c r="BK533" i="10"/>
  <c r="BL533" i="10"/>
  <c r="BM533" i="10"/>
  <c r="BN533" i="10"/>
  <c r="BO533" i="10"/>
  <c r="H534" i="10" a="1"/>
  <c r="H534" i="10"/>
  <c r="H535" i="10" a="1"/>
  <c r="H535" i="10"/>
  <c r="G536" i="10"/>
  <c r="H536" i="10"/>
  <c r="I536" i="10"/>
  <c r="J536" i="10"/>
  <c r="K536" i="10"/>
  <c r="L536" i="10"/>
  <c r="M536" i="10"/>
  <c r="N536" i="10"/>
  <c r="O536" i="10"/>
  <c r="P536" i="10"/>
  <c r="Q536" i="10"/>
  <c r="R536" i="10"/>
  <c r="S536" i="10"/>
  <c r="T536" i="10"/>
  <c r="U536" i="10"/>
  <c r="V536" i="10"/>
  <c r="W536" i="10"/>
  <c r="X536" i="10"/>
  <c r="Y536" i="10"/>
  <c r="Z536" i="10"/>
  <c r="AA536" i="10"/>
  <c r="AB536" i="10"/>
  <c r="AC536" i="10"/>
  <c r="AD536" i="10"/>
  <c r="AE536" i="10"/>
  <c r="AF536" i="10"/>
  <c r="AG536" i="10"/>
  <c r="AH536" i="10"/>
  <c r="AI536" i="10"/>
  <c r="AJ536" i="10"/>
  <c r="AK536" i="10"/>
  <c r="AL536" i="10"/>
  <c r="AM536" i="10"/>
  <c r="AN536" i="10"/>
  <c r="AO536" i="10"/>
  <c r="AP536" i="10"/>
  <c r="AQ536" i="10"/>
  <c r="AR536" i="10"/>
  <c r="AS536" i="10"/>
  <c r="AT536" i="10"/>
  <c r="AU536" i="10"/>
  <c r="AV536" i="10"/>
  <c r="AW536" i="10"/>
  <c r="AX536" i="10"/>
  <c r="AY536" i="10"/>
  <c r="AZ536" i="10"/>
  <c r="BA536" i="10"/>
  <c r="BB536" i="10"/>
  <c r="BC536" i="10"/>
  <c r="BD536" i="10"/>
  <c r="BE536" i="10"/>
  <c r="BF536" i="10"/>
  <c r="BG536" i="10"/>
  <c r="BH536" i="10"/>
  <c r="BI536" i="10"/>
  <c r="BJ536" i="10"/>
  <c r="BK536" i="10"/>
  <c r="BL536" i="10"/>
  <c r="BM536" i="10"/>
  <c r="BN536" i="10"/>
  <c r="BO536" i="10"/>
  <c r="H538" i="10" a="1"/>
  <c r="H538" i="10"/>
  <c r="D30" i="11"/>
  <c r="E30" i="11"/>
  <c r="D31" i="11"/>
  <c r="E31" i="11"/>
  <c r="D33" i="11"/>
  <c r="E33" i="1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<sst xmlns="http://schemas.openxmlformats.org/spreadsheetml/2006/main" count="2991" uniqueCount="1380">
  <si>
    <t>5-Year 3-Statement Financial Model for Retail Store Network</t>
  </si>
  <si>
    <t>5-Year Monthly Financial Projection Model</t>
  </si>
  <si>
    <t>3-Statement Model Forecast  |  Store Expansion Evaluation  |  60-Month Projection Horizon</t>
  </si>
  <si>
    <t>Model Purpose:</t>
  </si>
  <si>
    <t>5-year 3-Statement Financial Model</t>
  </si>
  <si>
    <t>Projection Period:</t>
  </si>
  <si>
    <t>January 2026 — December 2030 (60 months)</t>
  </si>
  <si>
    <t>Industries:</t>
  </si>
  <si>
    <t>Retail | Multi-Store Network</t>
  </si>
  <si>
    <t>Revenue Lines:</t>
  </si>
  <si>
    <t xml:space="preserve">Device Sales · Accessory Sales · Mobile Plan Subscriptions </t>
  </si>
  <si>
    <t>Built By:</t>
  </si>
  <si>
    <t>Alicia Bruce</t>
  </si>
  <si>
    <t>Competition:</t>
  </si>
  <si>
    <t>Financial Modeling World Cup (FMWC) Case By Andrew Grigolyunovich, CFA, MFM</t>
  </si>
  <si>
    <t>Built using a Financial Modeling World Cup case. Synthetic data — for portfolio demonstration purposes only.</t>
  </si>
  <si>
    <t>TeleKings Inc. Dashboard</t>
  </si>
  <si>
    <t>5 Year Totals</t>
  </si>
  <si>
    <t>Revenue</t>
  </si>
  <si>
    <t>EBITDA</t>
  </si>
  <si>
    <t>EBITDA Percentage</t>
  </si>
  <si>
    <t>Net Income</t>
  </si>
  <si>
    <t>Ending Cash Balance</t>
  </si>
  <si>
    <t>Ending Debt</t>
  </si>
  <si>
    <t>Total Cities</t>
  </si>
  <si>
    <t>Total Stores</t>
  </si>
  <si>
    <t>Store Metrics</t>
  </si>
  <si>
    <t>City Metrics (select City below)</t>
  </si>
  <si>
    <t>Average Stores Per City</t>
  </si>
  <si>
    <t>Axisbyte</t>
  </si>
  <si>
    <t>Median Stores Per City</t>
  </si>
  <si>
    <t>Number of Stores</t>
  </si>
  <si>
    <t>Average Revenue Per City</t>
  </si>
  <si>
    <t>City Revenue</t>
  </si>
  <si>
    <t>Average Revenue Per Store</t>
  </si>
  <si>
    <t>City Revenue Per Store</t>
  </si>
  <si>
    <t>Number of Cannibalized Cities</t>
  </si>
  <si>
    <t>Cannibalized City</t>
  </si>
  <si>
    <t>[in thousands of $]</t>
  </si>
  <si>
    <t>Retail Kings</t>
  </si>
  <si>
    <t>Inputs and Assumptions</t>
  </si>
  <si>
    <t>1. General &amp; Sales Assumptions</t>
  </si>
  <si>
    <t>2. Demographic Data</t>
  </si>
  <si>
    <t>General Assumptions</t>
  </si>
  <si>
    <t>City</t>
  </si>
  <si>
    <t>Population</t>
  </si>
  <si>
    <t>Company Name</t>
  </si>
  <si>
    <t>[Date]</t>
  </si>
  <si>
    <t>TeleKings</t>
  </si>
  <si>
    <t>[ppl]</t>
  </si>
  <si>
    <t>First Date of Projections</t>
  </si>
  <si>
    <t>Bootwell</t>
  </si>
  <si>
    <t>Annual Inflation</t>
  </si>
  <si>
    <t>[% p.a.]</t>
  </si>
  <si>
    <t>Cacheford</t>
  </si>
  <si>
    <t>Datahaven</t>
  </si>
  <si>
    <t>Gross Profitability</t>
  </si>
  <si>
    <t>Etherport</t>
  </si>
  <si>
    <t>Plan Activation Commission</t>
  </si>
  <si>
    <t>[$/Unit]</t>
  </si>
  <si>
    <t>Fiberfall</t>
  </si>
  <si>
    <t>Device Sales - Gross Margin</t>
  </si>
  <si>
    <t>[%]</t>
  </si>
  <si>
    <t>Gigatown</t>
  </si>
  <si>
    <t>Accessory Sales - Gross Margin</t>
  </si>
  <si>
    <t>Hexavale</t>
  </si>
  <si>
    <t>Input City</t>
  </si>
  <si>
    <t>Sales Seasonality (% of Average)</t>
  </si>
  <si>
    <t>Junction Core</t>
  </si>
  <si>
    <t>January</t>
  </si>
  <si>
    <t>Kernel Heights</t>
  </si>
  <si>
    <t>February</t>
  </si>
  <si>
    <t>Logicridge</t>
  </si>
  <si>
    <t>March</t>
  </si>
  <si>
    <t>Megahub</t>
  </si>
  <si>
    <t>April</t>
  </si>
  <si>
    <t>Nodeline</t>
  </si>
  <si>
    <t>May</t>
  </si>
  <si>
    <t>Overclock Oasis</t>
  </si>
  <si>
    <t>June</t>
  </si>
  <si>
    <t>Pingborough</t>
  </si>
  <si>
    <t>July</t>
  </si>
  <si>
    <t>Quantum Quay</t>
  </si>
  <si>
    <t>August</t>
  </si>
  <si>
    <t>Renderburg</t>
  </si>
  <si>
    <t>September</t>
  </si>
  <si>
    <t>Socket Springs</t>
  </si>
  <si>
    <t>October</t>
  </si>
  <si>
    <t>TerraTask</t>
  </si>
  <si>
    <t>November</t>
  </si>
  <si>
    <t>Uploadia</t>
  </si>
  <si>
    <t>December</t>
  </si>
  <si>
    <t>Vector Valley</t>
  </si>
  <si>
    <t>Wiredown</t>
  </si>
  <si>
    <t>Operating Expenses</t>
  </si>
  <si>
    <t>Xenocode City</t>
  </si>
  <si>
    <t>Hours per month per Full-Time Equivalent</t>
  </si>
  <si>
    <t>[h/mo/FTE]</t>
  </si>
  <si>
    <t>Yieldville</t>
  </si>
  <si>
    <t>Sales Personnel Average Hourly Rate</t>
  </si>
  <si>
    <t>[$/h]</t>
  </si>
  <si>
    <t>ZeroDay Zone</t>
  </si>
  <si>
    <t>Other Sales Expenses per Store</t>
  </si>
  <si>
    <t>[$/mo/Store]</t>
  </si>
  <si>
    <t>General &amp; Administrative Expenses</t>
  </si>
  <si>
    <t>[$k/mo]</t>
  </si>
  <si>
    <t>New Store Data</t>
  </si>
  <si>
    <t>Store Cannibalization Penalty</t>
  </si>
  <si>
    <t>CAPEX per New Store</t>
  </si>
  <si>
    <t>[$k/Store]</t>
  </si>
  <si>
    <t>City Inhabitants per Store Threshhold</t>
  </si>
  <si>
    <t>Sales Personnel per New Store</t>
  </si>
  <si>
    <t>[FTE/Store]</t>
  </si>
  <si>
    <t>Penalty</t>
  </si>
  <si>
    <t>G&amp;A Expense Increase per New Store</t>
  </si>
  <si>
    <t>3. Balance Sheet Assumptions</t>
  </si>
  <si>
    <t>Selected Balance Sheet Items as of 12/31/2025</t>
  </si>
  <si>
    <t>Fixed Asset Assumptions</t>
  </si>
  <si>
    <t>Cash Balance</t>
  </si>
  <si>
    <t>[$k]</t>
  </si>
  <si>
    <t>Accounts Receivable</t>
  </si>
  <si>
    <t>Depreciation - Existing PP&amp;E (SL)</t>
  </si>
  <si>
    <t>[Years]</t>
  </si>
  <si>
    <t>Inventory</t>
  </si>
  <si>
    <t>Depreciation - New PP&amp;E (SL)</t>
  </si>
  <si>
    <t>Fixed Assets</t>
  </si>
  <si>
    <t>Amortization - Existing Intangibles (SL)</t>
  </si>
  <si>
    <t>Intangible Assets</t>
  </si>
  <si>
    <t>Revolving Line of Credit</t>
  </si>
  <si>
    <t>Accounts Payable</t>
  </si>
  <si>
    <t>Maximum Limit</t>
  </si>
  <si>
    <t>[$MM]</t>
  </si>
  <si>
    <t>Tax Payable</t>
  </si>
  <si>
    <t>Interest Rate</t>
  </si>
  <si>
    <t>Variable Rate Subordinate Debt</t>
  </si>
  <si>
    <t>Fixed Rate Senior Debt</t>
  </si>
  <si>
    <t>Common Stock (Share Capital)</t>
  </si>
  <si>
    <t>Remaining Repayment Term</t>
  </si>
  <si>
    <t>Tax &amp; Dividend Assumptions</t>
  </si>
  <si>
    <t>Variable Rate Subordinated Debt</t>
  </si>
  <si>
    <t>Tax Rate</t>
  </si>
  <si>
    <t>Dividend Payout Ratio</t>
  </si>
  <si>
    <t>Interest Rate Spread</t>
  </si>
  <si>
    <t>Base Interest Rate</t>
  </si>
  <si>
    <t>[Name]</t>
  </si>
  <si>
    <t>SOFR</t>
  </si>
  <si>
    <t>Working Capital</t>
  </si>
  <si>
    <t>Accounts Receivable Months</t>
  </si>
  <si>
    <t>[mo]</t>
  </si>
  <si>
    <t>Inventory per Store</t>
  </si>
  <si>
    <t>Accounts Payable Months</t>
  </si>
  <si>
    <t>Existing Store Sales - Monthly Averages 2025</t>
  </si>
  <si>
    <t>Existing Store Expense Data 2025</t>
  </si>
  <si>
    <t>#</t>
  </si>
  <si>
    <t>Store Name</t>
  </si>
  <si>
    <t>Mobile Plans</t>
  </si>
  <si>
    <t>Device Sales</t>
  </si>
  <si>
    <t>Accessory Sales</t>
  </si>
  <si>
    <t># of Employees (FTE)</t>
  </si>
  <si>
    <t>Monthly Rent &amp; Utilities</t>
  </si>
  <si>
    <t>[Units]</t>
  </si>
  <si>
    <t>[FTE]</t>
  </si>
  <si>
    <t>Junction Core Center Outlet</t>
  </si>
  <si>
    <t>Socket Springs Solutions Center</t>
  </si>
  <si>
    <t>Socket Springs Hub Wireless</t>
  </si>
  <si>
    <t>Hexavale Digital Retail Outlet</t>
  </si>
  <si>
    <t>Hexavale Plaza Retail</t>
  </si>
  <si>
    <t>Renderburg Connect Store</t>
  </si>
  <si>
    <t>Quantum Quay Link Hub</t>
  </si>
  <si>
    <t>Gigatown Market Mega Center</t>
  </si>
  <si>
    <t>Vector Valley Corner Retail</t>
  </si>
  <si>
    <t>Hexavale Pulse Retail Outlet</t>
  </si>
  <si>
    <t>Datahaven Square Express</t>
  </si>
  <si>
    <t>Overclock Oasis Max Kiosk</t>
  </si>
  <si>
    <t>Hexavale Spot Store</t>
  </si>
  <si>
    <t>Nodeline Mobile Wireless</t>
  </si>
  <si>
    <t>Hexavale Metro Wireless</t>
  </si>
  <si>
    <t>Axisbyte Plus Express</t>
  </si>
  <si>
    <t>Datahaven Pulse Wireless</t>
  </si>
  <si>
    <t>Vector Valley Telecom Store</t>
  </si>
  <si>
    <t>TerraTask Wireless Store</t>
  </si>
  <si>
    <t>Megahub Plaza Kiosk</t>
  </si>
  <si>
    <t>Datahaven Central Store</t>
  </si>
  <si>
    <t>Hexavale Arena Small Kiosk</t>
  </si>
  <si>
    <t>Socket Springs Corner Mobile</t>
  </si>
  <si>
    <t>Gigatown Square Express</t>
  </si>
  <si>
    <t>Hexavale Spot Shop</t>
  </si>
  <si>
    <t>Hexavale Fusion Mobile Center</t>
  </si>
  <si>
    <t>Datahaven Metro Kiosk</t>
  </si>
  <si>
    <t>Hexavale Pro Center</t>
  </si>
  <si>
    <t>TerraTask Retail Kiosk</t>
  </si>
  <si>
    <t>Socket Springs World Kiosk</t>
  </si>
  <si>
    <t>Socket Springs One Express</t>
  </si>
  <si>
    <t>Hexavale Corner Retail Center</t>
  </si>
  <si>
    <t>Gigatown Max Wireless</t>
  </si>
  <si>
    <t>Hexavale Metro Retail Center</t>
  </si>
  <si>
    <t>Hexavale Center</t>
  </si>
  <si>
    <t>Hexavale Corner Small Kiosk</t>
  </si>
  <si>
    <t>Overclock Oasis Wave Retail Outlet</t>
  </si>
  <si>
    <t>Hexavale Solutions Wireless Center</t>
  </si>
  <si>
    <t>Socket Springs Edge Retail</t>
  </si>
  <si>
    <t>Hexavale Tower Express Retail</t>
  </si>
  <si>
    <t>Hexavale Planet Outlet</t>
  </si>
  <si>
    <t>Gigatown Galaxy Store</t>
  </si>
  <si>
    <t>Hexavale Zone Express Retail</t>
  </si>
  <si>
    <t>Renderburg Center Retail Store</t>
  </si>
  <si>
    <t>Hexavale Pro Outlet Store</t>
  </si>
  <si>
    <t>Hexavale Pro Shop</t>
  </si>
  <si>
    <t>TerraTask Mobile Hub</t>
  </si>
  <si>
    <t>Hexavale Retail Kiosk</t>
  </si>
  <si>
    <t>Gigatown Store</t>
  </si>
  <si>
    <t>Gigatown Prime Outlet</t>
  </si>
  <si>
    <t>Renderburg Plus Center</t>
  </si>
  <si>
    <t>Nodeline Wave Retail</t>
  </si>
  <si>
    <t>Hexavale Market Hub</t>
  </si>
  <si>
    <t>Hexavale Max Wireless</t>
  </si>
  <si>
    <t>Renderburg Plus Retail Express</t>
  </si>
  <si>
    <t>Socket Springs Metro Express</t>
  </si>
  <si>
    <t>Hexavale Fusion Center Store</t>
  </si>
  <si>
    <t>Gigatown Express Retail</t>
  </si>
  <si>
    <t>TerraTask Square Outlet</t>
  </si>
  <si>
    <t>Renderburg Outlet Retail Store</t>
  </si>
  <si>
    <t>TerraTask Fusion Outlet</t>
  </si>
  <si>
    <t>Quantum Quay Wireless Kiosk</t>
  </si>
  <si>
    <t>Hexavale Zone Center</t>
  </si>
  <si>
    <t>Hexavale Digital Outlet</t>
  </si>
  <si>
    <t>Renderburg Outlet Small Shop</t>
  </si>
  <si>
    <t>Hexavale Fusion Store</t>
  </si>
  <si>
    <t>Gigatown Planet Wireless</t>
  </si>
  <si>
    <t>TerraTask Zone Hub</t>
  </si>
  <si>
    <t>Renderburg Fusion Shop</t>
  </si>
  <si>
    <t>Hexavale Point Wireless</t>
  </si>
  <si>
    <t>Socket Springs Pro Express</t>
  </si>
  <si>
    <t>TerraTask Center Mobile</t>
  </si>
  <si>
    <t>Logicridge Max Store</t>
  </si>
  <si>
    <t>Renderburg Power Tower Hub</t>
  </si>
  <si>
    <t>Pingborough Edge Hub</t>
  </si>
  <si>
    <t>Cacheford One Outlet</t>
  </si>
  <si>
    <t>Vector Valley Edge Wireless</t>
  </si>
  <si>
    <t>Renderburg One Retail Center</t>
  </si>
  <si>
    <t>Renderburg Mobile Store Express</t>
  </si>
  <si>
    <t>Overclock Oasis Shop Outlet</t>
  </si>
  <si>
    <t>Hexavale Mobile Hub</t>
  </si>
  <si>
    <t>Socket Springs Plaza Retail Center</t>
  </si>
  <si>
    <t>Hexavale Center Retail Store</t>
  </si>
  <si>
    <t>Hexavale Solutions Shop</t>
  </si>
  <si>
    <t>Renderburg Hub Outlet</t>
  </si>
  <si>
    <t>Quantum Quay Shop Express</t>
  </si>
  <si>
    <t>Hexavale Wireless Wireless</t>
  </si>
  <si>
    <t>Bootwell Solutions Wireless</t>
  </si>
  <si>
    <t>Hexavale Retail</t>
  </si>
  <si>
    <t>Overclock Oasis Store Store</t>
  </si>
  <si>
    <t>Hexavale Prime Kiosk</t>
  </si>
  <si>
    <t>Renderburg Center Retail</t>
  </si>
  <si>
    <t>Input City Metro Shop</t>
  </si>
  <si>
    <t>Gigatown Planet Shop</t>
  </si>
  <si>
    <t>Pingborough Prime Store</t>
  </si>
  <si>
    <t>Datahaven Arena Shop</t>
  </si>
  <si>
    <t>Renderburg Square Mobile</t>
  </si>
  <si>
    <t>Hexavale Mall Telecom Hub</t>
  </si>
  <si>
    <t>Hexavale Store Telecom Retail</t>
  </si>
  <si>
    <t>Vector Valley Central Store</t>
  </si>
  <si>
    <t>Hexavale Digital Store</t>
  </si>
  <si>
    <t>Renderburg Spot Hub</t>
  </si>
  <si>
    <t>Junction Core Plus Hub</t>
  </si>
  <si>
    <t>Socket Springs Outlet Kiosk</t>
  </si>
  <si>
    <t>Hexavale Pro Outlet</t>
  </si>
  <si>
    <t>Renderburg Hub+ Hub</t>
  </si>
  <si>
    <t>Bootwell Express Shop</t>
  </si>
  <si>
    <t>Socket Springs Prime Kiosk</t>
  </si>
  <si>
    <t>Renderburg Metro Store</t>
  </si>
  <si>
    <t>Cacheford Pulse Mobile</t>
  </si>
  <si>
    <t>Bootwell Spot Retail</t>
  </si>
  <si>
    <t>Socket Springs Outlet Center</t>
  </si>
  <si>
    <t>TerraTask World Mobile</t>
  </si>
  <si>
    <t>Hexavale Store Center</t>
  </si>
  <si>
    <t>Socket Springs Outlet Shop</t>
  </si>
  <si>
    <t>Hexavale Zone Shop</t>
  </si>
  <si>
    <t>Renderburg Digital Hub</t>
  </si>
  <si>
    <t>Gigatown Ultra Express</t>
  </si>
  <si>
    <t>Gigatown Zone Hub</t>
  </si>
  <si>
    <t>Gigatown Zone Retail</t>
  </si>
  <si>
    <t>Hexavale Connect Wireless</t>
  </si>
  <si>
    <t>Etherport Center Express</t>
  </si>
  <si>
    <t>Hexavale Digital Hub</t>
  </si>
  <si>
    <t>Hexavale Plus Shop</t>
  </si>
  <si>
    <t>Socket Springs Plus Hub</t>
  </si>
  <si>
    <t>Overclock Oasis Ultra Express</t>
  </si>
  <si>
    <t>Renderburg Edge Center</t>
  </si>
  <si>
    <t>TerraTask Tower Wireless</t>
  </si>
  <si>
    <t>Renderburg Max Kiosk</t>
  </si>
  <si>
    <t>Renderburg Fusion Mobile</t>
  </si>
  <si>
    <t>Datahaven Point Mobile</t>
  </si>
  <si>
    <t>Renderburg Galaxy Retail</t>
  </si>
  <si>
    <t>TerraTask Corner Retail</t>
  </si>
  <si>
    <t>Socket Springs Store Kiosk</t>
  </si>
  <si>
    <t>Gigatown Shop Retail</t>
  </si>
  <si>
    <t>Overclock Oasis Wave Outlet</t>
  </si>
  <si>
    <t>Renderburg Edge Center Telecom</t>
  </si>
  <si>
    <t>Overclock Oasis Planet Mobile</t>
  </si>
  <si>
    <t>Hexavale Zone Store</t>
  </si>
  <si>
    <t>Overclock Oasis Wireless Retail</t>
  </si>
  <si>
    <t>Renderburg Prime Kiosk</t>
  </si>
  <si>
    <t>Hexavale Max Retail</t>
  </si>
  <si>
    <t>Quantum Quay Link Mobile</t>
  </si>
  <si>
    <t>Hexavale Metro Outlet</t>
  </si>
  <si>
    <t>Socket Springs Arena Express</t>
  </si>
  <si>
    <t>Socket Springs Fusion Outlet</t>
  </si>
  <si>
    <t>Input City Pro Shop</t>
  </si>
  <si>
    <t>Socket Springs Metro Outlet</t>
  </si>
  <si>
    <t>Hexavale Mall Center</t>
  </si>
  <si>
    <t>Gigatown Corner Hub</t>
  </si>
  <si>
    <t>Hexavale Fusion Wireless</t>
  </si>
  <si>
    <t>Hexavale Shop Hub</t>
  </si>
  <si>
    <t>Socket Springs Outlet Store</t>
  </si>
  <si>
    <t>Hexavale Ultra Mobile</t>
  </si>
  <si>
    <t>Socket Springs Market Retail</t>
  </si>
  <si>
    <t>Hexavale Outlet Center</t>
  </si>
  <si>
    <t>Socket Springs Corner Shop</t>
  </si>
  <si>
    <t>Renderburg Wireless Express</t>
  </si>
  <si>
    <t>Renderburg Plus Mobile</t>
  </si>
  <si>
    <t>Renderburg Plus Hub</t>
  </si>
  <si>
    <t>Overclock Oasis Square Wireless</t>
  </si>
  <si>
    <t>Gigatown Pulse Shop</t>
  </si>
  <si>
    <t>Hexavale Planet Mobile</t>
  </si>
  <si>
    <t>Renderburg Central Center</t>
  </si>
  <si>
    <t>Socket Springs Central Express</t>
  </si>
  <si>
    <t>Gigatown Planet Store</t>
  </si>
  <si>
    <t>Gigatown Wireless Mobile</t>
  </si>
  <si>
    <t>Quantum Quay Store Outlet</t>
  </si>
  <si>
    <t>Hexavale Mall Wireless</t>
  </si>
  <si>
    <t>Socket Springs Fusion Retail</t>
  </si>
  <si>
    <t>Renderburg Plus Wireless</t>
  </si>
  <si>
    <t>Socket Springs Prime Hub</t>
  </si>
  <si>
    <t>Hexavale Arena Express</t>
  </si>
  <si>
    <t>Renderburg Arena Shop</t>
  </si>
  <si>
    <t>Hexavale Point Express</t>
  </si>
  <si>
    <t>TerraTask Hub+ Express</t>
  </si>
  <si>
    <t>Input City Hub Retail</t>
  </si>
  <si>
    <t>Vector Valley Central Hub</t>
  </si>
  <si>
    <t>Junction Core Spot Hub</t>
  </si>
  <si>
    <t>Socket Springs Square Retail</t>
  </si>
  <si>
    <t>Socket Springs Spot Shop</t>
  </si>
  <si>
    <t>Vector Valley Center Wireless</t>
  </si>
  <si>
    <t>Hexavale Fusion Center</t>
  </si>
  <si>
    <t>Hexavale Market Wireless</t>
  </si>
  <si>
    <t>Hexavale Center Store</t>
  </si>
  <si>
    <t>Hexavale Store Shop</t>
  </si>
  <si>
    <t>Hexavale Pulse Outlet</t>
  </si>
  <si>
    <t>Overclock Oasis Fusion Retail</t>
  </si>
  <si>
    <t>Hexavale Pulse Express</t>
  </si>
  <si>
    <t>Overclock Oasis World Mobile</t>
  </si>
  <si>
    <t>Kernel Heights Plus Kiosk</t>
  </si>
  <si>
    <t>Wiredown Wave Store</t>
  </si>
  <si>
    <t>Renderburg Fusion Mobile Telecom</t>
  </si>
  <si>
    <t>Hexavale Tower Express</t>
  </si>
  <si>
    <t>Hexavale Center Hub</t>
  </si>
  <si>
    <t>Overclock Oasis Planet Shop</t>
  </si>
  <si>
    <t>Hexavale Retail Shop</t>
  </si>
  <si>
    <t>Socket Springs Planet Store</t>
  </si>
  <si>
    <t>Renderburg World Center</t>
  </si>
  <si>
    <t>Input City Planet Center</t>
  </si>
  <si>
    <t>Renderburg One Store</t>
  </si>
  <si>
    <t>Bootwell Retail Mobile</t>
  </si>
  <si>
    <t>Datahaven Telecom Wireless</t>
  </si>
  <si>
    <t>Overclock Oasis Plus Shop</t>
  </si>
  <si>
    <t>Renderburg One Shop</t>
  </si>
  <si>
    <t>Hexavale Corner Shop</t>
  </si>
  <si>
    <t>Hexavale Wireless Shop</t>
  </si>
  <si>
    <t>Gigatown One Outlet</t>
  </si>
  <si>
    <t>Socket Springs Wave Retail</t>
  </si>
  <si>
    <t>Socket Springs Market Center</t>
  </si>
  <si>
    <t>Hexavale Tower Shop</t>
  </si>
  <si>
    <t>Hexavale Express Mobile</t>
  </si>
  <si>
    <t>Overclock Oasis Mall Retail</t>
  </si>
  <si>
    <t>Socket Springs Mall Retail</t>
  </si>
  <si>
    <t>Hexavale Express Wireless</t>
  </si>
  <si>
    <t>Socket Springs One Center</t>
  </si>
  <si>
    <t>Hexavale Square Kiosk</t>
  </si>
  <si>
    <t>Socket Springs Metro Mobile</t>
  </si>
  <si>
    <t>Hexavale Square Hub</t>
  </si>
  <si>
    <t>Hexavale Square Express</t>
  </si>
  <si>
    <t>Overclock Oasis Shop Center</t>
  </si>
  <si>
    <t>Hexavale Plaza Shop</t>
  </si>
  <si>
    <t>Renderburg Hub+ Hub Telecom</t>
  </si>
  <si>
    <t>Socket Springs Shop Express</t>
  </si>
  <si>
    <t>Datahaven Mobile Express</t>
  </si>
  <si>
    <t>Socket Springs Solutions Shop</t>
  </si>
  <si>
    <t>Junction Core Corner Wireless</t>
  </si>
  <si>
    <t>Renderburg Store Mobile</t>
  </si>
  <si>
    <t>Hexavale Point Outlet</t>
  </si>
  <si>
    <t>Hexavale Central Hub</t>
  </si>
  <si>
    <t>Hexavale Mall Outlet</t>
  </si>
  <si>
    <t>Renderburg Digital Store</t>
  </si>
  <si>
    <t>Socket Springs Retail Express</t>
  </si>
  <si>
    <t>Hexavale Planet Express</t>
  </si>
  <si>
    <t>TerraTask Prime Center</t>
  </si>
  <si>
    <t>Renderburg Express Outlet</t>
  </si>
  <si>
    <t>Hexavale Link Express</t>
  </si>
  <si>
    <t>Renderburg Max Mobile</t>
  </si>
  <si>
    <t>Hexavale Arena Kiosk</t>
  </si>
  <si>
    <t>Renderburg Planet Outlet</t>
  </si>
  <si>
    <t>Renderburg Galaxy Mobile</t>
  </si>
  <si>
    <t>Renderburg Central Mobile</t>
  </si>
  <si>
    <t>Hexavale Square Hub Telecom</t>
  </si>
  <si>
    <t>Hexavale Outlet Center Telecom</t>
  </si>
  <si>
    <t>Socket Springs Point Retail</t>
  </si>
  <si>
    <t>Gigatown Point Express</t>
  </si>
  <si>
    <t>Kernel Heights Solutions Center</t>
  </si>
  <si>
    <t>Hexavale Plus Express</t>
  </si>
  <si>
    <t>Renderburg Galaxy Outlet</t>
  </si>
  <si>
    <t>Hexavale Prime Wireless</t>
  </si>
  <si>
    <t>Renderburg Spot Outlet</t>
  </si>
  <si>
    <t>Overclock Oasis Spot Center</t>
  </si>
  <si>
    <t>Vector Valley World Outlet</t>
  </si>
  <si>
    <t>Bootwell Plaza Store</t>
  </si>
  <si>
    <t>Vector Valley Spot Center</t>
  </si>
  <si>
    <t>Socket Springs Plaza Center</t>
  </si>
  <si>
    <t>Renderburg Digital Kiosk</t>
  </si>
  <si>
    <t>Gigatown Mobile Wireless</t>
  </si>
  <si>
    <t>Socket Springs Plus Outlet</t>
  </si>
  <si>
    <t>Vector Valley Central Retail</t>
  </si>
  <si>
    <t>Hexavale Galaxy Store</t>
  </si>
  <si>
    <t>Socket Springs Outlet Wireless</t>
  </si>
  <si>
    <t>Renderburg Corner Outlet</t>
  </si>
  <si>
    <t>Datahaven Wave Express</t>
  </si>
  <si>
    <t>Hexavale Spot Outlet</t>
  </si>
  <si>
    <t>Hexavale Hub+ Store</t>
  </si>
  <si>
    <t>Renderburg Wireless Center</t>
  </si>
  <si>
    <t>Hexavale Store Kiosk</t>
  </si>
  <si>
    <t>Overclock Oasis Point Mobile</t>
  </si>
  <si>
    <t>Vector Valley Pro Kiosk</t>
  </si>
  <si>
    <t>Renderburg Metro Center</t>
  </si>
  <si>
    <t>Socket Springs Digital Kiosk</t>
  </si>
  <si>
    <t>Renderburg Telecom Center</t>
  </si>
  <si>
    <t>Socket Springs Link Wireless</t>
  </si>
  <si>
    <t>Hexavale Express Kiosk</t>
  </si>
  <si>
    <t>Hexavale Store Center Telecom</t>
  </si>
  <si>
    <t>Socket Springs Prime Store</t>
  </si>
  <si>
    <t>Renderburg Tower Store</t>
  </si>
  <si>
    <t>Hexavale Tower Outlet</t>
  </si>
  <si>
    <t>Gigatown Plus Hub</t>
  </si>
  <si>
    <t>Socket Springs Store Center</t>
  </si>
  <si>
    <t>Renderburg One Wireless</t>
  </si>
  <si>
    <t>Socket Springs Plaza Shop</t>
  </si>
  <si>
    <t>Hexavale Store Wireless</t>
  </si>
  <si>
    <t>Hexavale World Retail</t>
  </si>
  <si>
    <t>Vector Valley Mobile Wireless</t>
  </si>
  <si>
    <t>Datahaven Metro Retail</t>
  </si>
  <si>
    <t>Overclock Oasis Telecom Mobile</t>
  </si>
  <si>
    <t>Hexavale Zone Retail</t>
  </si>
  <si>
    <t>Datahaven Digital Shop</t>
  </si>
  <si>
    <t>Yieldville Edge Wireless</t>
  </si>
  <si>
    <t>Hexavale World Retail Telecom</t>
  </si>
  <si>
    <t>Hexavale Mall Express</t>
  </si>
  <si>
    <t>Socket Springs Center Retail</t>
  </si>
  <si>
    <t>TerraTask Shop Hub</t>
  </si>
  <si>
    <t>Hexavale Express Retail</t>
  </si>
  <si>
    <t>Socket Springs Zone Hub</t>
  </si>
  <si>
    <t>Socket Springs Tower Shop</t>
  </si>
  <si>
    <t>TerraTask Retail Center</t>
  </si>
  <si>
    <t>Input City Digital Mobile</t>
  </si>
  <si>
    <t>Hexavale Express Shop</t>
  </si>
  <si>
    <t>Hexavale Solutions Retail</t>
  </si>
  <si>
    <t>TerraTask Express Retail</t>
  </si>
  <si>
    <t>Hexavale Hub Outlet</t>
  </si>
  <si>
    <t>Hexavale Planet Store</t>
  </si>
  <si>
    <t>Hexavale Retail Mobile</t>
  </si>
  <si>
    <t>Hexavale Express Shop Telecom</t>
  </si>
  <si>
    <t>Overclock Oasis Max Retail</t>
  </si>
  <si>
    <t>Socket Springs Center Shop</t>
  </si>
  <si>
    <t>Gigatown One Mobile</t>
  </si>
  <si>
    <t>Socket Springs Market Express</t>
  </si>
  <si>
    <t>Input City Fusion Wireless</t>
  </si>
  <si>
    <t>Bootwell Ultra Express</t>
  </si>
  <si>
    <t>Renderburg Mobile Wireless</t>
  </si>
  <si>
    <t>Hexavale Prime Mobile</t>
  </si>
  <si>
    <t>Socket Springs Outlet Retail</t>
  </si>
  <si>
    <t>Renderburg Fusion Outlet</t>
  </si>
  <si>
    <t>Hexavale Galaxy Kiosk</t>
  </si>
  <si>
    <t>Hexavale Zone Express</t>
  </si>
  <si>
    <t>Renderburg Ultra Kiosk</t>
  </si>
  <si>
    <t>Renderburg Zone Shop</t>
  </si>
  <si>
    <t>Socket Springs Hub Store</t>
  </si>
  <si>
    <t>Gigatown One Wireless</t>
  </si>
  <si>
    <t>Bootwell Hub Wireless</t>
  </si>
  <si>
    <t>Bootwell Arena Kiosk</t>
  </si>
  <si>
    <t>Socket Springs Retail Retail</t>
  </si>
  <si>
    <t>Socket Springs Store Wireless</t>
  </si>
  <si>
    <t>Hexavale Fusion Retail</t>
  </si>
  <si>
    <t>Hexavale Express Wireless Telecom</t>
  </si>
  <si>
    <t>Bootwell Galaxy Retail</t>
  </si>
  <si>
    <t>Hexavale Store Retail</t>
  </si>
  <si>
    <t>Overclock Oasis Connect Hub</t>
  </si>
  <si>
    <t>Nodeline Tower Kiosk</t>
  </si>
  <si>
    <t>Renderburg Outlet Outlet</t>
  </si>
  <si>
    <t>Socket Springs Central Kiosk</t>
  </si>
  <si>
    <t>Socket Springs Plus Wireless</t>
  </si>
  <si>
    <t>Gigatown Planet Center</t>
  </si>
  <si>
    <t>Input City Arena Kiosk</t>
  </si>
  <si>
    <t>Socket Springs Link Express</t>
  </si>
  <si>
    <t>Pingborough Edge Center</t>
  </si>
  <si>
    <t>Hexavale Zone Wireless</t>
  </si>
  <si>
    <t>Datahaven Zone Kiosk</t>
  </si>
  <si>
    <t>Renderburg Metro Center Telecom</t>
  </si>
  <si>
    <t>Socket Springs Wave Hub</t>
  </si>
  <si>
    <t>Cacheford Galaxy Kiosk</t>
  </si>
  <si>
    <t>Socket Springs Tower Express</t>
  </si>
  <si>
    <t>Hexavale Digital Store Telecom</t>
  </si>
  <si>
    <t>Quantum Quay Arena Outlet</t>
  </si>
  <si>
    <t>Hexavale Pro Outlet Telecom</t>
  </si>
  <si>
    <t>Hexavale Mobile Kiosk</t>
  </si>
  <si>
    <t>Axisbyte Market Kiosk</t>
  </si>
  <si>
    <t>Hexavale Ultra Outlet</t>
  </si>
  <si>
    <t>Hexavale Pro Retail</t>
  </si>
  <si>
    <t>Renderburg Point Express</t>
  </si>
  <si>
    <t>Hexavale Metro Kiosk</t>
  </si>
  <si>
    <t>Hexavale World Kiosk</t>
  </si>
  <si>
    <t>Hexavale Mall Kiosk</t>
  </si>
  <si>
    <t>Xenocode City Metro Wireless</t>
  </si>
  <si>
    <t>Hexavale Point Retail</t>
  </si>
  <si>
    <t>Wiredown Edge Wireless</t>
  </si>
  <si>
    <t>Hexavale Connect Mobile</t>
  </si>
  <si>
    <t>Hexavale Telecom Hub</t>
  </si>
  <si>
    <t>Vector Valley Connect Wireless</t>
  </si>
  <si>
    <t>Hexavale Plaza Outlet</t>
  </si>
  <si>
    <t>Hexavale Plaza Hub</t>
  </si>
  <si>
    <t>Hexavale Mall Hub</t>
  </si>
  <si>
    <t>Hexavale Corner Retail</t>
  </si>
  <si>
    <t>Overclock Oasis Hub+ Mobile</t>
  </si>
  <si>
    <t>Hexavale Market Outlet</t>
  </si>
  <si>
    <t>Renderburg Solutions Store</t>
  </si>
  <si>
    <t>Overclock Oasis Wireless Express</t>
  </si>
  <si>
    <t>Socket Springs Pro Center</t>
  </si>
  <si>
    <t>Socket Springs Planet Store Telecom</t>
  </si>
  <si>
    <t>Hexavale Hub+ Wireless</t>
  </si>
  <si>
    <t>Renderburg World Mobile</t>
  </si>
  <si>
    <t>Etherport Planet Retail</t>
  </si>
  <si>
    <t>Vector Valley Connect Center</t>
  </si>
  <si>
    <t>Renderburg Fusion Kiosk</t>
  </si>
  <si>
    <t>Renderburg Ultra Store</t>
  </si>
  <si>
    <t>Renderburg Max Center</t>
  </si>
  <si>
    <t>Hexavale Point Mobile</t>
  </si>
  <si>
    <t>Vector Valley Corner Center</t>
  </si>
  <si>
    <t>Hexavale Edge Center</t>
  </si>
  <si>
    <t>Hexavale Digital Hub Telecom</t>
  </si>
  <si>
    <t>TerraTask Shop Retail</t>
  </si>
  <si>
    <t>Renderburg Digital Wireless</t>
  </si>
  <si>
    <t>Renderburg Metro Express</t>
  </si>
  <si>
    <t>Axisbyte Edge Center</t>
  </si>
  <si>
    <t>Renderburg Central Express</t>
  </si>
  <si>
    <t>Bootwell Market Center</t>
  </si>
  <si>
    <t>Logicridge Mall Store</t>
  </si>
  <si>
    <t>Wiredown Center Retail</t>
  </si>
  <si>
    <t>Hexavale Wireless Kiosk</t>
  </si>
  <si>
    <t>TerraTask Planet Store</t>
  </si>
  <si>
    <t>Hexavale Point Shop</t>
  </si>
  <si>
    <t>Socket Springs Plus Express</t>
  </si>
  <si>
    <t>Gigatown Fusion Retail</t>
  </si>
  <si>
    <t>Renderburg Solutions Outlet</t>
  </si>
  <si>
    <t>Renderburg Connect Center</t>
  </si>
  <si>
    <t>Socket Springs Edge Hub</t>
  </si>
  <si>
    <t>Hexavale Wave Kiosk</t>
  </si>
  <si>
    <t>TerraTask Wireless Shop</t>
  </si>
  <si>
    <t>Socket Springs Market Hub</t>
  </si>
  <si>
    <t>Datahaven Arena Hub</t>
  </si>
  <si>
    <t>Hexavale Connect Retail</t>
  </si>
  <si>
    <t>Xenocode City Tower Shop</t>
  </si>
  <si>
    <t>Hexavale Shop Mobile</t>
  </si>
  <si>
    <t>Renderburg Telecom Hub</t>
  </si>
  <si>
    <t>Socket Springs Zone Hub Telecom</t>
  </si>
  <si>
    <t>Renderburg Hub Wireless</t>
  </si>
  <si>
    <t>Socket Springs Fusion Retail Telecom</t>
  </si>
  <si>
    <t>TerraTask Market Outlet</t>
  </si>
  <si>
    <t>Renderburg Center Wireless</t>
  </si>
  <si>
    <t>Renderburg Planet Hub</t>
  </si>
  <si>
    <t>Socket Springs Fusion Center</t>
  </si>
  <si>
    <t>Hexavale Telecom Mobile</t>
  </si>
  <si>
    <t>Socket Springs Mobile Express</t>
  </si>
  <si>
    <t>TerraTask World Store</t>
  </si>
  <si>
    <t>Hexavale Digital Kiosk</t>
  </si>
  <si>
    <t>Socket Springs Wave Mobile</t>
  </si>
  <si>
    <t>Hexavale Store Wireless Telecom</t>
  </si>
  <si>
    <t>Hexavale Solutions Store</t>
  </si>
  <si>
    <t>Hexavale Digital Center</t>
  </si>
  <si>
    <t>Socket Springs Digital Express</t>
  </si>
  <si>
    <t>Hexavale Shop Shop</t>
  </si>
  <si>
    <t>Hexavale Connect Shop</t>
  </si>
  <si>
    <t>Socket Springs Tower Wireless</t>
  </si>
  <si>
    <t>Socket Springs Mobile Hub</t>
  </si>
  <si>
    <t>Gigatown Digital Kiosk</t>
  </si>
  <si>
    <t>Hexavale Hub+ Mobile</t>
  </si>
  <si>
    <t>Overclock Oasis Wave Retail</t>
  </si>
  <si>
    <t>Renderburg Pulse Wireless</t>
  </si>
  <si>
    <t>Socket Springs World Mobile</t>
  </si>
  <si>
    <t>Input City Central Wireless</t>
  </si>
  <si>
    <t>Socket Springs Connect Express</t>
  </si>
  <si>
    <t>Overclock Oasis Metro Hub</t>
  </si>
  <si>
    <t>Hexavale Telecom Kiosk</t>
  </si>
  <si>
    <t>Hexavale Galaxy Retail</t>
  </si>
  <si>
    <t>Hexavale Mall Center Telecom</t>
  </si>
  <si>
    <t>Hexavale Galaxy Hub</t>
  </si>
  <si>
    <t>Renderburg Hub+ Mobile</t>
  </si>
  <si>
    <t>Gigatown World Express</t>
  </si>
  <si>
    <t>Hexavale Wave Retail</t>
  </si>
  <si>
    <t>TerraTask Ultra Express</t>
  </si>
  <si>
    <t>Socket Springs Express Retail</t>
  </si>
  <si>
    <t>Renderburg Mobile Mobile</t>
  </si>
  <si>
    <t>Hexavale Shop Shop Telecom</t>
  </si>
  <si>
    <t>Hexavale Corner Shop Telecom</t>
  </si>
  <si>
    <t>Socket Springs Square Express</t>
  </si>
  <si>
    <t>Renderburg Wave Mobile</t>
  </si>
  <si>
    <t>Socket Springs Tower Hub</t>
  </si>
  <si>
    <t>Datahaven Galaxy Shop</t>
  </si>
  <si>
    <t>Overclock Oasis Corner Shop</t>
  </si>
  <si>
    <t>Renderburg Square Store</t>
  </si>
  <si>
    <t>TerraTask Planet Outlet</t>
  </si>
  <si>
    <t>Renderburg World Retail</t>
  </si>
  <si>
    <t>Uploadia Plus Center</t>
  </si>
  <si>
    <t>TerraTask Prime Hub</t>
  </si>
  <si>
    <t>Hexavale Shop Mobile Telecom</t>
  </si>
  <si>
    <t>Socket Springs Mall Mobile</t>
  </si>
  <si>
    <t>TerraTask Zone Mobile</t>
  </si>
  <si>
    <t>Socket Springs World Wireless</t>
  </si>
  <si>
    <t>Hexavale Center Kiosk</t>
  </si>
  <si>
    <t>Hexavale Link Outlet</t>
  </si>
  <si>
    <t>TerraTask Plaza Retail</t>
  </si>
  <si>
    <t>TerraTask Mall Kiosk</t>
  </si>
  <si>
    <t>Gigatown Max Retail</t>
  </si>
  <si>
    <t>Renderburg Hub+ Wireless</t>
  </si>
  <si>
    <t>Hexavale Planet Shop</t>
  </si>
  <si>
    <t>Socket Springs Hub+ Retail</t>
  </si>
  <si>
    <t>Renderburg Max Shop</t>
  </si>
  <si>
    <t>Gigatown Edge Kiosk</t>
  </si>
  <si>
    <t>Overclock Oasis Ultra Express Telecom</t>
  </si>
  <si>
    <t>Hexavale Connect Express</t>
  </si>
  <si>
    <t>Hexavale Telecom Shop</t>
  </si>
  <si>
    <t>Renderburg Galaxy Kiosk</t>
  </si>
  <si>
    <t>Renderburg Wireless Retail</t>
  </si>
  <si>
    <t>Gigatown Retail Outlet</t>
  </si>
  <si>
    <t>Socket Springs Plaza Mobile</t>
  </si>
  <si>
    <t>Hexavale Center Retail</t>
  </si>
  <si>
    <t>TerraTask Pro Hub</t>
  </si>
  <si>
    <t>Hexavale Prime Hub</t>
  </si>
  <si>
    <t>Hexavale Hub Kiosk</t>
  </si>
  <si>
    <t>Gigatown Hub Center</t>
  </si>
  <si>
    <t>Gigatown Plus Outlet</t>
  </si>
  <si>
    <t>Hexavale Point Kiosk</t>
  </si>
  <si>
    <t>Hexavale Central Retail</t>
  </si>
  <si>
    <t>Renderburg Corner Center</t>
  </si>
  <si>
    <t>TerraTask Square Retail</t>
  </si>
  <si>
    <t>Xenocode City Mobile Hub</t>
  </si>
  <si>
    <t>Renderburg Link Hub</t>
  </si>
  <si>
    <t>Overclock Oasis Solutions Shop</t>
  </si>
  <si>
    <t>Hexavale Center Shop</t>
  </si>
  <si>
    <t>Gigatown Market Center</t>
  </si>
  <si>
    <t>Hexavale Galaxy Store Telecom</t>
  </si>
  <si>
    <t>TerraTask Square Shop</t>
  </si>
  <si>
    <t>Hexavale Corner Retail Telecom</t>
  </si>
  <si>
    <t>Input City Plaza Store</t>
  </si>
  <si>
    <t>Renderburg Mobile Express</t>
  </si>
  <si>
    <t>Hexavale Center Kiosk Telecom</t>
  </si>
  <si>
    <t>Hexavale Express Telecom Shop</t>
  </si>
  <si>
    <t>Socket Springs One Hub</t>
  </si>
  <si>
    <t>TerraTask Pro Hub Telecom</t>
  </si>
  <si>
    <t>TerraTask Market Wireless</t>
  </si>
  <si>
    <t>Junction Core Plaza Mobile</t>
  </si>
  <si>
    <t>Socket Springs Prime Shop</t>
  </si>
  <si>
    <t>Gigatown Store Store</t>
  </si>
  <si>
    <t>Renderburg One Mobile</t>
  </si>
  <si>
    <t>Hexavale Market Store</t>
  </si>
  <si>
    <t>Hexavale Outlet Express</t>
  </si>
  <si>
    <t>Logicridge Point Center</t>
  </si>
  <si>
    <t>Socket Springs Central Outlet</t>
  </si>
  <si>
    <t>Socket Springs Digital Shop</t>
  </si>
  <si>
    <t>Fiberfall Express Shop</t>
  </si>
  <si>
    <t>Hexavale Wave Shop</t>
  </si>
  <si>
    <t>Renderburg Central Shop</t>
  </si>
  <si>
    <t>Hexavale Store Kiosk Telecom</t>
  </si>
  <si>
    <t>Socket Springs Plus Shop</t>
  </si>
  <si>
    <t>Renderburg Wireless Kiosk</t>
  </si>
  <si>
    <t>Overclock Oasis World Outlet</t>
  </si>
  <si>
    <t>Hexavale Market Store Telecom</t>
  </si>
  <si>
    <t>Vector Valley Digital Store</t>
  </si>
  <si>
    <t>Socket Springs Store Mobile</t>
  </si>
  <si>
    <t>Gigatown Ultra Shop</t>
  </si>
  <si>
    <t>Hexavale Central Store</t>
  </si>
  <si>
    <t>Renderburg Digital Store Telecom</t>
  </si>
  <si>
    <t>Renderburg One Hub</t>
  </si>
  <si>
    <t>Hexavale Digital Center Telecom</t>
  </si>
  <si>
    <t>Socket Springs Plus Hub Telecom</t>
  </si>
  <si>
    <t>Renderburg Tower Hub</t>
  </si>
  <si>
    <t>Hexavale Plaza Hub Telecom</t>
  </si>
  <si>
    <t>Renderburg Point Kiosk</t>
  </si>
  <si>
    <t>Input City Telecom Kiosk</t>
  </si>
  <si>
    <t>Hexavale Connect Retail Telecom</t>
  </si>
  <si>
    <t>Gigatown Metro Mobile</t>
  </si>
  <si>
    <t>Overclock Oasis Store Shop</t>
  </si>
  <si>
    <t>Overclock Oasis Pro Retail</t>
  </si>
  <si>
    <t>Hexavale Planet Wireless</t>
  </si>
  <si>
    <t>Gigatown Metro Wireless</t>
  </si>
  <si>
    <t>Gigatown Telecom Retail</t>
  </si>
  <si>
    <t>Hexavale World Outlet</t>
  </si>
  <si>
    <t>Socket Springs Planet Telecom Store</t>
  </si>
  <si>
    <t>Hexavale Edge Kiosk</t>
  </si>
  <si>
    <t>Renderburg Metro Hub</t>
  </si>
  <si>
    <t>Hexavale Solutions Express</t>
  </si>
  <si>
    <t>Hexavale Square Shop</t>
  </si>
  <si>
    <t>Overclock Oasis Central Center</t>
  </si>
  <si>
    <t>Hexavale Store Mobile</t>
  </si>
  <si>
    <t>Socket Springs Galaxy Retail</t>
  </si>
  <si>
    <t>Renderburg Corner Kiosk</t>
  </si>
  <si>
    <t>Hexavale Prime Outlet</t>
  </si>
  <si>
    <t>Socket Springs Digital Hub</t>
  </si>
  <si>
    <t>Socket Springs Wireless Express</t>
  </si>
  <si>
    <t>Socket Springs Mall Center</t>
  </si>
  <si>
    <t>Renderburg Outlet Store</t>
  </si>
  <si>
    <t>Renderburg Galaxy Retail Telecom</t>
  </si>
  <si>
    <t>Hexavale Tower Wireless</t>
  </si>
  <si>
    <t>Socket Springs Shop Express Telecom</t>
  </si>
  <si>
    <t>Socket Springs Store Shop</t>
  </si>
  <si>
    <t>Gigatown Tower Retail</t>
  </si>
  <si>
    <t>Hexavale Digital Express</t>
  </si>
  <si>
    <t>Gigatown Outlet Hub</t>
  </si>
  <si>
    <t>Renderburg One Kiosk</t>
  </si>
  <si>
    <t>Socket Springs Pulse Kiosk</t>
  </si>
  <si>
    <t>Renderburg Pulse Retail</t>
  </si>
  <si>
    <t>Socket Springs Spot Shop Telecom</t>
  </si>
  <si>
    <t>Renderburg Prime Wireless</t>
  </si>
  <si>
    <t>Hexavale Wireless Outlet</t>
  </si>
  <si>
    <t>Socket Springs Square Mobile</t>
  </si>
  <si>
    <t>Hexavale Arena Shop</t>
  </si>
  <si>
    <t>Socket Springs Galaxy Shop</t>
  </si>
  <si>
    <t>Hexavale Central Wireless</t>
  </si>
  <si>
    <t>Datahaven Outlet Hub</t>
  </si>
  <si>
    <t>Socket Springs World Express</t>
  </si>
  <si>
    <t>Socket Springs Prime Outlet</t>
  </si>
  <si>
    <t>Overclock Oasis Spot Store</t>
  </si>
  <si>
    <t>Socket Springs World Hub</t>
  </si>
  <si>
    <t>Renderburg Arena Express</t>
  </si>
  <si>
    <t>Kernel Heights Planet Hub</t>
  </si>
  <si>
    <t>Renderburg Planet Kiosk</t>
  </si>
  <si>
    <t>Hexavale Plaza Telecom Hub</t>
  </si>
  <si>
    <t>Renderburg Retail Express</t>
  </si>
  <si>
    <t>Hexavale Fusion Mobile</t>
  </si>
  <si>
    <t>Renderburg Wave Express</t>
  </si>
  <si>
    <t>Vector Valley Shop Retail</t>
  </si>
  <si>
    <t>Hexavale Tower Kiosk</t>
  </si>
  <si>
    <t>Hexavale Mall Shop</t>
  </si>
  <si>
    <t>TerraTask Market Store</t>
  </si>
  <si>
    <t>Bootwell Mall Store</t>
  </si>
  <si>
    <t>Hexavale Telecom Small Shop</t>
  </si>
  <si>
    <t>Overclock Oasis Wireless Shop</t>
  </si>
  <si>
    <t>Renderburg World Shop</t>
  </si>
  <si>
    <t>Bootwell Telecom Kiosk</t>
  </si>
  <si>
    <t>Etherport Center Kiosk</t>
  </si>
  <si>
    <t>Renderburg Ultra Hub</t>
  </si>
  <si>
    <t>Hexavale Link Mobile</t>
  </si>
  <si>
    <t>Renderburg Express Center</t>
  </si>
  <si>
    <t>Hexavale Max Mobile</t>
  </si>
  <si>
    <t>Socket Springs Pulse Shop</t>
  </si>
  <si>
    <t>Hexavale Plaza Mobile</t>
  </si>
  <si>
    <t>Renderburg Outlet Shop</t>
  </si>
  <si>
    <t>Bootwell Plaza Retail</t>
  </si>
  <si>
    <t>Hexavale Square Store</t>
  </si>
  <si>
    <t>Renderburg Telecom Hub Telecom</t>
  </si>
  <si>
    <t>Renderburg One Center</t>
  </si>
  <si>
    <t>Socket Springs Square Shop</t>
  </si>
  <si>
    <t>Renderburg Metro Wireless</t>
  </si>
  <si>
    <t>Renderburg Telecom Retail</t>
  </si>
  <si>
    <t>Socket Springs Telecom Hub</t>
  </si>
  <si>
    <t>TerraTask Outlet Wireless</t>
  </si>
  <si>
    <t>TerraTask Plaza Express</t>
  </si>
  <si>
    <t>Bootwell Retail Express</t>
  </si>
  <si>
    <t>Renderburg Market Center</t>
  </si>
  <si>
    <t>Bootwell Point Shop</t>
  </si>
  <si>
    <t>Renderburg Digital Mobile</t>
  </si>
  <si>
    <t>Gigatown Zone Shop</t>
  </si>
  <si>
    <t>Bootwell Planet Wireless</t>
  </si>
  <si>
    <t>Hexavale Pulse Mobile</t>
  </si>
  <si>
    <t>Hexavale Spot Center</t>
  </si>
  <si>
    <t>TerraTask Link Store</t>
  </si>
  <si>
    <t>Renderburg Plus Express</t>
  </si>
  <si>
    <t>Hexavale World Mobile</t>
  </si>
  <si>
    <t>Hexavale World Center</t>
  </si>
  <si>
    <t>Hexavale Metro Shop</t>
  </si>
  <si>
    <t>Renderburg Market Wireless</t>
  </si>
  <si>
    <t>Gigatown Corner Mobile</t>
  </si>
  <si>
    <t>Renderburg Fusion Kiosk Telecom</t>
  </si>
  <si>
    <t>Renderburg Store Shop</t>
  </si>
  <si>
    <t>Renderburg World Express</t>
  </si>
  <si>
    <t>Renderburg Wireless Hub</t>
  </si>
  <si>
    <t>Junction Core Pro Center</t>
  </si>
  <si>
    <t>Hexavale Center Shop Telecom</t>
  </si>
  <si>
    <t>TerraTask Link Mobile</t>
  </si>
  <si>
    <t>Hexavale Mall Store</t>
  </si>
  <si>
    <t>Bootwell Hub+ Outlet</t>
  </si>
  <si>
    <t>Renderburg Corner Center Telecom</t>
  </si>
  <si>
    <t>Hexavale Point Center</t>
  </si>
  <si>
    <t>Renderburg Market Wireless Telecom</t>
  </si>
  <si>
    <t>Renderburg Hub+ Outlet</t>
  </si>
  <si>
    <t>Hexavale Telecom Hub Center</t>
  </si>
  <si>
    <t>Hexavale Shop Express</t>
  </si>
  <si>
    <t>Socket Springs Spot Retail</t>
  </si>
  <si>
    <t>TerraTask Zone Outlet</t>
  </si>
  <si>
    <t>Hexavale Store Retail Telecom</t>
  </si>
  <si>
    <t>Yieldville Store Wireless</t>
  </si>
  <si>
    <t>Socket Springs Mall Shop</t>
  </si>
  <si>
    <t>Hexavale Digital Telecom Center</t>
  </si>
  <si>
    <t>Renderburg Link Store</t>
  </si>
  <si>
    <t>Gigatown Wireless Shop</t>
  </si>
  <si>
    <t>Socket Springs Mobile Kiosk</t>
  </si>
  <si>
    <t>Renderburg Square Kiosk</t>
  </si>
  <si>
    <t>Hexavale Planet Kiosk</t>
  </si>
  <si>
    <t>Hexavale Telecom Retail</t>
  </si>
  <si>
    <t>Renderburg Retail Shop</t>
  </si>
  <si>
    <t>Hexavale Retail Retail</t>
  </si>
  <si>
    <t>Renderburg Square Shop</t>
  </si>
  <si>
    <t>Hexavale Galaxy Kiosk Telecom</t>
  </si>
  <si>
    <t>Renderburg Planet Mobile</t>
  </si>
  <si>
    <t>Overclock Oasis Solutions Shop Telecom</t>
  </si>
  <si>
    <t>Socket Springs Spot Hub</t>
  </si>
  <si>
    <t>Datahaven Connect Outlet</t>
  </si>
  <si>
    <t>Renderburg Central Retail</t>
  </si>
  <si>
    <t>Gigatown Prime Express</t>
  </si>
  <si>
    <t>Bootwell Link Outlet</t>
  </si>
  <si>
    <t>Socket Springs Outlet Outlet</t>
  </si>
  <si>
    <t>Hexavale Prime Wireless Telecom</t>
  </si>
  <si>
    <t>Cacheford Planet Shop</t>
  </si>
  <si>
    <t>Overclock Oasis Galaxy Hub</t>
  </si>
  <si>
    <t>Hexavale Hub+ Shop</t>
  </si>
  <si>
    <t>Hexavale Shop Center</t>
  </si>
  <si>
    <t>TerraTask Hub+ Center</t>
  </si>
  <si>
    <t>Bootwell Spot Mobile</t>
  </si>
  <si>
    <t>Socket Springs Store Hub</t>
  </si>
  <si>
    <t>TerraTask Fusion Mobile</t>
  </si>
  <si>
    <t>Hexavale Center Telecom Kiosk</t>
  </si>
  <si>
    <t>Hexavale Plus Shop Telecom</t>
  </si>
  <si>
    <t>Hexavale Telecom Store</t>
  </si>
  <si>
    <t>Socket Springs Express Retail Telecom</t>
  </si>
  <si>
    <t>Hexavale Outlet Telecom Center</t>
  </si>
  <si>
    <t>Overclock Oasis Arena Outlet</t>
  </si>
  <si>
    <t>Renderburg World Store</t>
  </si>
  <si>
    <t>Socket Springs Telecom Retail</t>
  </si>
  <si>
    <t>Overclock Oasis Telecom Kiosk</t>
  </si>
  <si>
    <t>Hexavale One Center</t>
  </si>
  <si>
    <t>Socket Springs Pulse Center</t>
  </si>
  <si>
    <t>Renderburg Planet Retail</t>
  </si>
  <si>
    <t>Socket Springs Square Shop Telecom</t>
  </si>
  <si>
    <t>TerraTask Edge Retail</t>
  </si>
  <si>
    <t>Socket Springs Plus Store</t>
  </si>
  <si>
    <t>Hexavale Corner Express</t>
  </si>
  <si>
    <t>Hexavale Galaxy Wireless</t>
  </si>
  <si>
    <t>Socket Springs Edge Wireless</t>
  </si>
  <si>
    <t>Socket Springs Store Center Telecom</t>
  </si>
  <si>
    <t>Renderburg Metro Outlet</t>
  </si>
  <si>
    <t>Vector Valley Square Express</t>
  </si>
  <si>
    <t>Hexavale Planet Hub</t>
  </si>
  <si>
    <t>Socket Springs Central Express Telecom</t>
  </si>
  <si>
    <t>Hexavale Telecom Center</t>
  </si>
  <si>
    <t>Socket Springs Fusion Hub</t>
  </si>
  <si>
    <t>Renderburg Prime Hub</t>
  </si>
  <si>
    <t>Overclock Oasis Pro Retail Telecom</t>
  </si>
  <si>
    <t>Hexavale Hub+ Wireless Telecom</t>
  </si>
  <si>
    <t>Overclock Oasis Prime Center</t>
  </si>
  <si>
    <t>Hexavale Market Telecom Store</t>
  </si>
  <si>
    <t>Hexavale Plus Kiosk</t>
  </si>
  <si>
    <t>Socket Springs Corner Center</t>
  </si>
  <si>
    <t>Hexavale Edge Kiosk Telecom</t>
  </si>
  <si>
    <t>Renderburg Tower Wireless</t>
  </si>
  <si>
    <t>Hexavale Edge Wireless</t>
  </si>
  <si>
    <t>Hexavale Connect Wireless Telecom</t>
  </si>
  <si>
    <t>Renderburg Ultra Kiosk Telecom</t>
  </si>
  <si>
    <t>Hexavale Central Shop</t>
  </si>
  <si>
    <t>Socket Springs Telecom Kiosk</t>
  </si>
  <si>
    <t>Renderburg Hub+ Shop</t>
  </si>
  <si>
    <t>TerraTask Edge Outlet</t>
  </si>
  <si>
    <t>Overclock Oasis World Express</t>
  </si>
  <si>
    <t>Renderburg Arena Hub</t>
  </si>
  <si>
    <t>Overclock Oasis Max Express</t>
  </si>
  <si>
    <t>Gigatown Edge Shop</t>
  </si>
  <si>
    <t>Hexavale Corner Kiosk</t>
  </si>
  <si>
    <t>Hexavale Planet Store Telecom</t>
  </si>
  <si>
    <t>Overclock Oasis Pro Retail Store</t>
  </si>
  <si>
    <t>Gigatown Center Mobile</t>
  </si>
  <si>
    <t>Gigatown Zone Shop Telecom</t>
  </si>
  <si>
    <t>Bootwell Fusion Express</t>
  </si>
  <si>
    <t>Overclock Oasis Link Wireless</t>
  </si>
  <si>
    <t>TerraTask Wave Store</t>
  </si>
  <si>
    <t>Socket Springs Hub Mobile</t>
  </si>
  <si>
    <t>Socket Springs Prime Kiosk Telecom</t>
  </si>
  <si>
    <t>Nodeline Mall Store</t>
  </si>
  <si>
    <t>Renderburg Metro Hub Telecom</t>
  </si>
  <si>
    <t>Hexavale One Wireless</t>
  </si>
  <si>
    <t>Hexavale Telecom Retail Store</t>
  </si>
  <si>
    <t>TerraTask Square Mobile</t>
  </si>
  <si>
    <t>Hexavale Corner Kiosk Telecom</t>
  </si>
  <si>
    <t>Hexavale Galaxy Wireless Telecom</t>
  </si>
  <si>
    <t>Axisbyte Solutions Retail</t>
  </si>
  <si>
    <t>Hexavale Solutions Mobile</t>
  </si>
  <si>
    <t>Renderburg Plus Kiosk</t>
  </si>
  <si>
    <t>Socket Springs Hub+ Center</t>
  </si>
  <si>
    <t>Fiberfall Zone Store</t>
  </si>
  <si>
    <t>Hexavale Point Kiosk Telecom</t>
  </si>
  <si>
    <t>Hexavale Plaza Kiosk</t>
  </si>
  <si>
    <t>Socket Springs Point Hub</t>
  </si>
  <si>
    <t>Renderburg Pro Hub</t>
  </si>
  <si>
    <t>Renderburg Edge Mobile</t>
  </si>
  <si>
    <t>Renderburg Pro Wireless</t>
  </si>
  <si>
    <t>Hexavale Center Wireless</t>
  </si>
  <si>
    <t>Hexavale Plus Retail</t>
  </si>
  <si>
    <t>Hexavale Fusion Kiosk</t>
  </si>
  <si>
    <t>Socket Springs Spot Store</t>
  </si>
  <si>
    <t>Hexavale Central Express</t>
  </si>
  <si>
    <t>Renderburg Telecom Wireless</t>
  </si>
  <si>
    <t>Hexavale Center Center</t>
  </si>
  <si>
    <t>Hexavale World Retail Store</t>
  </si>
  <si>
    <t>Socket Springs Plaza Store</t>
  </si>
  <si>
    <t>Gigatown One Wireless Telecom</t>
  </si>
  <si>
    <t>Hexavale Prime Express</t>
  </si>
  <si>
    <t>Hexavale Prime Wireless Store</t>
  </si>
  <si>
    <t>Renderburg Wave Store</t>
  </si>
  <si>
    <t>Nodeline Square Store</t>
  </si>
  <si>
    <t>TerraTask Square Hub</t>
  </si>
  <si>
    <t>Fiberfall Link Mobile</t>
  </si>
  <si>
    <t>Renderburg Outlet Retail</t>
  </si>
  <si>
    <t>TerraTask Telecom Retail</t>
  </si>
  <si>
    <t>Socket Springs Hub+ Wireless</t>
  </si>
  <si>
    <t>Input City Store Outlet</t>
  </si>
  <si>
    <t>Hexavale Wireless Shop Telecom</t>
  </si>
  <si>
    <t>Hexavale Wireless Express</t>
  </si>
  <si>
    <t>Socket Springs Zone Mobile</t>
  </si>
  <si>
    <t>Hexavale Prime Express Telecom</t>
  </si>
  <si>
    <t>Socket Springs Square Mobile Telecom</t>
  </si>
  <si>
    <t>Vector Valley Ultra Express</t>
  </si>
  <si>
    <t>Hexavale Metro Center</t>
  </si>
  <si>
    <t>Hexavale Spot Retail</t>
  </si>
  <si>
    <t>Renderburg Retail Retail</t>
  </si>
  <si>
    <t>Hexavale Edge Retail</t>
  </si>
  <si>
    <t>Renderburg Digital Retail</t>
  </si>
  <si>
    <t>Hexavale Shop Hub Telecom</t>
  </si>
  <si>
    <t>Hexavale Zone Outlet</t>
  </si>
  <si>
    <t>TerraTask Express Express</t>
  </si>
  <si>
    <t>Renderburg Spot Hub Telecom</t>
  </si>
  <si>
    <t>Socket Springs Store Kiosk Telecom</t>
  </si>
  <si>
    <t>Renderburg Plus Kiosk Telecom</t>
  </si>
  <si>
    <t>Logicridge Link Express</t>
  </si>
  <si>
    <t>Gigatown Central Express</t>
  </si>
  <si>
    <t>Socket Springs Express Hub</t>
  </si>
  <si>
    <t>Hexavale Solutions Wireless</t>
  </si>
  <si>
    <t>Hexavale Plus Store</t>
  </si>
  <si>
    <t>Socket Springs Market Hub Telecom</t>
  </si>
  <si>
    <t>Renderburg Digital Shop</t>
  </si>
  <si>
    <t>Socket Springs Wave Hub Telecom</t>
  </si>
  <si>
    <t>Gigatown Plaza Mobile</t>
  </si>
  <si>
    <t>Renderburg One Kiosk Telecom</t>
  </si>
  <si>
    <t>Socket Springs Square Kiosk</t>
  </si>
  <si>
    <t>Socket Springs Pro Kiosk</t>
  </si>
  <si>
    <t>Hexavale Solutions Store Telecom</t>
  </si>
  <si>
    <t>Vector Valley Point Outlet</t>
  </si>
  <si>
    <t>Renderburg Mall Center</t>
  </si>
  <si>
    <t>Hexavale Store Hub</t>
  </si>
  <si>
    <t>Hexavale Metro Retail</t>
  </si>
  <si>
    <t>Gigatown Plus Wireless</t>
  </si>
  <si>
    <t>Gigatown Ultra Wireless</t>
  </si>
  <si>
    <t>Hexavale Plaza Express</t>
  </si>
  <si>
    <t>Renderburg Edge Hub</t>
  </si>
  <si>
    <t>Overclock Oasis Mall Wireless</t>
  </si>
  <si>
    <t>Bootwell Edge Wireless</t>
  </si>
  <si>
    <t>Bootwell Galaxy Kiosk</t>
  </si>
  <si>
    <t>Vector Valley One Retail</t>
  </si>
  <si>
    <t>Renderburg Express Hub</t>
  </si>
  <si>
    <t>Renderburg Hub+ Wireless Telecom</t>
  </si>
  <si>
    <t>Input City Square Retail</t>
  </si>
  <si>
    <t>Hexavale Pro Express</t>
  </si>
  <si>
    <t>Renderburg Telecom Mobile</t>
  </si>
  <si>
    <t>Bootwell Spot Express</t>
  </si>
  <si>
    <t>Input City Wave Outlet</t>
  </si>
  <si>
    <t>Hexavale World Store</t>
  </si>
  <si>
    <t>Hexavale Mall Hub Telecom</t>
  </si>
  <si>
    <t>Socket Springs One Retail</t>
  </si>
  <si>
    <t>Input City Store Mobile</t>
  </si>
  <si>
    <t>Renderburg Tower Outlet</t>
  </si>
  <si>
    <t>TerraTask Arena Hub</t>
  </si>
  <si>
    <t>TerraTask Tower Retail</t>
  </si>
  <si>
    <t>Hexavale Planet Wireless Telecom</t>
  </si>
  <si>
    <t>Renderburg Ultra Shop</t>
  </si>
  <si>
    <t>Vector Valley Hub+ Mobile</t>
  </si>
  <si>
    <t>Hexavale Outlet Store</t>
  </si>
  <si>
    <t>Hexavale Wireless Outlet Telecom</t>
  </si>
  <si>
    <t>TerraTask Outlet Mobile</t>
  </si>
  <si>
    <t>Renderburg Corner Shop</t>
  </si>
  <si>
    <t>ZeroDay Zone Edge Retail</t>
  </si>
  <si>
    <t>Renderburg Galaxy Retail Store</t>
  </si>
  <si>
    <t>Gigatown Square Center</t>
  </si>
  <si>
    <t>Cacheford Outlet Center</t>
  </si>
  <si>
    <t>Hexavale Telecom Kiosk Telecom</t>
  </si>
  <si>
    <t>Socket Springs Galaxy Hub</t>
  </si>
  <si>
    <t>Renderburg Planet Outlet Telecom</t>
  </si>
  <si>
    <t>Hexavale Express Kiosk Telecom</t>
  </si>
  <si>
    <t>Hexavale Retail Retail Telecom</t>
  </si>
  <si>
    <t>Socket Springs Hub Shop</t>
  </si>
  <si>
    <t>Renderburg Pulse Retail Telecom</t>
  </si>
  <si>
    <t>Hexavale Square Center</t>
  </si>
  <si>
    <t>Socket Springs Central Store</t>
  </si>
  <si>
    <t>Socket Springs Ultra Outlet</t>
  </si>
  <si>
    <t>Socket Springs Solutions Mobile</t>
  </si>
  <si>
    <t>Junction Core Link Store</t>
  </si>
  <si>
    <t>Hexavale Connect Express Telecom</t>
  </si>
  <si>
    <t>TerraTask Hub Mobile</t>
  </si>
  <si>
    <t>Renderburg Express Hub Telecom</t>
  </si>
  <si>
    <t>Hexavale Link Retail</t>
  </si>
  <si>
    <t>Socket Springs Digital Express Telecom</t>
  </si>
  <si>
    <t>Hexavale Store Express</t>
  </si>
  <si>
    <t>Gigatown Link Express</t>
  </si>
  <si>
    <t>Renderburg Tower Wireless Telecom</t>
  </si>
  <si>
    <t>Socket Springs Mall Retail Telecom</t>
  </si>
  <si>
    <t>Renderburg Solutions Store Telecom</t>
  </si>
  <si>
    <t>Renderburg Square Shop Telecom</t>
  </si>
  <si>
    <t>Bootwell Link Center</t>
  </si>
  <si>
    <t>Socket Springs Connect Express Telecom</t>
  </si>
  <si>
    <t>TerraTask Wave Retail</t>
  </si>
  <si>
    <t>Socket Springs Arena Store</t>
  </si>
  <si>
    <t>Overclock Oasis Zone Retail</t>
  </si>
  <si>
    <t>Bootwell Zone Hub</t>
  </si>
  <si>
    <t>Renderburg Shop Center</t>
  </si>
  <si>
    <t>Socket Springs Point Retail Telecom</t>
  </si>
  <si>
    <t>Hexavale Point Express Telecom</t>
  </si>
  <si>
    <t>Gigatown Hub Center Telecom</t>
  </si>
  <si>
    <t>Hexavale Retail Express</t>
  </si>
  <si>
    <t>Gigatown Wave Kiosk</t>
  </si>
  <si>
    <t>Overclock Oasis Connect Hub Telecom</t>
  </si>
  <si>
    <t>Input City Mall Outlet</t>
  </si>
  <si>
    <t>Renderburg Plaza Express</t>
  </si>
  <si>
    <t>Socket Springs Corner Center Telecom</t>
  </si>
  <si>
    <t>Socket Springs Hub+ Mobile</t>
  </si>
  <si>
    <t>Renderburg Galaxy Express</t>
  </si>
  <si>
    <t>Hexavale Digital Mobile</t>
  </si>
  <si>
    <t>Hexavale Arena Wireless</t>
  </si>
  <si>
    <t>Overclock Oasis Connect Center</t>
  </si>
  <si>
    <t>Renderburg Mobile Retail</t>
  </si>
  <si>
    <t>Hexavale Telecom Express</t>
  </si>
  <si>
    <t>Socket Springs Telecom Kiosk Telecom</t>
  </si>
  <si>
    <t>Bootwell Store Store</t>
  </si>
  <si>
    <t>Bootwell Outlet Wireless</t>
  </si>
  <si>
    <t>Socket Springs Solutions Mobile Telecom</t>
  </si>
  <si>
    <t>Gigatown Store Hub</t>
  </si>
  <si>
    <t>Gigatown Metro Center</t>
  </si>
  <si>
    <t>Gigatown Wave Kiosk Telecom</t>
  </si>
  <si>
    <t>Overclock Oasis Max Center</t>
  </si>
  <si>
    <t>Overclock Oasis Plus Retail</t>
  </si>
  <si>
    <t>Hexavale Market Center</t>
  </si>
  <si>
    <t>Hexavale Retail Store</t>
  </si>
  <si>
    <t>Wiredown Corner Wireless</t>
  </si>
  <si>
    <t>Hexavale Pro Wireless</t>
  </si>
  <si>
    <t>Input City Connect Outlet</t>
  </si>
  <si>
    <t>Socket Springs Pulse Retail</t>
  </si>
  <si>
    <t>Input City Point Express</t>
  </si>
  <si>
    <t>Hexavale Point Express Store</t>
  </si>
  <si>
    <t>Hexavale Store Mobile Telecom</t>
  </si>
  <si>
    <t>Renderburg Mall Outlet</t>
  </si>
  <si>
    <t>Wiredown Galaxy Hub</t>
  </si>
  <si>
    <t>Xenocode City Square Mobile</t>
  </si>
  <si>
    <t>Quantum Quay Planet Shop</t>
  </si>
  <si>
    <t>Renderburg Solutions Kiosk</t>
  </si>
  <si>
    <t>Socket Springs Solutions Hub</t>
  </si>
  <si>
    <t>Datahaven Mall Shop</t>
  </si>
  <si>
    <t>Socket Springs Plus Mobile</t>
  </si>
  <si>
    <t>Renderburg Fusion Outlet Telecom</t>
  </si>
  <si>
    <t>Wiredown Corner Express</t>
  </si>
  <si>
    <t>Renderburg Wireless Hub Telecom</t>
  </si>
  <si>
    <t>Hexavale Central Center</t>
  </si>
  <si>
    <t>Hexavale Corner Hub</t>
  </si>
  <si>
    <t>Gigatown Fusion Shop</t>
  </si>
  <si>
    <t>Datahaven Fusion Center</t>
  </si>
  <si>
    <t>Socket Springs Telecom Express</t>
  </si>
  <si>
    <t>Logicridge Wireless Express</t>
  </si>
  <si>
    <t>Gigatown Plus Center</t>
  </si>
  <si>
    <t>Hexavale Wave Wireless</t>
  </si>
  <si>
    <t>Gigatown Point Mobile</t>
  </si>
  <si>
    <t>Nodeline Mobile Express</t>
  </si>
  <si>
    <t>Hexavale Edge Retail Telecom</t>
  </si>
  <si>
    <t>Bootwell Spot Store</t>
  </si>
  <si>
    <t>Hexavale Spot Hub</t>
  </si>
  <si>
    <t>Socket Springs Pulse Express</t>
  </si>
  <si>
    <t>Socket Springs World Shop</t>
  </si>
  <si>
    <t>Axisbyte Spot Wireless</t>
  </si>
  <si>
    <t>Socket Springs Telecom Express Telecom</t>
  </si>
  <si>
    <t>Vector Valley Retail Store</t>
  </si>
  <si>
    <t>Hexavale Store Telecom Kiosk</t>
  </si>
  <si>
    <t>Renderburg Metro Mobile</t>
  </si>
  <si>
    <t>Hexavale Digital Hub Store</t>
  </si>
  <si>
    <t>Vector Valley Square Hub</t>
  </si>
  <si>
    <t>Hexavale Prime Express Store</t>
  </si>
  <si>
    <t>Renderburg Max Express</t>
  </si>
  <si>
    <t>Renderburg Edge Wireless</t>
  </si>
  <si>
    <t>Renderburg World Shop Telecom</t>
  </si>
  <si>
    <t>Socket Springs Retail Kiosk</t>
  </si>
  <si>
    <t>Hexavale Shop Center Telecom</t>
  </si>
  <si>
    <t>Gigatown Planet Center Telecom</t>
  </si>
  <si>
    <t>Gigatown Ultra Center</t>
  </si>
  <si>
    <t>Renderburg Market Hub</t>
  </si>
  <si>
    <t>Renderburg One Mobile Telecom</t>
  </si>
  <si>
    <t>Renderburg Zone Hub</t>
  </si>
  <si>
    <t>Socket Springs Plaza Shop Telecom</t>
  </si>
  <si>
    <t>Quantum Quay Express Wireless</t>
  </si>
  <si>
    <t>Renderburg Planet Shop</t>
  </si>
  <si>
    <t>Socket Springs Metro Retail</t>
  </si>
  <si>
    <t>Hexavale Mobile Telecom Store</t>
  </si>
  <si>
    <t>Wiredown Wireless Outlet</t>
  </si>
  <si>
    <t>TerraTask Pulse Retail</t>
  </si>
  <si>
    <t>Gigatown Shop Outlet</t>
  </si>
  <si>
    <t>Hexavale Mall Outlet Telecom</t>
  </si>
  <si>
    <t>Datahaven Market Store</t>
  </si>
  <si>
    <t>Datahaven Express Wireless</t>
  </si>
  <si>
    <t>Hexavale Hub Express</t>
  </si>
  <si>
    <t>Renderburg Connect Express</t>
  </si>
  <si>
    <t>Socket Springs Planet Kiosk</t>
  </si>
  <si>
    <t>Hexavale Outlet Store Telecom</t>
  </si>
  <si>
    <t>Datahaven Plus Wireless</t>
  </si>
  <si>
    <t>Socket Springs Mall Mobile Telecom</t>
  </si>
  <si>
    <t>Nodeline Max Shop</t>
  </si>
  <si>
    <t>Hexavale Ultra Outlet Telecom</t>
  </si>
  <si>
    <t>Renderburg Outlet Express</t>
  </si>
  <si>
    <t>Hexavale Express Retail Store</t>
  </si>
  <si>
    <t>TerraTask Telecom Retail Telecom</t>
  </si>
  <si>
    <t>Hexavale Point Outlet Telecom</t>
  </si>
  <si>
    <t>Vector Valley Market Kiosk</t>
  </si>
  <si>
    <t>Renderburg Point Retail</t>
  </si>
  <si>
    <t>Hexavale Link Mobile Telecom</t>
  </si>
  <si>
    <t>Hexavale Pro Mobile</t>
  </si>
  <si>
    <t>Hexavale Shop Retail</t>
  </si>
  <si>
    <t>Yieldville Connect Kiosk</t>
  </si>
  <si>
    <t>Bootwell Wireless Kiosk</t>
  </si>
  <si>
    <t>Renderburg Connect Kiosk</t>
  </si>
  <si>
    <t>TerraTask Central Outlet</t>
  </si>
  <si>
    <t>Hexavale Pulse Outlet Telecom</t>
  </si>
  <si>
    <t>Hexavale Mall Mobile</t>
  </si>
  <si>
    <t>Hexavale Link Center</t>
  </si>
  <si>
    <t>Renderburg Tower Store Telecom</t>
  </si>
  <si>
    <t>Junction Core Telecom Kiosk</t>
  </si>
  <si>
    <t>Socket Springs Galaxy Shop Telecom</t>
  </si>
  <si>
    <t>Renderburg One Express</t>
  </si>
  <si>
    <t>Hexavale Market Express</t>
  </si>
  <si>
    <t>Hexavale Plaza Wireless</t>
  </si>
  <si>
    <t>Hexavale Edge Retail Store</t>
  </si>
  <si>
    <t>Hexavale Pulse Outlet Store</t>
  </si>
  <si>
    <t>Renderburg Solutions Hub</t>
  </si>
  <si>
    <t>Socket Springs Telecom Express Store</t>
  </si>
  <si>
    <t>Overclock Oasis Retail Store</t>
  </si>
  <si>
    <t>Axisbyte Store Shop</t>
  </si>
  <si>
    <t>Datahaven Fusion Kiosk</t>
  </si>
  <si>
    <t>Overclock Oasis Plaza Kiosk</t>
  </si>
  <si>
    <t>Bootwell Zone Express</t>
  </si>
  <si>
    <t>TerraTask Max Wireless</t>
  </si>
  <si>
    <t>Vector Valley Retail Hub</t>
  </si>
  <si>
    <t>Socket Springs Hub Center</t>
  </si>
  <si>
    <t>Hexavale Telecom Center Telecom</t>
  </si>
  <si>
    <t>Hexavale Hub Kiosk Telecom</t>
  </si>
  <si>
    <t>Socket Springs Arena Shop</t>
  </si>
  <si>
    <t>Socket Springs Edge Center</t>
  </si>
  <si>
    <t>Vector Valley Pulse Wireless</t>
  </si>
  <si>
    <t>Total Current Assets</t>
  </si>
  <si>
    <t>TeleKings Inc. - 5 Year Financial Projection</t>
  </si>
  <si>
    <t>Period Number</t>
  </si>
  <si>
    <t>Period Start</t>
  </si>
  <si>
    <t>Period End</t>
  </si>
  <si>
    <t>Month</t>
  </si>
  <si>
    <t>Month Name</t>
  </si>
  <si>
    <t>Year</t>
  </si>
  <si>
    <t>1 P&amp;L Statement</t>
  </si>
  <si>
    <t xml:space="preserve">Net Revenue </t>
  </si>
  <si>
    <t>Total Net Revenue</t>
  </si>
  <si>
    <t>COGS (Cost of Goods Sold)</t>
  </si>
  <si>
    <t>Total COGS</t>
  </si>
  <si>
    <t>Gross Profit</t>
  </si>
  <si>
    <t>Sales Expense</t>
  </si>
  <si>
    <t>Total Sales Expense</t>
  </si>
  <si>
    <t>EBITDA MARGIN</t>
  </si>
  <si>
    <t xml:space="preserve">Depriciation </t>
  </si>
  <si>
    <t>Amortization</t>
  </si>
  <si>
    <t>EBIT</t>
  </si>
  <si>
    <t xml:space="preserve">Interest </t>
  </si>
  <si>
    <t>Earnings before Tax</t>
  </si>
  <si>
    <t>Corporate Income Tax</t>
  </si>
  <si>
    <t>2 Balance Sheet</t>
  </si>
  <si>
    <t>Current Assets</t>
  </si>
  <si>
    <t>Cash</t>
  </si>
  <si>
    <t>Accounts Receiveable</t>
  </si>
  <si>
    <t>Long-Term Assets</t>
  </si>
  <si>
    <t>Total Long-Term Assets</t>
  </si>
  <si>
    <t>Total Assets</t>
  </si>
  <si>
    <t>Current Liabilities</t>
  </si>
  <si>
    <t>Line of Credit</t>
  </si>
  <si>
    <t>Total Current Liabilites</t>
  </si>
  <si>
    <t>Long-Term Liabilities</t>
  </si>
  <si>
    <t>Senior Debt</t>
  </si>
  <si>
    <t>Subordination Debt</t>
  </si>
  <si>
    <t>Total Long-Term Liabilities</t>
  </si>
  <si>
    <t>Total Liabilities</t>
  </si>
  <si>
    <t>Shareholder Equity</t>
  </si>
  <si>
    <t>Common shares</t>
  </si>
  <si>
    <t>Retained Earnings</t>
  </si>
  <si>
    <t>Total Equity</t>
  </si>
  <si>
    <t>Double Check Assets = Liablities + Equity</t>
  </si>
  <si>
    <t>3 Cash Flow Statement</t>
  </si>
  <si>
    <t>Add back Depreciation</t>
  </si>
  <si>
    <t>Add back Amortization</t>
  </si>
  <si>
    <t>Change in Net Working Capitol</t>
  </si>
  <si>
    <t>Cash from Operations</t>
  </si>
  <si>
    <t>CAPEX - Fixed Assets</t>
  </si>
  <si>
    <t>CAPEX - Intangible Assets</t>
  </si>
  <si>
    <t>Cash from Investments</t>
  </si>
  <si>
    <t>Line of Credit Drawdown / (Repyment)</t>
  </si>
  <si>
    <t>Senior Debd Drawdown / (Repayment)</t>
  </si>
  <si>
    <t>Subordination Debt Drawdown / (Repayment)</t>
  </si>
  <si>
    <t>Common Shares Issuance / (Buyback)</t>
  </si>
  <si>
    <t>Common Dividends</t>
  </si>
  <si>
    <t>Cash From Financing</t>
  </si>
  <si>
    <t>Net Cashflow</t>
  </si>
  <si>
    <t>Opening Cash</t>
  </si>
  <si>
    <t>Closing Cash</t>
  </si>
  <si>
    <t>Schedules and Supporting Calculations</t>
  </si>
  <si>
    <t>1  Time Schedules</t>
  </si>
  <si>
    <t>Inflation Index</t>
  </si>
  <si>
    <t>Seasonal Demand</t>
  </si>
  <si>
    <t>2 Stores</t>
  </si>
  <si>
    <t>New Store City</t>
  </si>
  <si>
    <t>[city]</t>
  </si>
  <si>
    <t>Number of Stores per City</t>
  </si>
  <si>
    <t>[stores]</t>
  </si>
  <si>
    <t>Total Number of Stores</t>
  </si>
  <si>
    <t>Propulation Per Store</t>
  </si>
  <si>
    <t>population</t>
  </si>
  <si>
    <t>[pop/store]</t>
  </si>
  <si>
    <t>Cannibalization Penalty Pop/Store</t>
  </si>
  <si>
    <t>population/store</t>
  </si>
  <si>
    <t>Cannibalization Penalty Discount</t>
  </si>
  <si>
    <t>Reduction of Sales</t>
  </si>
  <si>
    <t>Cannibalization Penalty By City</t>
  </si>
  <si>
    <t>[flag]</t>
  </si>
  <si>
    <t>3 Revenues</t>
  </si>
  <si>
    <t>City Total ($k)</t>
  </si>
  <si>
    <t>Per Store ($k)</t>
  </si>
  <si>
    <t>Total Revenue - Device Sales</t>
  </si>
  <si>
    <t>Total Revenue - Accessory Sales</t>
  </si>
  <si>
    <t>Mobile Plan Sales</t>
  </si>
  <si>
    <t>$/activation</t>
  </si>
  <si>
    <t>[$]</t>
  </si>
  <si>
    <t>Mobile Plan Commission</t>
  </si>
  <si>
    <t>City Total (unit)</t>
  </si>
  <si>
    <t>Per Store (unit)</t>
  </si>
  <si>
    <t>Total Revenue - Mobile Plan Commission</t>
  </si>
  <si>
    <t>Revenue Summary</t>
  </si>
  <si>
    <t>Mobile Plan commissions</t>
  </si>
  <si>
    <t>4 Cost of Goods Sold (COGS) &amp; Operating Expenses (OPEX)</t>
  </si>
  <si>
    <t>Cost of Good Sold</t>
  </si>
  <si>
    <t>Device Sales Profit Margin</t>
  </si>
  <si>
    <t>Accessory Sales Profit Margin</t>
  </si>
  <si>
    <t>COGS</t>
  </si>
  <si>
    <t>Payroll</t>
  </si>
  <si>
    <t>Store Assistant Wage</t>
  </si>
  <si>
    <t>$/hour</t>
  </si>
  <si>
    <t>Added Employees per Store</t>
  </si>
  <si>
    <t>employees per new store</t>
  </si>
  <si>
    <t>Sales Assistants</t>
  </si>
  <si>
    <t>employee in 2025</t>
  </si>
  <si>
    <t>[employee]</t>
  </si>
  <si>
    <t>employee/store in 2025</t>
  </si>
  <si>
    <t>Total Sales Assistants</t>
  </si>
  <si>
    <t>Total Payroll Costs</t>
  </si>
  <si>
    <t>hours/month/fte</t>
  </si>
  <si>
    <t>Rent/Utilites</t>
  </si>
  <si>
    <t>Rent/Utilites Expense</t>
  </si>
  <si>
    <t>$k/store in 2025</t>
  </si>
  <si>
    <t>Total Rent/Utilites Costs</t>
  </si>
  <si>
    <t>Other Sales Expenses</t>
  </si>
  <si>
    <t>Other Sales Monthly Costs</t>
  </si>
  <si>
    <t>$k/new store added</t>
  </si>
  <si>
    <t>Other Sales Expense Per Store</t>
  </si>
  <si>
    <t>Total Other Sales Expense Per Store</t>
  </si>
  <si>
    <t>General and Administrative Costs</t>
  </si>
  <si>
    <t>G&amp;A Costs</t>
  </si>
  <si>
    <t>General G&amp;A Costs</t>
  </si>
  <si>
    <t>$k in 2025</t>
  </si>
  <si>
    <t>Costs per extra store</t>
  </si>
  <si>
    <t>New Stores Added</t>
  </si>
  <si>
    <t>per month</t>
  </si>
  <si>
    <t>Total G&amp;A Costs</t>
  </si>
  <si>
    <t>COGS &amp; OPEX Costs</t>
  </si>
  <si>
    <t>Rent &amp; Utilities</t>
  </si>
  <si>
    <t>Total COGS &amp; OPEX Costs</t>
  </si>
  <si>
    <t>5 Working Capitol</t>
  </si>
  <si>
    <t>Days per Month</t>
  </si>
  <si>
    <t>[days]</t>
  </si>
  <si>
    <t>Turnover Ratios</t>
  </si>
  <si>
    <t>month's sales revenue</t>
  </si>
  <si>
    <t>Invetnory</t>
  </si>
  <si>
    <t>$k/store</t>
  </si>
  <si>
    <t>month's expenes</t>
  </si>
  <si>
    <t>Working Capitol</t>
  </si>
  <si>
    <t>Total Working Capitol</t>
  </si>
  <si>
    <t>Change in Working Capitol</t>
  </si>
  <si>
    <t>6 Capitol Expense (CAPX) and Depriciation</t>
  </si>
  <si>
    <t>Existing Fixed Assets</t>
  </si>
  <si>
    <t>Opening Balance</t>
  </si>
  <si>
    <t>original</t>
  </si>
  <si>
    <t>CAPEX</t>
  </si>
  <si>
    <t>None</t>
  </si>
  <si>
    <t>Depriciation</t>
  </si>
  <si>
    <t>years</t>
  </si>
  <si>
    <t>Closing Balance</t>
  </si>
  <si>
    <t>New Fixed Assets</t>
  </si>
  <si>
    <t>per new store</t>
  </si>
  <si>
    <t>Total Fixed Assets</t>
  </si>
  <si>
    <t>Existing Intangibles</t>
  </si>
  <si>
    <t>Amitorization</t>
  </si>
  <si>
    <t>7 Debt</t>
  </si>
  <si>
    <t>Senior Debt (Fixed Rate)</t>
  </si>
  <si>
    <t>origianl</t>
  </si>
  <si>
    <t>Drawdonw</t>
  </si>
  <si>
    <t>Repayment</t>
  </si>
  <si>
    <t>years remaining</t>
  </si>
  <si>
    <t>Interest Expense</t>
  </si>
  <si>
    <t>annual</t>
  </si>
  <si>
    <t>Subordinate Debt (Variable Rate)</t>
  </si>
  <si>
    <t>SOFR Rate</t>
  </si>
  <si>
    <t>Interst Rate Spread</t>
  </si>
  <si>
    <t>Total Interest Rate</t>
  </si>
  <si>
    <t>Drawndown</t>
  </si>
  <si>
    <t>Available Balance</t>
  </si>
  <si>
    <t>Net Interest Expense</t>
  </si>
  <si>
    <t>Subordination Debt (Variable Rate)</t>
  </si>
  <si>
    <t>Total Interste Expense</t>
  </si>
  <si>
    <t>Revolver Cashflow Calculation</t>
  </si>
  <si>
    <t>Operating Cash Flow</t>
  </si>
  <si>
    <t>Investment Cash Flow</t>
  </si>
  <si>
    <t>Long Term Debt Principle Payments</t>
  </si>
  <si>
    <t>Dividends</t>
  </si>
  <si>
    <t>Available for Repayment/ (Drawdown required)</t>
  </si>
  <si>
    <t>8 Equity Schedule</t>
  </si>
  <si>
    <t>Common Shares</t>
  </si>
  <si>
    <t>Issuance</t>
  </si>
  <si>
    <t>Buy-Back</t>
  </si>
  <si>
    <t>Dividend Payment</t>
  </si>
  <si>
    <t>Rolling RE Check against Balance Sheet</t>
  </si>
  <si>
    <t>Per Store Revenue</t>
  </si>
  <si>
    <t>Questions &amp; Answers</t>
  </si>
  <si>
    <t>Question</t>
  </si>
  <si>
    <t>Points</t>
  </si>
  <si>
    <t>Answer</t>
  </si>
  <si>
    <t>Comment</t>
  </si>
  <si>
    <t>Part 1 (Operations)</t>
  </si>
  <si>
    <t>Which city has the highest number of stores?</t>
  </si>
  <si>
    <t>Which store had the highest average monthly device sales in 2025?</t>
  </si>
  <si>
    <t>How many stores will the company have at the end of Month 60 of calculations?</t>
  </si>
  <si>
    <t>What is the population per store of Bootwell in January 2026?</t>
  </si>
  <si>
    <t>By month #60, how many cities will have their population per store fall to or below 10,000?</t>
  </si>
  <si>
    <t>What were the average device sales per store in Axisbyte in 2025?</t>
  </si>
  <si>
    <t>What will be the total device sales in all the 7 stores at Axisbyte in January 2026 (including the new store)?</t>
  </si>
  <si>
    <t>What will be the total device sales in Axisbyte during the 60-month period?</t>
  </si>
  <si>
    <t>What will be the total device sales in Cacheford during the 60-month period?</t>
  </si>
  <si>
    <t>What are the total projected sales revenues during the 5-year period across all the 3 revenue groups?</t>
  </si>
  <si>
    <t>What is the projected hourly rate for sales assistants in 2030?</t>
  </si>
  <si>
    <t>How many sales personnel (FTE) will be employed in December of 2030?</t>
  </si>
  <si>
    <t>What is the total amount of rent &amp; utilities that all the 7 stores in Axisbyte will be paying in January 2026?</t>
  </si>
  <si>
    <t>What is the total EBITDA of AFM over the 5-year period?</t>
  </si>
  <si>
    <t>Part 2 (Financials)</t>
  </si>
  <si>
    <t>What is the projected amount of the Accounts Receivable for AFM at the end of January 2026?</t>
  </si>
  <si>
    <t>What is the projected amount of the inventory at the end of 2030?</t>
  </si>
  <si>
    <t>What is the projected amount of the Accounts Payable (excluding tax payable) at the end of 2030?</t>
  </si>
  <si>
    <t>What is the total nominal CAPEX that TeleKings will spend over the 5-year period?</t>
  </si>
  <si>
    <t>What is the total amortization expense for intangible assets in January 2026?</t>
  </si>
  <si>
    <t>What is the total depreciation expense for TeleKings fixed assets (excluding the intangible assets) over the 5-year period?</t>
  </si>
  <si>
    <t>What is the interest expense for the variable rate subordinate debt during the 5-year period?</t>
  </si>
  <si>
    <t>After you put together TeleKings starting balance sheet, what is the value of Retained Earnings as of Dec 31, 2025?</t>
  </si>
  <si>
    <t>What will be the first amount drawn from the revolving line of credit (this will happen in January 2026)?</t>
  </si>
  <si>
    <t>When will TeleKings fully repay their revolving line of credit?</t>
  </si>
  <si>
    <t>What are the AFM's retained earnings at the end of 2030 (after paying the dividends for the month)?</t>
  </si>
  <si>
    <t>Assume that instead of opening stores that bring cannibalization penalties to sales, you skip them and instead open the next store in sequence. 
Under this scenario, what are the Retained Earnings at the end of 2030?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</si>
</sst>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2">
    <numFmt numFmtId="6" formatCode="&quot;$&quot;#,##0_);[Red]\(&quot;$&quot;#,##0\)"/>
    <numFmt numFmtId="8" formatCode="&quot;$&quot;#,##0.00_);[Red]\(&quot;$&quot;#,##0.00\)"/>
    <numFmt numFmtId="44" formatCode="_(&quot;$&quot;* #,##0.00_);_(&quot;$&quot;* \(#,##0.00\);_(&quot;$&quot;* &quot;-&quot;??_);_(@_)"/>
    <numFmt numFmtId="43" formatCode="_(* #,##0.00_);_(* \(#,##0.00\);_(* &quot;-&quot;??_);_(@_)"/>
    <numFmt numFmtId="164" formatCode="0.0%"/>
    <numFmt numFmtId="165" formatCode="0.0"/>
    <numFmt numFmtId="166" formatCode="#,##0.0000"/>
    <numFmt numFmtId="167" formatCode="0.0000"/>
    <numFmt numFmtId="168" formatCode="#,##0.0"/>
    <numFmt numFmtId="169" formatCode="_(* #,##0_);_(* \(#,##0\);_(* &quot;-&quot;??_);_(@_)"/>
    <numFmt numFmtId="170" formatCode="_(* #,##0.0_);_(* \(#,##0.0\);_(* &quot;-&quot;??_);_(@_)"/>
    <numFmt numFmtId="171" formatCode="&quot;Month &quot;##"/>
    <numFmt numFmtId="172" formatCode="&quot;$&quot;#,##0.0_);[Red]\(&quot;$&quot;#,##0.0\)"/>
    <numFmt numFmtId="173" formatCode="#,##0.000"/>
    <numFmt numFmtId="174" formatCode="0.000"/>
    <numFmt numFmtId="175" formatCode="&quot;$&quot;#,##0_);[Red]\(&quot;$&quot;#,##0\);\-"/>
    <numFmt numFmtId="176" formatCode="0%;\(0%\);&quot;-&quot;"/>
    <numFmt numFmtId="177" formatCode="_(* #,##0.0_);_(* \(#,##0.0\);_(* &quot;-&quot;?_);_(@_)"/>
    <numFmt numFmtId="178" formatCode="_(* #,##0.0_);_(* &quot;-&quot;??_);_(* &quot;-&quot;??_);_(@_)"/>
    <numFmt numFmtId="179" formatCode="_(* #,##0.00000000_);_(* \(#,##0.00000000\);_(* &quot;-&quot;??_);_(@_)"/>
    <numFmt numFmtId="180" formatCode="&quot;$&quot;#,##0.0000000000_);[Red]\(&quot;$&quot;#,##0.0000000000\)"/>
    <numFmt numFmtId="181" formatCode="&quot;$&quot;#,##0.0_);\(&quot;$&quot;#,##0.0\)"/>
  </numFmts>
  <fonts count="50">
    <font>
      <sz val="9"/>
      <color theme="1"/>
      <name val="NeverMind"/>
      <family val="2"/>
    </font>
    <font>
      <sz val="9"/>
      <color rgb="FF3F3F76"/>
      <name val="NeverMind"/>
      <family val="2"/>
    </font>
    <font>
      <sz val="11"/>
      <color theme="1"/>
      <name val="Calibri"/>
      <family val="2"/>
      <scheme val="minor"/>
    </font>
    <font>
      <u/>
      <sz val="11"/>
      <color theme="10"/>
      <name val="Calibri"/>
      <family val="2"/>
      <scheme val="minor"/>
    </font>
    <font>
      <b/>
      <sz val="11"/>
      <color theme="0"/>
      <name val="Calibri"/>
      <family val="2"/>
      <scheme val="minor"/>
    </font>
    <font>
      <b/>
      <sz val="18"/>
      <name val="Calibri"/>
      <family val="2"/>
      <scheme val="minor"/>
    </font>
    <font>
      <sz val="10"/>
      <name val="Calibri"/>
      <family val="2"/>
      <scheme val="minor"/>
    </font>
    <font>
      <sz val="12"/>
      <name val="Calibri"/>
      <family val="2"/>
      <scheme val="minor"/>
    </font>
    <font>
      <b/>
      <sz val="10"/>
      <name val="Calibri"/>
      <family val="2"/>
      <scheme val="minor"/>
    </font>
    <font>
      <sz val="8"/>
      <name val="Calibri"/>
      <family val="2"/>
      <scheme val="minor"/>
    </font>
    <font>
      <sz val="10"/>
      <color rgb="FF3F3F76"/>
      <name val="Calibri"/>
      <family val="2"/>
      <scheme val="minor"/>
    </font>
    <font>
      <b/>
      <sz val="10"/>
      <color theme="1"/>
      <name val="Calibri"/>
      <family val="2"/>
      <scheme val="minor"/>
    </font>
    <font>
      <sz val="9"/>
      <color theme="1"/>
      <name val="NeverMind"/>
      <family val="2"/>
    </font>
    <font>
      <sz val="10"/>
      <color rgb="FF00B050"/>
      <name val="Aptos Narrow"/>
      <family val="2"/>
    </font>
    <font>
      <b/>
      <sz val="24"/>
      <color rgb="FFFFFFFF"/>
      <name val="Arial"/>
    </font>
    <font>
      <i/>
      <sz val="10"/>
      <color rgb="FFAACCCC"/>
      <name val="Arial"/>
    </font>
    <font>
      <b/>
      <sz val="10"/>
      <color rgb="FF444444"/>
      <name val="Arial"/>
    </font>
    <font>
      <sz val="10"/>
      <color rgb="FF000000"/>
      <name val="Arial"/>
    </font>
    <font>
      <i/>
      <sz val="8"/>
      <color rgb="FF999999"/>
      <name val="Arial"/>
    </font>
    <font>
      <sz val="16"/>
      <color rgb="FF208BB7"/>
      <name val="Arial"/>
      <family val="2"/>
    </font>
    <font>
      <sz val="9"/>
      <color rgb="FF208BB7"/>
      <name val="NeverMind"/>
      <family val="2"/>
    </font>
    <font>
      <sz val="9"/>
      <color theme="1"/>
      <name val="Arial"/>
      <family val="2"/>
    </font>
    <font>
      <sz val="10"/>
      <color theme="1"/>
      <name val="Arial"/>
      <family val="2"/>
    </font>
    <font>
      <b/>
      <sz val="15"/>
      <color theme="0"/>
      <name val="Arial"/>
      <family val="2"/>
    </font>
    <font>
      <sz val="7"/>
      <color theme="1"/>
      <name val="Arial"/>
      <family val="2"/>
    </font>
    <font>
      <b/>
      <sz val="9"/>
      <color theme="1"/>
      <name val="Arial"/>
      <family val="2"/>
    </font>
    <font>
      <b/>
      <sz val="7"/>
      <color theme="1"/>
      <name val="Arial"/>
      <family val="2"/>
    </font>
    <font>
      <b/>
      <sz val="10"/>
      <color theme="0"/>
      <name val="Arial"/>
      <family val="2"/>
    </font>
    <font>
      <b/>
      <sz val="10"/>
      <name val="Arial"/>
      <family val="2"/>
    </font>
    <font>
      <sz val="9"/>
      <color rgb="FF155C79"/>
      <name val="Arial"/>
      <family val="2"/>
    </font>
    <font>
      <sz val="10"/>
      <name val="Arial"/>
      <family val="2"/>
    </font>
    <font>
      <b/>
      <sz val="11"/>
      <name val="Calibri"/>
      <family val="2"/>
      <scheme val="minor"/>
    </font>
    <font>
      <sz val="10"/>
      <color theme="1"/>
      <name val="Calibri"/>
      <family val="2"/>
      <scheme val="minor"/>
    </font>
    <font>
      <sz val="8"/>
      <color theme="1"/>
      <name val="Calibri"/>
      <family val="2"/>
      <scheme val="minor"/>
    </font>
    <font>
      <sz val="7"/>
      <name val="Arial"/>
      <family val="2"/>
    </font>
    <font>
      <b/>
      <sz val="9"/>
      <color theme="1"/>
      <name val="NeverMind"/>
      <family val="2"/>
    </font>
    <font>
      <sz val="9"/>
      <color rgb="FFFF0000"/>
      <name val="NeverMind"/>
      <family val="2"/>
    </font>
    <font>
      <i/>
      <sz val="9"/>
      <color theme="1"/>
      <name val="Arial"/>
      <family val="2"/>
    </font>
    <font>
      <b/>
      <sz val="9"/>
      <color theme="1"/>
      <name val="NeverMind"/>
    </font>
    <font>
      <b/>
      <i/>
      <sz val="9"/>
      <color theme="1"/>
      <name val="Arial"/>
      <family val="2"/>
    </font>
    <font>
      <b/>
      <i/>
      <sz val="7"/>
      <color theme="1"/>
      <name val="Arial"/>
      <family val="2"/>
    </font>
    <font>
      <b/>
      <sz val="10"/>
      <color theme="1"/>
      <name val="Calibri"/>
      <family val="2"/>
    </font>
    <font>
      <b/>
      <sz val="24"/>
      <color rgb="FFFFFFFF"/>
      <name val="Arial"/>
      <family val="2"/>
    </font>
    <font>
      <b/>
      <sz val="10"/>
      <color rgb="FF444444"/>
      <name val="Arial"/>
      <family val="2"/>
    </font>
    <font>
      <sz val="10"/>
      <color rgb="FF000000"/>
      <name val="Arial"/>
      <family val="2"/>
    </font>
    <font>
      <b/>
      <sz val="10"/>
      <color theme="1"/>
      <name val="Arial"/>
      <family val="2"/>
    </font>
    <font>
      <i/>
      <sz val="8"/>
      <color rgb="FF444444"/>
      <name val="Arial"/>
      <family val="2"/>
    </font>
    <font>
      <sz val="9"/>
      <color theme="1"/>
      <name val="Arial"/>
    </font>
    <font>
      <i/>
      <sz val="8"/>
      <color theme="1"/>
      <name val="Arial"/>
      <family val="2"/>
    </font>
    <font>
      <sz val="10"/>
      <color theme="1"/>
      <name val="Arial"/>
    </font>
  </fonts>
  <fills count="13">
    <fill>
      <patternFill patternType="none"/>
    </fill>
    <fill>
      <patternFill patternType="gray125"/>
    </fill>
    <fill>
      <patternFill patternType="solid">
        <fgColor rgb="FFFFCC99"/>
      </patternFill>
    </fill>
    <fill>
      <patternFill patternType="solid">
        <fgColor rgb="FF208BB7"/>
        <bgColor indexed="64"/>
      </patternFill>
    </fill>
    <fill>
      <patternFill patternType="solid">
        <fgColor theme="4" tint="0.39997558519241921"/>
        <bgColor indexed="64"/>
      </patternFill>
    </fill>
    <fill>
      <patternFill patternType="solid">
        <fgColor rgb="FFFFCC99"/>
        <bgColor indexed="64"/>
      </patternFill>
    </fill>
    <fill>
      <patternFill patternType="solid">
        <fgColor theme="0" tint="-0.249977111117893"/>
        <bgColor indexed="64"/>
      </patternFill>
    </fill>
    <fill>
      <patternFill patternType="solid">
        <fgColor rgb="FFFFFFCC"/>
        <bgColor indexed="64"/>
      </patternFill>
    </fill>
    <fill>
      <patternFill patternType="solid">
        <fgColor theme="4" tint="-0.499984740745262"/>
        <bgColor indexed="64"/>
      </patternFill>
    </fill>
    <fill>
      <patternFill patternType="solid">
        <fgColor rgb="FFFFFFCC"/>
      </patternFill>
    </fill>
    <fill>
      <patternFill patternType="solid">
        <fgColor theme="3" tint="0.79998168889431442"/>
        <bgColor indexed="64"/>
      </patternFill>
    </fill>
    <fill>
      <patternFill patternType="solid">
        <fgColor theme="0" tint="-4.9989318521683403E-2"/>
        <bgColor indexed="64"/>
      </patternFill>
    </fill>
    <fill>
      <patternFill patternType="solid">
        <fgColor theme="0" tint="-0.14999847407452621"/>
        <bgColor indexed="64"/>
      </patternFill>
    </fill>
  </fills>
  <borders count="42">
    <border>
      <left/>
      <right/>
      <top/>
      <bottom/>
      <diagonal/>
    </border>
    <border>
      <left style="thin">
        <color rgb="FF7F7F7F"/>
      </left>
      <right style="thin">
        <color rgb="FF7F7F7F"/>
      </right>
      <top style="thin">
        <color rgb="FF7F7F7F"/>
      </top>
      <bottom style="thin">
        <color rgb="FF7F7F7F"/>
      </bottom>
      <diagonal/>
    </border>
    <border>
      <left/>
      <right/>
      <top/>
      <bottom style="thin">
        <color indexed="64"/>
      </bottom>
      <diagonal/>
    </border>
    <border>
      <left/>
      <right/>
      <top style="thin">
        <color indexed="64"/>
      </top>
      <bottom style="double">
        <color indexed="64"/>
      </bottom>
      <diagonal/>
    </border>
    <border>
      <left style="dotted">
        <color indexed="64"/>
      </left>
      <right style="dotted">
        <color indexed="64"/>
      </right>
      <top style="dotted">
        <color indexed="64"/>
      </top>
      <bottom style="dotted">
        <color indexed="64"/>
      </bottom>
      <diagonal/>
    </border>
    <border>
      <left style="thin">
        <color rgb="FF7F7F7F"/>
      </left>
      <right style="thin">
        <color rgb="FF7F7F7F"/>
      </right>
      <top/>
      <bottom style="thin">
        <color rgb="FF7F7F7F"/>
      </bottom>
      <diagonal/>
    </border>
    <border>
      <left/>
      <right/>
      <top/>
      <bottom style="medium">
        <color indexed="64"/>
      </bottom>
      <diagonal/>
    </border>
    <border>
      <left style="thin">
        <color rgb="FFB2B2B2"/>
      </left>
      <right style="thin">
        <color rgb="FFB2B2B2"/>
      </right>
      <top style="thin">
        <color rgb="FFB2B2B2"/>
      </top>
      <bottom style="thin">
        <color rgb="FFB2B2B2"/>
      </bottom>
      <diagonal/>
    </border>
    <border>
      <left/>
      <right/>
      <top style="thin">
        <color indexed="64"/>
      </top>
      <bottom/>
      <diagonal/>
    </border>
    <border>
      <left/>
      <right/>
      <top style="double">
        <color indexed="64"/>
      </top>
      <bottom/>
      <diagonal/>
    </border>
    <border>
      <left/>
      <right/>
      <top/>
      <bottom style="double">
        <color indexed="64"/>
      </bottom>
      <diagonal/>
    </border>
    <border>
      <left style="dashed">
        <color indexed="64"/>
      </left>
      <right style="dashed">
        <color indexed="64"/>
      </right>
      <top style="dashed">
        <color indexed="64"/>
      </top>
      <bottom style="dashed">
        <color indexed="64"/>
      </bottom>
      <diagonal/>
    </border>
    <border>
      <left style="dashed">
        <color rgb="FF000000"/>
      </left>
      <right style="dashed">
        <color rgb="FF000000"/>
      </right>
      <top style="dashed">
        <color rgb="FF000000"/>
      </top>
      <bottom style="dashed">
        <color rgb="FF000000"/>
      </bottom>
      <diagonal/>
    </border>
    <border>
      <left style="dashed">
        <color rgb="FF000000"/>
      </left>
      <right style="dashed">
        <color rgb="FF000000"/>
      </right>
      <top/>
      <bottom/>
      <diagonal/>
    </border>
    <border>
      <left style="dashed">
        <color rgb="FF000000"/>
      </left>
      <right style="dashed">
        <color rgb="FF000000"/>
      </right>
      <top/>
      <bottom style="dashed">
        <color rgb="FF000000"/>
      </bottom>
      <diagonal/>
    </border>
    <border>
      <left style="dashed">
        <color rgb="FF000000"/>
      </left>
      <right style="dashed">
        <color rgb="FF000000"/>
      </right>
      <top style="dashed">
        <color rgb="FF000000"/>
      </top>
      <bottom/>
      <diagonal/>
    </border>
    <border>
      <left style="dashed">
        <color rgb="FF000000"/>
      </left>
      <right/>
      <top style="dashed">
        <color rgb="FF000000"/>
      </top>
      <bottom/>
      <diagonal/>
    </border>
    <border>
      <left style="dashed">
        <color rgb="FF000000"/>
      </left>
      <right/>
      <top/>
      <bottom/>
      <diagonal/>
    </border>
    <border>
      <left style="dashed">
        <color rgb="FF000000"/>
      </left>
      <right/>
      <top/>
      <bottom style="dashed">
        <color rgb="FF000000"/>
      </bottom>
      <diagonal/>
    </border>
    <border>
      <left/>
      <right/>
      <top style="dashed">
        <color rgb="FF000000"/>
      </top>
      <bottom style="dashed">
        <color indexed="64"/>
      </bottom>
      <diagonal/>
    </border>
    <border>
      <left/>
      <right/>
      <top style="dashed">
        <color rgb="FF000000"/>
      </top>
      <bottom style="dashed">
        <color rgb="FF000000"/>
      </bottom>
      <diagonal/>
    </border>
    <border>
      <left style="dashed">
        <color rgb="FF000000"/>
      </left>
      <right style="dashed">
        <color indexed="64"/>
      </right>
      <top style="dashed">
        <color rgb="FF000000"/>
      </top>
      <bottom/>
      <diagonal/>
    </border>
    <border>
      <left style="dashed">
        <color rgb="FF000000"/>
      </left>
      <right style="dashed">
        <color indexed="64"/>
      </right>
      <top/>
      <bottom/>
      <diagonal/>
    </border>
    <border>
      <left style="dashed">
        <color rgb="FF000000"/>
      </left>
      <right style="dashed">
        <color indexed="64"/>
      </right>
      <top/>
      <bottom style="thin">
        <color indexed="64"/>
      </bottom>
      <diagonal/>
    </border>
    <border>
      <left style="dashed">
        <color rgb="FF000000"/>
      </left>
      <right style="dashed">
        <color rgb="FF000000"/>
      </right>
      <top style="dashed">
        <color indexed="64"/>
      </top>
      <bottom style="dashed">
        <color rgb="FF000000"/>
      </bottom>
      <diagonal/>
    </border>
    <border>
      <left style="dashed">
        <color rgb="FF000000"/>
      </left>
      <right/>
      <top style="dashed">
        <color indexed="64"/>
      </top>
      <bottom style="dashed">
        <color rgb="FF000000"/>
      </bottom>
      <diagonal/>
    </border>
    <border>
      <left style="dashed">
        <color rgb="FF000000"/>
      </left>
      <right/>
      <top style="thin">
        <color indexed="64"/>
      </top>
      <bottom style="dashed">
        <color rgb="FF000000"/>
      </bottom>
      <diagonal/>
    </border>
    <border>
      <left style="dashed">
        <color rgb="FF000000"/>
      </left>
      <right style="dashed">
        <color rgb="FF000000"/>
      </right>
      <top style="thin">
        <color indexed="64"/>
      </top>
      <bottom style="dashed">
        <color rgb="FF000000"/>
      </bottom>
      <diagonal/>
    </border>
    <border>
      <left style="dashed">
        <color rgb="FF000000"/>
      </left>
      <right style="dashed">
        <color rgb="FF000000"/>
      </right>
      <top style="dashed">
        <color indexed="64"/>
      </top>
      <bottom/>
      <diagonal/>
    </border>
    <border>
      <left style="dashed">
        <color rgb="FF000000"/>
      </left>
      <right/>
      <top style="dashed">
        <color indexed="64"/>
      </top>
      <bottom/>
      <diagonal/>
    </border>
    <border>
      <left style="dashed">
        <color indexed="64"/>
      </left>
      <right style="dashed">
        <color indexed="64"/>
      </right>
      <top style="dashed">
        <color indexed="64"/>
      </top>
      <bottom style="thin">
        <color indexed="64"/>
      </bottom>
      <diagonal/>
    </border>
    <border>
      <left style="dashed">
        <color indexed="64"/>
      </left>
      <right style="dashed">
        <color indexed="64"/>
      </right>
      <top style="dashed">
        <color indexed="64"/>
      </top>
      <bottom/>
      <diagonal/>
    </border>
    <border>
      <left style="dashed">
        <color rgb="FF000000"/>
      </left>
      <right style="dashed">
        <color indexed="64"/>
      </right>
      <top style="dashed">
        <color indexed="64"/>
      </top>
      <bottom style="dashed">
        <color rgb="FF000000"/>
      </bottom>
      <diagonal/>
    </border>
    <border>
      <left style="thin">
        <color rgb="FFB2B2B2"/>
      </left>
      <right style="thin">
        <color rgb="FFB2B2B2"/>
      </right>
      <top style="thin">
        <color rgb="FFB2B2B2"/>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11">
    <xf numFmtId="0" fontId="0" fillId="0" borderId="0"/>
    <xf numFmtId="0" fontId="2" fillId="0" borderId="0"/>
    <xf numFmtId="0" fontId="3" fillId="0" borderId="0"/>
    <xf numFmtId="168" fontId="13" fillId="0" borderId="4">
      <alignment horizontal="center"/>
      <protection locked="0"/>
    </xf>
    <xf numFmtId="0" fontId="12" fillId="0" borderId="0"/>
    <xf numFmtId="0" fontId="2" fillId="0" borderId="0"/>
    <xf numFmtId="43" fontId="12" fillId="0" borderId="0"/>
    <xf numFmtId="9" fontId="12" fillId="0" borderId="0"/>
    <xf numFmtId="44" fontId="12" fillId="0" borderId="0"/>
    <xf numFmtId="0" fontId="1" fillId="2" borderId="1" applyNumberFormat="0" applyAlignment="0" applyProtection="0"/>
    <xf numFmtId="0" fontId="12" fillId="9" borderId="7" applyNumberFormat="0" applyFont="0" applyAlignment="0" applyProtection="0"/>
  </cellStyleXfs>
  <cellXfs count="368">
    <xf numFmtId="0" fontId="0" fillId="0" borderId="0" xfId="0"/>
    <xf numFmtId="0" fontId="4" fillId="4" borderId="3" xfId="0" applyFont="1" applyFill="1" applyBorder="1" applyAlignment="1">
      <alignment horizontal="centerContinuous"/>
    </xf>
    <xf numFmtId="3" fontId="5" fillId="0" borderId="0" xfId="0" applyNumberFormat="1" applyFont="1" applyAlignment="1">
      <alignment horizontal="centerContinuous"/>
    </xf>
    <xf numFmtId="3" fontId="5" fillId="0" borderId="0" xfId="0" applyNumberFormat="1" applyFont="1" applyAlignment="1">
      <alignment horizontal="centerContinuous" vertical="center"/>
    </xf>
    <xf numFmtId="0" fontId="6" fillId="0" borderId="0" xfId="0" applyFont="1" applyAlignment="1">
      <alignment horizontal="centerContinuous"/>
    </xf>
    <xf numFmtId="0" fontId="6" fillId="0" borderId="0" xfId="0" applyFont="1"/>
    <xf numFmtId="0" fontId="7" fillId="0" borderId="6" xfId="0" applyFont="1" applyBorder="1" applyAlignment="1">
      <alignment horizontal="centerContinuous"/>
    </xf>
    <xf numFmtId="0" fontId="7" fillId="0" borderId="6" xfId="0" applyFont="1" applyBorder="1" applyAlignment="1">
      <alignment horizontal="centerContinuous" vertical="center"/>
    </xf>
    <xf numFmtId="0" fontId="6" fillId="0" borderId="6" xfId="0" applyFont="1" applyBorder="1" applyAlignment="1">
      <alignment horizontal="centerContinuous"/>
    </xf>
    <xf numFmtId="0" fontId="8" fillId="0" borderId="2" xfId="0" applyFont="1" applyBorder="1"/>
    <xf numFmtId="0" fontId="6" fillId="0" borderId="2" xfId="0" applyFont="1" applyBorder="1" applyAlignment="1">
      <alignment horizontal="center" vertical="center"/>
    </xf>
    <xf numFmtId="15" fontId="8" fillId="0" borderId="2" xfId="0" applyNumberFormat="1" applyFont="1" applyBorder="1" applyAlignment="1">
      <alignment horizontal="center"/>
    </xf>
    <xf numFmtId="0" fontId="6" fillId="0" borderId="0" xfId="0" applyFont="1" applyAlignment="1">
      <alignment horizontal="left" indent="1"/>
    </xf>
    <xf numFmtId="0" fontId="9" fillId="0" borderId="0" xfId="0" applyFont="1" applyAlignment="1">
      <alignment horizontal="center" vertical="center"/>
    </xf>
    <xf numFmtId="0" fontId="6" fillId="0" borderId="0" xfId="0" applyFont="1" applyAlignment="1">
      <alignment horizontal="center" vertical="center"/>
    </xf>
    <xf numFmtId="0" fontId="8" fillId="4" borderId="3" xfId="0" applyFont="1" applyFill="1" applyBorder="1" applyAlignment="1">
      <alignment horizontal="left"/>
    </xf>
    <xf numFmtId="15" fontId="6" fillId="0" borderId="0" xfId="0" applyNumberFormat="1" applyFont="1" applyAlignment="1">
      <alignment horizontal="left" indent="1"/>
    </xf>
    <xf numFmtId="0" fontId="8" fillId="0" borderId="2" xfId="0" applyFont="1" applyBorder="1" applyAlignment="1">
      <alignment horizontal="center"/>
    </xf>
    <xf numFmtId="8" fontId="6" fillId="0" borderId="0" xfId="0" applyNumberFormat="1" applyFont="1"/>
    <xf numFmtId="166" fontId="6" fillId="0" borderId="0" xfId="0" applyNumberFormat="1" applyFont="1"/>
    <xf numFmtId="0" fontId="0" fillId="3" borderId="0" xfId="0" applyFill="1"/>
    <xf numFmtId="0" fontId="18" fillId="0" borderId="0" xfId="0" applyFont="1" applyAlignment="1">
      <alignment vertical="center"/>
    </xf>
    <xf numFmtId="0" fontId="21" fillId="0" borderId="0" xfId="0" applyFont="1"/>
    <xf numFmtId="0" fontId="22" fillId="0" borderId="0" xfId="0" applyFont="1"/>
    <xf numFmtId="0" fontId="23" fillId="3" borderId="3" xfId="0" applyFont="1" applyFill="1" applyBorder="1" applyAlignment="1">
      <alignment horizontal="left" indent="3"/>
    </xf>
    <xf numFmtId="0" fontId="21" fillId="3" borderId="3" xfId="0" applyFont="1" applyFill="1" applyBorder="1"/>
    <xf numFmtId="0" fontId="21" fillId="3" borderId="3" xfId="0" applyFont="1" applyFill="1" applyBorder="1" applyAlignment="1">
      <alignment horizontal="center"/>
    </xf>
    <xf numFmtId="0" fontId="24" fillId="3" borderId="3" xfId="0" applyFont="1" applyFill="1" applyBorder="1" applyAlignment="1">
      <alignment horizontal="center" vertical="center"/>
    </xf>
    <xf numFmtId="0" fontId="21" fillId="0" borderId="0" xfId="0" applyFont="1" applyAlignment="1">
      <alignment horizontal="center"/>
    </xf>
    <xf numFmtId="0" fontId="24" fillId="0" borderId="0" xfId="0" applyFont="1" applyAlignment="1">
      <alignment horizontal="center" vertical="center"/>
    </xf>
    <xf numFmtId="43" fontId="21" fillId="0" borderId="0" xfId="0" applyNumberFormat="1" applyFont="1"/>
    <xf numFmtId="0" fontId="25" fillId="0" borderId="0" xfId="0" applyFont="1"/>
    <xf numFmtId="0" fontId="25" fillId="0" borderId="0" xfId="0" applyFont="1" applyAlignment="1">
      <alignment horizontal="center"/>
    </xf>
    <xf numFmtId="0" fontId="26" fillId="0" borderId="0" xfId="0" applyFont="1" applyAlignment="1">
      <alignment horizontal="center" vertical="center"/>
    </xf>
    <xf numFmtId="0" fontId="25" fillId="6" borderId="0" xfId="0" applyFont="1" applyFill="1"/>
    <xf numFmtId="14" fontId="25" fillId="6" borderId="0" xfId="0" applyNumberFormat="1" applyFont="1" applyFill="1"/>
    <xf numFmtId="14" fontId="25" fillId="0" borderId="0" xfId="0" applyNumberFormat="1" applyFont="1"/>
    <xf numFmtId="43" fontId="25" fillId="0" borderId="0" xfId="6" applyFont="1"/>
    <xf numFmtId="0" fontId="27" fillId="3" borderId="3" xfId="0" applyFont="1" applyFill="1" applyBorder="1" applyAlignment="1">
      <alignment horizontal="left" indent="3"/>
    </xf>
    <xf numFmtId="0" fontId="22" fillId="3" borderId="3" xfId="0" applyFont="1" applyFill="1" applyBorder="1"/>
    <xf numFmtId="0" fontId="22" fillId="3" borderId="3" xfId="0" applyFont="1" applyFill="1" applyBorder="1" applyAlignment="1">
      <alignment horizontal="center"/>
    </xf>
    <xf numFmtId="43" fontId="21" fillId="0" borderId="0" xfId="6" applyFont="1"/>
    <xf numFmtId="169" fontId="25" fillId="0" borderId="0" xfId="6" applyNumberFormat="1" applyFont="1"/>
    <xf numFmtId="6" fontId="25" fillId="0" borderId="0" xfId="8" applyNumberFormat="1" applyFont="1"/>
    <xf numFmtId="169" fontId="25" fillId="0" borderId="0" xfId="6" applyNumberFormat="1" applyFont="1" applyAlignment="1">
      <alignment horizontal="center"/>
    </xf>
    <xf numFmtId="169" fontId="26" fillId="0" borderId="0" xfId="6" applyNumberFormat="1" applyFont="1" applyAlignment="1">
      <alignment horizontal="center" vertical="center"/>
    </xf>
    <xf numFmtId="169" fontId="25" fillId="6" borderId="0" xfId="6" applyNumberFormat="1" applyFont="1" applyFill="1"/>
    <xf numFmtId="169" fontId="21" fillId="0" borderId="0" xfId="6" applyNumberFormat="1" applyFont="1"/>
    <xf numFmtId="6" fontId="21" fillId="0" borderId="0" xfId="8" applyNumberFormat="1" applyFont="1"/>
    <xf numFmtId="169" fontId="21" fillId="0" borderId="0" xfId="6" applyNumberFormat="1" applyFont="1" applyAlignment="1">
      <alignment horizontal="center"/>
    </xf>
    <xf numFmtId="169" fontId="24" fillId="0" borderId="0" xfId="6" applyNumberFormat="1" applyFont="1" applyAlignment="1">
      <alignment horizontal="center" vertical="center"/>
    </xf>
    <xf numFmtId="169" fontId="21" fillId="6" borderId="0" xfId="6" applyNumberFormat="1" applyFont="1" applyFill="1"/>
    <xf numFmtId="169" fontId="25" fillId="0" borderId="3" xfId="6" applyNumberFormat="1" applyFont="1" applyBorder="1"/>
    <xf numFmtId="6" fontId="25" fillId="0" borderId="3" xfId="8" applyNumberFormat="1" applyFont="1" applyBorder="1"/>
    <xf numFmtId="169" fontId="25" fillId="0" borderId="3" xfId="6" applyNumberFormat="1" applyFont="1" applyBorder="1" applyAlignment="1">
      <alignment horizontal="center"/>
    </xf>
    <xf numFmtId="169" fontId="26" fillId="0" borderId="3" xfId="6" applyNumberFormat="1" applyFont="1" applyBorder="1" applyAlignment="1">
      <alignment horizontal="center" vertical="center"/>
    </xf>
    <xf numFmtId="169" fontId="25" fillId="6" borderId="3" xfId="6" applyNumberFormat="1" applyFont="1" applyFill="1" applyBorder="1"/>
    <xf numFmtId="0" fontId="28" fillId="6" borderId="3" xfId="0" applyFont="1" applyFill="1" applyBorder="1" applyAlignment="1">
      <alignment horizontal="left" indent="3"/>
    </xf>
    <xf numFmtId="0" fontId="22" fillId="6" borderId="3" xfId="0" applyFont="1" applyFill="1" applyBorder="1"/>
    <xf numFmtId="0" fontId="22" fillId="6" borderId="3" xfId="0" applyFont="1" applyFill="1" applyBorder="1" applyAlignment="1">
      <alignment horizontal="center"/>
    </xf>
    <xf numFmtId="0" fontId="24" fillId="6" borderId="3" xfId="0" applyFont="1" applyFill="1" applyBorder="1" applyAlignment="1">
      <alignment horizontal="center" vertical="center"/>
    </xf>
    <xf numFmtId="0" fontId="21" fillId="0" borderId="9" xfId="0" applyFont="1" applyBorder="1"/>
    <xf numFmtId="164" fontId="29" fillId="0" borderId="12" xfId="7" applyNumberFormat="1" applyFont="1" applyBorder="1" applyAlignment="1">
      <alignment horizontal="center"/>
    </xf>
    <xf numFmtId="43" fontId="21" fillId="6" borderId="0" xfId="6" applyFont="1" applyFill="1"/>
    <xf numFmtId="0" fontId="21" fillId="0" borderId="0" xfId="0" applyFont="1" applyAlignment="1">
      <alignment horizontal="left" indent="2"/>
    </xf>
    <xf numFmtId="171" fontId="29" fillId="0" borderId="15" xfId="0" applyNumberFormat="1" applyFont="1" applyBorder="1" applyAlignment="1">
      <alignment horizontal="center"/>
    </xf>
    <xf numFmtId="0" fontId="21" fillId="6" borderId="0" xfId="0" applyFont="1" applyFill="1"/>
    <xf numFmtId="171" fontId="29" fillId="0" borderId="13" xfId="0" applyNumberFormat="1" applyFont="1" applyBorder="1" applyAlignment="1">
      <alignment horizontal="center"/>
    </xf>
    <xf numFmtId="171" fontId="29" fillId="0" borderId="14" xfId="0" applyNumberFormat="1" applyFont="1" applyBorder="1" applyAlignment="1">
      <alignment horizontal="center"/>
    </xf>
    <xf numFmtId="0" fontId="25" fillId="0" borderId="0" xfId="0" applyFont="1" applyAlignment="1">
      <alignment horizontal="left" indent="17"/>
    </xf>
    <xf numFmtId="0" fontId="25" fillId="0" borderId="8" xfId="0" applyFont="1" applyBorder="1"/>
    <xf numFmtId="0" fontId="25" fillId="0" borderId="8" xfId="0" applyFont="1" applyBorder="1" applyAlignment="1">
      <alignment horizontal="center"/>
    </xf>
    <xf numFmtId="0" fontId="26" fillId="0" borderId="8" xfId="0" applyFont="1" applyBorder="1" applyAlignment="1">
      <alignment horizontal="center" vertical="center"/>
    </xf>
    <xf numFmtId="169" fontId="25" fillId="6" borderId="8" xfId="6" applyNumberFormat="1" applyFont="1" applyFill="1" applyBorder="1"/>
    <xf numFmtId="169" fontId="25" fillId="0" borderId="8" xfId="6" applyNumberFormat="1" applyFont="1" applyBorder="1"/>
    <xf numFmtId="0" fontId="24" fillId="0" borderId="2" xfId="0" applyFont="1" applyBorder="1" applyAlignment="1">
      <alignment horizontal="center" vertical="center"/>
    </xf>
    <xf numFmtId="169" fontId="25" fillId="6" borderId="8" xfId="0" applyNumberFormat="1" applyFont="1" applyFill="1" applyBorder="1"/>
    <xf numFmtId="169" fontId="25" fillId="0" borderId="8" xfId="0" applyNumberFormat="1" applyFont="1" applyBorder="1"/>
    <xf numFmtId="169" fontId="25" fillId="6" borderId="0" xfId="0" applyNumberFormat="1" applyFont="1" applyFill="1"/>
    <xf numFmtId="169" fontId="21" fillId="6" borderId="0" xfId="0" applyNumberFormat="1" applyFont="1" applyFill="1"/>
    <xf numFmtId="0" fontId="24" fillId="0" borderId="8" xfId="0" applyFont="1" applyBorder="1" applyAlignment="1">
      <alignment horizontal="center" vertical="center"/>
    </xf>
    <xf numFmtId="169" fontId="21" fillId="6" borderId="8" xfId="0" applyNumberFormat="1" applyFont="1" applyFill="1" applyBorder="1"/>
    <xf numFmtId="169" fontId="21" fillId="6" borderId="2" xfId="0" applyNumberFormat="1" applyFont="1" applyFill="1" applyBorder="1"/>
    <xf numFmtId="169" fontId="25" fillId="7" borderId="10" xfId="6" applyNumberFormat="1" applyFont="1" applyFill="1" applyBorder="1" applyAlignment="1">
      <alignment horizontal="left"/>
    </xf>
    <xf numFmtId="169" fontId="25" fillId="7" borderId="10" xfId="6" applyNumberFormat="1" applyFont="1" applyFill="1" applyBorder="1"/>
    <xf numFmtId="169" fontId="25" fillId="7" borderId="10" xfId="6" applyNumberFormat="1" applyFont="1" applyFill="1" applyBorder="1" applyAlignment="1">
      <alignment horizontal="center"/>
    </xf>
    <xf numFmtId="169" fontId="26" fillId="7" borderId="10" xfId="6" applyNumberFormat="1" applyFont="1" applyFill="1" applyBorder="1" applyAlignment="1">
      <alignment horizontal="center" vertical="center"/>
    </xf>
    <xf numFmtId="43" fontId="25" fillId="0" borderId="8" xfId="6" applyFont="1" applyBorder="1"/>
    <xf numFmtId="43" fontId="25" fillId="6" borderId="8" xfId="6" applyFont="1" applyFill="1" applyBorder="1"/>
    <xf numFmtId="43" fontId="25" fillId="6" borderId="0" xfId="6" applyFont="1" applyFill="1"/>
    <xf numFmtId="170" fontId="21" fillId="6" borderId="0" xfId="6" applyNumberFormat="1" applyFont="1" applyFill="1"/>
    <xf numFmtId="170" fontId="21" fillId="0" borderId="0" xfId="6" applyNumberFormat="1" applyFont="1"/>
    <xf numFmtId="43" fontId="21" fillId="6" borderId="0" xfId="0" applyNumberFormat="1" applyFont="1" applyFill="1"/>
    <xf numFmtId="0" fontId="6" fillId="0" borderId="0" xfId="0" applyFont="1" applyAlignment="1">
      <alignment horizontal="center"/>
    </xf>
    <xf numFmtId="0" fontId="8" fillId="0" borderId="2" xfId="0" applyFont="1" applyBorder="1" applyAlignment="1">
      <alignment horizontal="center" vertical="center"/>
    </xf>
    <xf numFmtId="0" fontId="10" fillId="5" borderId="5" xfId="9" applyNumberFormat="1" applyFont="1" applyFill="1" applyBorder="1" applyAlignment="1" applyProtection="1">
      <alignment horizontal="center"/>
      <protection locked="0"/>
    </xf>
    <xf numFmtId="3" fontId="6" fillId="0" borderId="5" xfId="9" applyNumberFormat="1" applyFont="1" applyFill="1" applyBorder="1" applyAlignment="1" applyProtection="1">
      <alignment horizontal="right"/>
      <protection locked="0"/>
    </xf>
    <xf numFmtId="15" fontId="10" fillId="5" borderId="5" xfId="9" applyNumberFormat="1" applyFont="1" applyFill="1" applyBorder="1" applyAlignment="1" applyProtection="1">
      <alignment horizontal="center"/>
      <protection locked="0"/>
    </xf>
    <xf numFmtId="3" fontId="6" fillId="0" borderId="1" xfId="9" applyNumberFormat="1" applyFont="1" applyFill="1" applyAlignment="1" applyProtection="1">
      <alignment horizontal="right"/>
      <protection locked="0"/>
    </xf>
    <xf numFmtId="164" fontId="10" fillId="5" borderId="1" xfId="9" applyNumberFormat="1" applyFont="1" applyFill="1" applyAlignment="1">
      <alignment horizontal="center"/>
    </xf>
    <xf numFmtId="8" fontId="10" fillId="5" borderId="1" xfId="9" applyNumberFormat="1" applyFont="1" applyFill="1" applyAlignment="1" applyProtection="1">
      <alignment horizontal="center"/>
      <protection locked="0"/>
    </xf>
    <xf numFmtId="164" fontId="10" fillId="5" borderId="1" xfId="9" applyNumberFormat="1" applyFont="1" applyFill="1" applyAlignment="1" applyProtection="1">
      <alignment horizontal="center"/>
      <protection locked="0"/>
    </xf>
    <xf numFmtId="3" fontId="10" fillId="5" borderId="1" xfId="9" applyNumberFormat="1" applyFont="1" applyFill="1" applyAlignment="1" applyProtection="1">
      <alignment horizontal="center"/>
      <protection locked="0"/>
    </xf>
    <xf numFmtId="172" fontId="10" fillId="5" borderId="1" xfId="9" applyNumberFormat="1" applyFont="1" applyFill="1" applyAlignment="1" applyProtection="1">
      <alignment horizontal="center"/>
      <protection locked="0"/>
    </xf>
    <xf numFmtId="172" fontId="6" fillId="0" borderId="1" xfId="9" applyNumberFormat="1" applyFont="1" applyFill="1" applyAlignment="1" applyProtection="1">
      <alignment horizontal="center"/>
      <protection locked="0"/>
    </xf>
    <xf numFmtId="165" fontId="10" fillId="5" borderId="1" xfId="9" applyNumberFormat="1" applyFont="1" applyFill="1" applyAlignment="1" applyProtection="1">
      <alignment horizontal="center"/>
      <protection locked="0"/>
    </xf>
    <xf numFmtId="0" fontId="10" fillId="5" borderId="1" xfId="9" applyNumberFormat="1" applyFont="1" applyFill="1" applyAlignment="1" applyProtection="1">
      <alignment horizontal="center"/>
      <protection locked="0"/>
    </xf>
    <xf numFmtId="168" fontId="10" fillId="5" borderId="1" xfId="9" applyNumberFormat="1" applyFont="1" applyFill="1" applyAlignment="1" applyProtection="1">
      <alignment horizontal="center"/>
      <protection locked="0"/>
    </xf>
    <xf numFmtId="167" fontId="6" fillId="0" borderId="0" xfId="0" applyNumberFormat="1" applyFont="1"/>
    <xf numFmtId="173" fontId="6" fillId="0" borderId="0" xfId="0" applyNumberFormat="1" applyFont="1"/>
    <xf numFmtId="174" fontId="6" fillId="0" borderId="0" xfId="0" applyNumberFormat="1" applyFont="1"/>
    <xf numFmtId="8" fontId="8" fillId="0" borderId="0" xfId="0" applyNumberFormat="1" applyFont="1"/>
    <xf numFmtId="0" fontId="0" fillId="0" borderId="0" xfId="0" applyAlignment="1">
      <alignment horizontal="center"/>
    </xf>
    <xf numFmtId="0" fontId="31" fillId="4" borderId="3" xfId="0" applyFont="1" applyFill="1" applyBorder="1" applyAlignment="1">
      <alignment horizontal="left"/>
    </xf>
    <xf numFmtId="0" fontId="31" fillId="4" borderId="3" xfId="0" applyFont="1" applyFill="1" applyBorder="1" applyAlignment="1">
      <alignment horizontal="center"/>
    </xf>
    <xf numFmtId="0" fontId="32" fillId="0" borderId="0" xfId="0" applyFont="1" applyAlignment="1">
      <alignment horizontal="center"/>
    </xf>
    <xf numFmtId="0" fontId="32" fillId="0" borderId="0" xfId="0" applyFont="1"/>
    <xf numFmtId="0" fontId="32" fillId="0" borderId="2" xfId="0" applyFont="1" applyBorder="1" applyAlignment="1">
      <alignment horizontal="center"/>
    </xf>
    <xf numFmtId="0" fontId="8" fillId="0" borderId="2" xfId="0" applyFont="1" applyBorder="1" applyAlignment="1">
      <alignment horizontal="left"/>
    </xf>
    <xf numFmtId="175" fontId="11" fillId="0" borderId="2" xfId="0" applyNumberFormat="1" applyFont="1" applyBorder="1" applyAlignment="1">
      <alignment horizontal="right"/>
    </xf>
    <xf numFmtId="0" fontId="33" fillId="0" borderId="0" xfId="0" applyFont="1" applyAlignment="1">
      <alignment horizontal="center"/>
    </xf>
    <xf numFmtId="168" fontId="32" fillId="0" borderId="0" xfId="0" applyNumberFormat="1" applyFont="1"/>
    <xf numFmtId="164" fontId="32" fillId="0" borderId="0" xfId="0" applyNumberFormat="1" applyFont="1"/>
    <xf numFmtId="0" fontId="32" fillId="0" borderId="2" xfId="0" applyFont="1" applyBorder="1"/>
    <xf numFmtId="0" fontId="32" fillId="0" borderId="0" xfId="0" applyFont="1" applyAlignment="1">
      <alignment horizontal="left" indent="1"/>
    </xf>
    <xf numFmtId="3" fontId="6" fillId="0" borderId="0" xfId="0" applyNumberFormat="1" applyFont="1" applyAlignment="1">
      <alignment horizontal="center"/>
    </xf>
    <xf numFmtId="168" fontId="6" fillId="0" borderId="0" xfId="0" applyNumberFormat="1" applyFont="1" applyAlignment="1">
      <alignment horizontal="center"/>
    </xf>
    <xf numFmtId="174" fontId="32" fillId="0" borderId="0" xfId="0" applyNumberFormat="1" applyFont="1" applyAlignment="1">
      <alignment horizontal="center"/>
    </xf>
    <xf numFmtId="3" fontId="32" fillId="0" borderId="0" xfId="0" applyNumberFormat="1" applyFont="1"/>
    <xf numFmtId="0" fontId="32" fillId="0" borderId="2" xfId="0" applyFont="1" applyBorder="1" applyAlignment="1">
      <alignment horizontal="left" indent="1"/>
    </xf>
    <xf numFmtId="3" fontId="6" fillId="0" borderId="2" xfId="0" applyNumberFormat="1" applyFont="1" applyBorder="1" applyAlignment="1">
      <alignment horizontal="center"/>
    </xf>
    <xf numFmtId="168" fontId="6" fillId="0" borderId="2" xfId="0" applyNumberFormat="1" applyFont="1" applyBorder="1" applyAlignment="1">
      <alignment horizontal="center"/>
    </xf>
    <xf numFmtId="174" fontId="32" fillId="0" borderId="2" xfId="0" applyNumberFormat="1" applyFont="1" applyBorder="1" applyAlignment="1">
      <alignment horizontal="center"/>
    </xf>
    <xf numFmtId="0" fontId="8" fillId="0" borderId="0" xfId="0" applyFont="1" applyAlignment="1">
      <alignment horizontal="left" indent="1"/>
    </xf>
    <xf numFmtId="3" fontId="11" fillId="0" borderId="0" xfId="0" applyNumberFormat="1" applyFont="1" applyAlignment="1">
      <alignment horizontal="center"/>
    </xf>
    <xf numFmtId="6" fontId="11" fillId="0" borderId="0" xfId="0" applyNumberFormat="1" applyFont="1" applyAlignment="1">
      <alignment horizontal="center"/>
    </xf>
    <xf numFmtId="0" fontId="30" fillId="6" borderId="3" xfId="0" applyFont="1" applyFill="1" applyBorder="1"/>
    <xf numFmtId="0" fontId="30" fillId="6" borderId="3" xfId="0" applyFont="1" applyFill="1" applyBorder="1" applyAlignment="1">
      <alignment horizontal="center"/>
    </xf>
    <xf numFmtId="0" fontId="34" fillId="6" borderId="3" xfId="0" applyFont="1" applyFill="1" applyBorder="1" applyAlignment="1">
      <alignment horizontal="center" vertical="center"/>
    </xf>
    <xf numFmtId="15" fontId="25" fillId="6" borderId="0" xfId="0" applyNumberFormat="1" applyFont="1" applyFill="1"/>
    <xf numFmtId="169" fontId="12" fillId="0" borderId="0" xfId="6" applyNumberFormat="1"/>
    <xf numFmtId="43" fontId="12" fillId="0" borderId="0" xfId="6"/>
    <xf numFmtId="3" fontId="29" fillId="0" borderId="16" xfId="0" applyNumberFormat="1" applyFont="1" applyBorder="1" applyAlignment="1">
      <alignment horizontal="center"/>
    </xf>
    <xf numFmtId="3" fontId="29" fillId="0" borderId="17" xfId="0" applyNumberFormat="1" applyFont="1" applyBorder="1" applyAlignment="1">
      <alignment horizontal="center"/>
    </xf>
    <xf numFmtId="3" fontId="29" fillId="0" borderId="18" xfId="0" applyNumberFormat="1" applyFont="1" applyBorder="1" applyAlignment="1">
      <alignment horizontal="center"/>
    </xf>
    <xf numFmtId="3" fontId="29" fillId="0" borderId="13" xfId="0" applyNumberFormat="1" applyFont="1" applyBorder="1" applyAlignment="1">
      <alignment horizontal="center"/>
    </xf>
    <xf numFmtId="3" fontId="29" fillId="0" borderId="0" xfId="0" applyNumberFormat="1" applyFont="1" applyAlignment="1">
      <alignment horizontal="center"/>
    </xf>
    <xf numFmtId="171" fontId="29" fillId="0" borderId="0" xfId="0" applyNumberFormat="1" applyFont="1" applyAlignment="1">
      <alignment horizontal="center"/>
    </xf>
    <xf numFmtId="170" fontId="12" fillId="0" borderId="0" xfId="6" applyNumberFormat="1"/>
    <xf numFmtId="0" fontId="25" fillId="6" borderId="0" xfId="0" applyFont="1" applyFill="1" applyAlignment="1">
      <alignment horizontal="right"/>
    </xf>
    <xf numFmtId="0" fontId="25" fillId="0" borderId="0" xfId="0" applyFont="1" applyAlignment="1">
      <alignment horizontal="right"/>
    </xf>
    <xf numFmtId="9" fontId="12" fillId="0" borderId="0" xfId="7"/>
    <xf numFmtId="9" fontId="12" fillId="6" borderId="0" xfId="7" applyFill="1"/>
    <xf numFmtId="169" fontId="12" fillId="6" borderId="0" xfId="6" applyNumberFormat="1" applyFill="1"/>
    <xf numFmtId="176" fontId="12" fillId="0" borderId="0" xfId="7" applyNumberFormat="1"/>
    <xf numFmtId="10" fontId="29" fillId="0" borderId="18" xfId="0" applyNumberFormat="1" applyFont="1" applyBorder="1" applyAlignment="1">
      <alignment horizontal="center"/>
    </xf>
    <xf numFmtId="0" fontId="21" fillId="0" borderId="19" xfId="0" applyFont="1" applyBorder="1"/>
    <xf numFmtId="0" fontId="21" fillId="0" borderId="19" xfId="0" applyFont="1" applyBorder="1" applyAlignment="1">
      <alignment horizontal="center"/>
    </xf>
    <xf numFmtId="3" fontId="29" fillId="0" borderId="20" xfId="0" applyNumberFormat="1" applyFont="1" applyBorder="1" applyAlignment="1">
      <alignment horizontal="center"/>
    </xf>
    <xf numFmtId="171" fontId="29" fillId="0" borderId="20" xfId="0" applyNumberFormat="1" applyFont="1" applyBorder="1" applyAlignment="1">
      <alignment horizontal="center"/>
    </xf>
    <xf numFmtId="168" fontId="29" fillId="0" borderId="16" xfId="0" applyNumberFormat="1" applyFont="1" applyBorder="1" applyAlignment="1">
      <alignment horizontal="center"/>
    </xf>
    <xf numFmtId="168" fontId="29" fillId="0" borderId="17" xfId="0" applyNumberFormat="1" applyFont="1" applyBorder="1" applyAlignment="1">
      <alignment horizontal="center"/>
    </xf>
    <xf numFmtId="168" fontId="29" fillId="0" borderId="13" xfId="0" applyNumberFormat="1" applyFont="1" applyBorder="1" applyAlignment="1">
      <alignment horizontal="center"/>
    </xf>
    <xf numFmtId="168" fontId="29" fillId="0" borderId="18" xfId="0" applyNumberFormat="1" applyFont="1" applyBorder="1" applyAlignment="1">
      <alignment horizontal="center"/>
    </xf>
    <xf numFmtId="168" fontId="29" fillId="0" borderId="21" xfId="0" applyNumberFormat="1" applyFont="1" applyBorder="1" applyAlignment="1">
      <alignment horizontal="center"/>
    </xf>
    <xf numFmtId="168" fontId="29" fillId="0" borderId="22" xfId="0" applyNumberFormat="1" applyFont="1" applyBorder="1" applyAlignment="1">
      <alignment horizontal="center"/>
    </xf>
    <xf numFmtId="168" fontId="29" fillId="0" borderId="23" xfId="0" applyNumberFormat="1" applyFont="1" applyBorder="1" applyAlignment="1">
      <alignment horizontal="center"/>
    </xf>
    <xf numFmtId="170" fontId="12" fillId="6" borderId="0" xfId="6" applyNumberFormat="1" applyFill="1"/>
    <xf numFmtId="170" fontId="25" fillId="6" borderId="8" xfId="0" applyNumberFormat="1" applyFont="1" applyFill="1" applyBorder="1"/>
    <xf numFmtId="170" fontId="25" fillId="0" borderId="8" xfId="0" applyNumberFormat="1" applyFont="1" applyBorder="1"/>
    <xf numFmtId="3" fontId="29" fillId="0" borderId="25" xfId="0" applyNumberFormat="1" applyFont="1" applyBorder="1" applyAlignment="1">
      <alignment horizontal="center"/>
    </xf>
    <xf numFmtId="171" fontId="29" fillId="0" borderId="24" xfId="0" applyNumberFormat="1" applyFont="1" applyBorder="1" applyAlignment="1">
      <alignment horizontal="center"/>
    </xf>
    <xf numFmtId="170" fontId="21" fillId="0" borderId="0" xfId="0" applyNumberFormat="1" applyFont="1"/>
    <xf numFmtId="177" fontId="21" fillId="0" borderId="0" xfId="0" applyNumberFormat="1" applyFont="1"/>
    <xf numFmtId="170" fontId="25" fillId="7" borderId="10" xfId="6" applyNumberFormat="1" applyFont="1" applyFill="1" applyBorder="1"/>
    <xf numFmtId="10" fontId="29" fillId="0" borderId="11" xfId="0" applyNumberFormat="1" applyFont="1" applyBorder="1" applyAlignment="1">
      <alignment horizontal="center"/>
    </xf>
    <xf numFmtId="3" fontId="29" fillId="0" borderId="11" xfId="0" applyNumberFormat="1" applyFont="1" applyBorder="1" applyAlignment="1">
      <alignment horizontal="center"/>
    </xf>
    <xf numFmtId="43" fontId="21" fillId="6" borderId="8" xfId="0" applyNumberFormat="1" applyFont="1" applyFill="1" applyBorder="1"/>
    <xf numFmtId="169" fontId="25" fillId="6" borderId="10" xfId="6" applyNumberFormat="1" applyFont="1" applyFill="1" applyBorder="1"/>
    <xf numFmtId="168" fontId="29" fillId="0" borderId="25" xfId="0" applyNumberFormat="1" applyFont="1" applyBorder="1" applyAlignment="1">
      <alignment horizontal="center"/>
    </xf>
    <xf numFmtId="168" fontId="29" fillId="0" borderId="0" xfId="0" applyNumberFormat="1" applyFont="1" applyAlignment="1">
      <alignment horizontal="center"/>
    </xf>
    <xf numFmtId="0" fontId="25" fillId="7" borderId="0" xfId="0" applyFont="1" applyFill="1" applyAlignment="1">
      <alignment horizontal="left" indent="17"/>
    </xf>
    <xf numFmtId="0" fontId="21" fillId="7" borderId="0" xfId="0" applyFont="1" applyFill="1"/>
    <xf numFmtId="0" fontId="21" fillId="7" borderId="2" xfId="0" applyFont="1" applyFill="1" applyBorder="1"/>
    <xf numFmtId="0" fontId="24" fillId="7" borderId="0" xfId="0" applyFont="1" applyFill="1" applyAlignment="1">
      <alignment horizontal="center" vertical="center"/>
    </xf>
    <xf numFmtId="0" fontId="21" fillId="7" borderId="8" xfId="0" applyFont="1" applyFill="1" applyBorder="1"/>
    <xf numFmtId="169" fontId="21" fillId="7" borderId="0" xfId="0" applyNumberFormat="1" applyFont="1" applyFill="1" applyAlignment="1">
      <alignment horizontal="center"/>
    </xf>
    <xf numFmtId="169" fontId="24" fillId="7" borderId="8" xfId="0" applyNumberFormat="1" applyFont="1" applyFill="1" applyBorder="1" applyAlignment="1">
      <alignment horizontal="center" vertical="center"/>
    </xf>
    <xf numFmtId="170" fontId="21" fillId="7" borderId="8" xfId="0" applyNumberFormat="1" applyFont="1" applyFill="1" applyBorder="1"/>
    <xf numFmtId="170" fontId="21" fillId="7" borderId="0" xfId="0" applyNumberFormat="1" applyFont="1" applyFill="1"/>
    <xf numFmtId="0" fontId="25" fillId="7" borderId="0" xfId="0" applyFont="1" applyFill="1" applyAlignment="1">
      <alignment horizontal="center"/>
    </xf>
    <xf numFmtId="0" fontId="24" fillId="7" borderId="8" xfId="0" applyFont="1" applyFill="1" applyBorder="1" applyAlignment="1">
      <alignment horizontal="center" vertical="center"/>
    </xf>
    <xf numFmtId="3" fontId="29" fillId="0" borderId="26" xfId="0" applyNumberFormat="1" applyFont="1" applyBorder="1" applyAlignment="1">
      <alignment horizontal="center"/>
    </xf>
    <xf numFmtId="171" fontId="29" fillId="0" borderId="27" xfId="0" applyNumberFormat="1" applyFont="1" applyBorder="1" applyAlignment="1">
      <alignment horizontal="center"/>
    </xf>
    <xf numFmtId="171" fontId="29" fillId="0" borderId="28" xfId="0" applyNumberFormat="1" applyFont="1" applyBorder="1" applyAlignment="1">
      <alignment horizontal="center"/>
    </xf>
    <xf numFmtId="169" fontId="21" fillId="7" borderId="2" xfId="0" applyNumberFormat="1" applyFont="1" applyFill="1" applyBorder="1" applyAlignment="1">
      <alignment horizontal="center"/>
    </xf>
    <xf numFmtId="0" fontId="24" fillId="7" borderId="2" xfId="0" applyFont="1" applyFill="1" applyBorder="1" applyAlignment="1">
      <alignment horizontal="center" vertical="center"/>
    </xf>
    <xf numFmtId="170" fontId="21" fillId="7" borderId="2" xfId="0" applyNumberFormat="1" applyFont="1" applyFill="1" applyBorder="1"/>
    <xf numFmtId="164" fontId="29" fillId="0" borderId="25" xfId="0" applyNumberFormat="1" applyFont="1" applyBorder="1" applyAlignment="1">
      <alignment horizontal="center"/>
    </xf>
    <xf numFmtId="168" fontId="29" fillId="0" borderId="29" xfId="0" applyNumberFormat="1" applyFont="1" applyBorder="1" applyAlignment="1">
      <alignment horizontal="center"/>
    </xf>
    <xf numFmtId="0" fontId="21" fillId="7" borderId="0" xfId="0" applyFont="1" applyFill="1" applyAlignment="1">
      <alignment horizontal="center"/>
    </xf>
    <xf numFmtId="170" fontId="12" fillId="7" borderId="0" xfId="6" applyNumberFormat="1" applyFill="1"/>
    <xf numFmtId="169" fontId="25" fillId="7" borderId="3" xfId="6" applyNumberFormat="1" applyFont="1" applyFill="1" applyBorder="1" applyAlignment="1">
      <alignment horizontal="left"/>
    </xf>
    <xf numFmtId="169" fontId="25" fillId="7" borderId="3" xfId="6" applyNumberFormat="1" applyFont="1" applyFill="1" applyBorder="1"/>
    <xf numFmtId="169" fontId="25" fillId="7" borderId="3" xfId="6" applyNumberFormat="1" applyFont="1" applyFill="1" applyBorder="1" applyAlignment="1">
      <alignment horizontal="center"/>
    </xf>
    <xf numFmtId="169" fontId="26" fillId="7" borderId="3" xfId="6" applyNumberFormat="1" applyFont="1" applyFill="1" applyBorder="1" applyAlignment="1">
      <alignment horizontal="center" vertical="center"/>
    </xf>
    <xf numFmtId="170" fontId="25" fillId="7" borderId="3" xfId="6" applyNumberFormat="1" applyFont="1" applyFill="1" applyBorder="1"/>
    <xf numFmtId="177" fontId="21" fillId="6" borderId="0" xfId="0" applyNumberFormat="1" applyFont="1" applyFill="1"/>
    <xf numFmtId="0" fontId="25" fillId="7" borderId="0" xfId="0" applyFont="1" applyFill="1"/>
    <xf numFmtId="0" fontId="26" fillId="7" borderId="0" xfId="0" applyFont="1" applyFill="1" applyAlignment="1">
      <alignment horizontal="center" vertical="center"/>
    </xf>
    <xf numFmtId="170" fontId="35" fillId="7" borderId="0" xfId="6" applyNumberFormat="1" applyFont="1" applyFill="1"/>
    <xf numFmtId="178" fontId="21" fillId="0" borderId="0" xfId="0" applyNumberFormat="1" applyFont="1"/>
    <xf numFmtId="170" fontId="36" fillId="0" borderId="0" xfId="6" applyNumberFormat="1" applyFont="1"/>
    <xf numFmtId="0" fontId="25" fillId="6" borderId="8" xfId="0" applyFont="1" applyFill="1" applyBorder="1"/>
    <xf numFmtId="170" fontId="35" fillId="0" borderId="8" xfId="6" applyNumberFormat="1" applyFont="1" applyBorder="1"/>
    <xf numFmtId="0" fontId="37" fillId="0" borderId="0" xfId="0" applyFont="1" applyAlignment="1">
      <alignment horizontal="left" indent="7"/>
    </xf>
    <xf numFmtId="0" fontId="21" fillId="0" borderId="8" xfId="0" applyFont="1" applyBorder="1" applyAlignment="1">
      <alignment horizontal="left" indent="2"/>
    </xf>
    <xf numFmtId="6" fontId="21" fillId="0" borderId="8" xfId="8" applyNumberFormat="1" applyFont="1" applyBorder="1"/>
    <xf numFmtId="169" fontId="21" fillId="0" borderId="8" xfId="6" applyNumberFormat="1" applyFont="1" applyBorder="1" applyAlignment="1">
      <alignment horizontal="center"/>
    </xf>
    <xf numFmtId="169" fontId="24" fillId="0" borderId="8" xfId="6" applyNumberFormat="1" applyFont="1" applyBorder="1" applyAlignment="1">
      <alignment horizontal="center" vertical="center"/>
    </xf>
    <xf numFmtId="169" fontId="21" fillId="6" borderId="8" xfId="6" applyNumberFormat="1" applyFont="1" applyFill="1" applyBorder="1"/>
    <xf numFmtId="6" fontId="25" fillId="0" borderId="8" xfId="8" applyNumberFormat="1" applyFont="1" applyBorder="1"/>
    <xf numFmtId="169" fontId="25" fillId="0" borderId="8" xfId="6" applyNumberFormat="1" applyFont="1" applyBorder="1" applyAlignment="1">
      <alignment horizontal="center"/>
    </xf>
    <xf numFmtId="170" fontId="12" fillId="0" borderId="8" xfId="6" applyNumberFormat="1" applyBorder="1"/>
    <xf numFmtId="170" fontId="25" fillId="0" borderId="3" xfId="6" applyNumberFormat="1" applyFont="1" applyBorder="1"/>
    <xf numFmtId="49" fontId="12" fillId="0" borderId="0" xfId="6" applyNumberFormat="1" applyAlignment="1">
      <alignment horizontal="center"/>
    </xf>
    <xf numFmtId="3" fontId="29" fillId="7" borderId="11" xfId="0" applyNumberFormat="1" applyFont="1" applyFill="1" applyBorder="1" applyAlignment="1">
      <alignment horizontal="center"/>
    </xf>
    <xf numFmtId="0" fontId="25" fillId="7" borderId="8" xfId="0" applyFont="1" applyFill="1" applyBorder="1"/>
    <xf numFmtId="0" fontId="25" fillId="7" borderId="8" xfId="0" applyFont="1" applyFill="1" applyBorder="1" applyAlignment="1">
      <alignment horizontal="center"/>
    </xf>
    <xf numFmtId="170" fontId="25" fillId="7" borderId="8" xfId="0" applyNumberFormat="1" applyFont="1" applyFill="1" applyBorder="1"/>
    <xf numFmtId="3" fontId="29" fillId="7" borderId="0" xfId="0" applyNumberFormat="1" applyFont="1" applyFill="1" applyAlignment="1">
      <alignment horizontal="center"/>
    </xf>
    <xf numFmtId="170" fontId="38" fillId="0" borderId="8" xfId="6" applyNumberFormat="1" applyFont="1" applyBorder="1"/>
    <xf numFmtId="0" fontId="26" fillId="0" borderId="3" xfId="0" applyFont="1" applyBorder="1" applyAlignment="1">
      <alignment horizontal="center" vertical="center"/>
    </xf>
    <xf numFmtId="170" fontId="38" fillId="6" borderId="8" xfId="6" applyNumberFormat="1" applyFont="1" applyFill="1" applyBorder="1"/>
    <xf numFmtId="170" fontId="35" fillId="6" borderId="8" xfId="6" applyNumberFormat="1" applyFont="1" applyFill="1" applyBorder="1"/>
    <xf numFmtId="3" fontId="29" fillId="7" borderId="30" xfId="0" applyNumberFormat="1" applyFont="1" applyFill="1" applyBorder="1" applyAlignment="1">
      <alignment horizontal="center"/>
    </xf>
    <xf numFmtId="170" fontId="35" fillId="7" borderId="8" xfId="6" applyNumberFormat="1" applyFont="1" applyFill="1" applyBorder="1"/>
    <xf numFmtId="164" fontId="29" fillId="7" borderId="25" xfId="0" applyNumberFormat="1" applyFont="1" applyFill="1" applyBorder="1" applyAlignment="1">
      <alignment horizontal="center"/>
    </xf>
    <xf numFmtId="171" fontId="29" fillId="7" borderId="24" xfId="0" applyNumberFormat="1" applyFont="1" applyFill="1" applyBorder="1" applyAlignment="1">
      <alignment horizontal="center"/>
    </xf>
    <xf numFmtId="164" fontId="12" fillId="7" borderId="0" xfId="7" applyNumberFormat="1" applyFill="1"/>
    <xf numFmtId="164" fontId="29" fillId="7" borderId="29" xfId="0" applyNumberFormat="1" applyFont="1" applyFill="1" applyBorder="1" applyAlignment="1">
      <alignment horizontal="center"/>
    </xf>
    <xf numFmtId="171" fontId="29" fillId="7" borderId="28" xfId="0" applyNumberFormat="1" applyFont="1" applyFill="1" applyBorder="1" applyAlignment="1">
      <alignment horizontal="center"/>
    </xf>
    <xf numFmtId="164" fontId="21" fillId="7" borderId="0" xfId="0" applyNumberFormat="1" applyFont="1" applyFill="1"/>
    <xf numFmtId="0" fontId="26" fillId="7" borderId="8" xfId="0" applyFont="1" applyFill="1" applyBorder="1" applyAlignment="1">
      <alignment horizontal="center" vertical="center"/>
    </xf>
    <xf numFmtId="164" fontId="35" fillId="7" borderId="8" xfId="7" applyNumberFormat="1" applyFont="1" applyFill="1" applyBorder="1"/>
    <xf numFmtId="177" fontId="21" fillId="7" borderId="0" xfId="0" applyNumberFormat="1" applyFont="1" applyFill="1"/>
    <xf numFmtId="3" fontId="29" fillId="7" borderId="31" xfId="0" applyNumberFormat="1" applyFont="1" applyFill="1" applyBorder="1" applyAlignment="1">
      <alignment horizontal="center"/>
    </xf>
    <xf numFmtId="0" fontId="25" fillId="0" borderId="3" xfId="0" applyFont="1" applyBorder="1"/>
    <xf numFmtId="0" fontId="25" fillId="0" borderId="3" xfId="0" applyFont="1" applyBorder="1" applyAlignment="1">
      <alignment horizontal="center"/>
    </xf>
    <xf numFmtId="164" fontId="29" fillId="0" borderId="32" xfId="0" applyNumberFormat="1" applyFont="1" applyBorder="1" applyAlignment="1">
      <alignment horizontal="center"/>
    </xf>
    <xf numFmtId="170" fontId="12" fillId="7" borderId="8" xfId="6" applyNumberFormat="1" applyFill="1" applyBorder="1"/>
    <xf numFmtId="176" fontId="12" fillId="6" borderId="0" xfId="7" applyNumberFormat="1" applyFill="1"/>
    <xf numFmtId="170" fontId="21" fillId="6" borderId="0" xfId="0" applyNumberFormat="1" applyFont="1" applyFill="1"/>
    <xf numFmtId="0" fontId="25" fillId="6" borderId="3" xfId="0" applyFont="1" applyFill="1" applyBorder="1"/>
    <xf numFmtId="170" fontId="35" fillId="0" borderId="3" xfId="6" applyNumberFormat="1" applyFont="1" applyBorder="1"/>
    <xf numFmtId="0" fontId="25" fillId="7" borderId="3" xfId="0" applyFont="1" applyFill="1" applyBorder="1"/>
    <xf numFmtId="0" fontId="25" fillId="7" borderId="3" xfId="0" applyFont="1" applyFill="1" applyBorder="1" applyAlignment="1">
      <alignment horizontal="center"/>
    </xf>
    <xf numFmtId="0" fontId="26" fillId="7" borderId="3" xfId="0" applyFont="1" applyFill="1" applyBorder="1" applyAlignment="1">
      <alignment horizontal="center" vertical="center"/>
    </xf>
    <xf numFmtId="170" fontId="35" fillId="7" borderId="3" xfId="6" applyNumberFormat="1" applyFont="1" applyFill="1" applyBorder="1"/>
    <xf numFmtId="170" fontId="25" fillId="0" borderId="0" xfId="6" applyNumberFormat="1" applyFont="1"/>
    <xf numFmtId="0" fontId="39" fillId="0" borderId="0" xfId="0" applyFont="1"/>
    <xf numFmtId="169" fontId="37" fillId="0" borderId="0" xfId="6" applyNumberFormat="1" applyFont="1"/>
    <xf numFmtId="6" fontId="39" fillId="0" borderId="0" xfId="8" applyNumberFormat="1" applyFont="1"/>
    <xf numFmtId="169" fontId="39" fillId="0" borderId="0" xfId="6" applyNumberFormat="1" applyFont="1" applyAlignment="1">
      <alignment horizontal="center"/>
    </xf>
    <xf numFmtId="0" fontId="40" fillId="0" borderId="0" xfId="0" applyFont="1" applyAlignment="1">
      <alignment horizontal="center" vertical="center"/>
    </xf>
    <xf numFmtId="169" fontId="39" fillId="6" borderId="0" xfId="6" applyNumberFormat="1" applyFont="1" applyFill="1"/>
    <xf numFmtId="169" fontId="39" fillId="0" borderId="0" xfId="6" applyNumberFormat="1" applyFont="1"/>
    <xf numFmtId="169" fontId="25" fillId="6" borderId="3" xfId="0" applyNumberFormat="1" applyFont="1" applyFill="1" applyBorder="1"/>
    <xf numFmtId="170" fontId="25" fillId="6" borderId="8" xfId="6" applyNumberFormat="1" applyFont="1" applyFill="1" applyBorder="1"/>
    <xf numFmtId="170" fontId="25" fillId="0" borderId="8" xfId="6" applyNumberFormat="1" applyFont="1" applyBorder="1"/>
    <xf numFmtId="170" fontId="25" fillId="6" borderId="0" xfId="6" applyNumberFormat="1" applyFont="1" applyFill="1"/>
    <xf numFmtId="170" fontId="25" fillId="0" borderId="0" xfId="0" applyNumberFormat="1" applyFont="1"/>
    <xf numFmtId="170" fontId="25" fillId="6" borderId="3" xfId="6" applyNumberFormat="1" applyFont="1" applyFill="1" applyBorder="1"/>
    <xf numFmtId="43" fontId="12" fillId="7" borderId="0" xfId="6" applyFill="1"/>
    <xf numFmtId="3" fontId="31" fillId="4" borderId="3" xfId="0" applyNumberFormat="1" applyFont="1" applyFill="1" applyBorder="1"/>
    <xf numFmtId="0" fontId="31" fillId="4" borderId="3" xfId="0" applyFont="1" applyFill="1" applyBorder="1"/>
    <xf numFmtId="0" fontId="8" fillId="10" borderId="2" xfId="0" applyFont="1" applyFill="1" applyBorder="1" applyAlignment="1">
      <alignment horizontal="center"/>
    </xf>
    <xf numFmtId="0" fontId="8" fillId="10" borderId="2" xfId="0" applyFont="1" applyFill="1" applyBorder="1"/>
    <xf numFmtId="0" fontId="32" fillId="0" borderId="8" xfId="0" applyFont="1" applyBorder="1"/>
    <xf numFmtId="0" fontId="32" fillId="0" borderId="8" xfId="0" applyFont="1" applyBorder="1" applyAlignment="1">
      <alignment horizontal="center"/>
    </xf>
    <xf numFmtId="0" fontId="11" fillId="0" borderId="0" xfId="0" applyFont="1" applyAlignment="1">
      <alignment horizontal="left"/>
    </xf>
    <xf numFmtId="168" fontId="41" fillId="11" borderId="7" xfId="10" applyNumberFormat="1" applyFont="1" applyFill="1" applyAlignment="1">
      <alignment horizontal="center" vertical="center"/>
    </xf>
    <xf numFmtId="166" fontId="41" fillId="11" borderId="7" xfId="10" applyNumberFormat="1" applyFont="1" applyFill="1" applyAlignment="1">
      <alignment horizontal="center" vertical="center"/>
    </xf>
    <xf numFmtId="3" fontId="41" fillId="11" borderId="7" xfId="10" applyNumberFormat="1" applyFont="1" applyFill="1" applyAlignment="1">
      <alignment horizontal="center" vertical="center"/>
    </xf>
    <xf numFmtId="172" fontId="41" fillId="11" borderId="7" xfId="10" applyNumberFormat="1" applyFont="1" applyFill="1" applyAlignment="1">
      <alignment horizontal="center" vertical="center"/>
    </xf>
    <xf numFmtId="6" fontId="41" fillId="11" borderId="7" xfId="10" applyNumberFormat="1" applyFont="1" applyFill="1" applyAlignment="1">
      <alignment horizontal="center" vertical="center"/>
    </xf>
    <xf numFmtId="8" fontId="41" fillId="11" borderId="7" xfId="10" applyNumberFormat="1" applyFont="1" applyFill="1" applyAlignment="1">
      <alignment horizontal="center" vertical="center"/>
    </xf>
    <xf numFmtId="15" fontId="41" fillId="11" borderId="7" xfId="10" applyNumberFormat="1" applyFont="1" applyFill="1" applyAlignment="1">
      <alignment horizontal="center" vertical="center"/>
    </xf>
    <xf numFmtId="0" fontId="32" fillId="0" borderId="2" xfId="0" applyFont="1" applyBorder="1" applyAlignment="1">
      <alignment horizontal="center" vertical="center"/>
    </xf>
    <xf numFmtId="0" fontId="32" fillId="0" borderId="2" xfId="0" applyFont="1" applyBorder="1" applyAlignment="1">
      <alignment wrapText="1"/>
    </xf>
    <xf numFmtId="6" fontId="41" fillId="11" borderId="33" xfId="10" applyNumberFormat="1" applyFont="1" applyFill="1" applyBorder="1" applyAlignment="1">
      <alignment horizontal="center" vertical="center"/>
    </xf>
    <xf numFmtId="0" fontId="11" fillId="0" borderId="0" xfId="0" applyFont="1" applyAlignment="1">
      <alignment horizontal="center"/>
    </xf>
    <xf numFmtId="179" fontId="12" fillId="0" borderId="0" xfId="6" applyNumberFormat="1"/>
    <xf numFmtId="43" fontId="32" fillId="0" borderId="0" xfId="0" applyNumberFormat="1" applyFont="1" applyAlignment="1">
      <alignment horizontal="center"/>
    </xf>
    <xf numFmtId="180" fontId="41" fillId="11" borderId="7" xfId="10" applyNumberFormat="1" applyFont="1" applyFill="1" applyAlignment="1">
      <alignment horizontal="center" vertical="center"/>
    </xf>
    <xf numFmtId="14" fontId="32" fillId="0" borderId="0" xfId="0" applyNumberFormat="1" applyFont="1" applyAlignment="1">
      <alignment horizontal="center"/>
    </xf>
    <xf numFmtId="0" fontId="21" fillId="3" borderId="0" xfId="0" applyFont="1" applyFill="1"/>
    <xf numFmtId="0" fontId="22" fillId="0" borderId="0" xfId="0" applyFont="1" applyAlignment="1">
      <alignment wrapText="1"/>
    </xf>
    <xf numFmtId="0" fontId="22" fillId="0" borderId="0" xfId="0" applyFont="1" applyAlignment="1">
      <alignment horizontal="center"/>
    </xf>
    <xf numFmtId="0" fontId="43" fillId="0" borderId="34" xfId="0" applyFont="1" applyBorder="1" applyAlignment="1">
      <alignment horizontal="center" vertical="center"/>
    </xf>
    <xf numFmtId="6" fontId="44" fillId="0" borderId="0" xfId="0" applyNumberFormat="1" applyFont="1" applyAlignment="1">
      <alignment horizontal="left" vertical="center"/>
    </xf>
    <xf numFmtId="0" fontId="43" fillId="0" borderId="36" xfId="0" applyFont="1" applyBorder="1" applyAlignment="1">
      <alignment horizontal="center" vertical="center"/>
    </xf>
    <xf numFmtId="0" fontId="43" fillId="0" borderId="38" xfId="0" applyFont="1" applyBorder="1" applyAlignment="1">
      <alignment horizontal="center" vertical="center"/>
    </xf>
    <xf numFmtId="0" fontId="45" fillId="0" borderId="40" xfId="0" applyFont="1" applyBorder="1" applyAlignment="1">
      <alignment horizontal="centerContinuous"/>
    </xf>
    <xf numFmtId="0" fontId="45" fillId="0" borderId="41" xfId="0" applyFont="1" applyBorder="1" applyAlignment="1">
      <alignment horizontal="centerContinuous"/>
    </xf>
    <xf numFmtId="0" fontId="46" fillId="0" borderId="0" xfId="0" applyFont="1" applyAlignment="1">
      <alignment horizontal="left" vertical="center"/>
    </xf>
    <xf numFmtId="165" fontId="0" fillId="0" borderId="37" xfId="0" applyNumberFormat="1" applyBorder="1" applyAlignment="1">
      <alignment horizontal="center"/>
    </xf>
    <xf numFmtId="1" fontId="0" fillId="0" borderId="39" xfId="0" applyNumberFormat="1" applyBorder="1" applyAlignment="1">
      <alignment horizontal="center"/>
    </xf>
    <xf numFmtId="0" fontId="43" fillId="0" borderId="40" xfId="0" applyFont="1" applyBorder="1" applyAlignment="1">
      <alignment horizontal="centerContinuous" vertical="center"/>
    </xf>
    <xf numFmtId="0" fontId="17" fillId="0" borderId="41" xfId="0" applyFont="1" applyBorder="1" applyAlignment="1">
      <alignment horizontal="centerContinuous" vertical="center"/>
    </xf>
    <xf numFmtId="165" fontId="0" fillId="0" borderId="0" xfId="0" applyNumberFormat="1"/>
    <xf numFmtId="8" fontId="0" fillId="0" borderId="0" xfId="0" applyNumberFormat="1"/>
    <xf numFmtId="0" fontId="43" fillId="0" borderId="34" xfId="0" applyFont="1" applyBorder="1" applyAlignment="1">
      <alignment horizontal="centerContinuous" vertical="center"/>
    </xf>
    <xf numFmtId="0" fontId="17" fillId="0" borderId="35" xfId="0" applyFont="1" applyBorder="1" applyAlignment="1">
      <alignment horizontal="centerContinuous" vertical="center"/>
    </xf>
    <xf numFmtId="165" fontId="0" fillId="0" borderId="35" xfId="0" applyNumberFormat="1" applyBorder="1" applyAlignment="1">
      <alignment horizontal="center"/>
    </xf>
    <xf numFmtId="8" fontId="17" fillId="0" borderId="37" xfId="0" applyNumberFormat="1" applyFont="1" applyBorder="1" applyAlignment="1">
      <alignment horizontal="center" vertical="center"/>
    </xf>
    <xf numFmtId="8" fontId="17" fillId="0" borderId="39" xfId="0" applyNumberFormat="1" applyFont="1" applyBorder="1" applyAlignment="1">
      <alignment horizontal="center" vertical="center"/>
    </xf>
    <xf numFmtId="181" fontId="0" fillId="0" borderId="37" xfId="0" applyNumberFormat="1" applyBorder="1" applyAlignment="1">
      <alignment horizontal="center"/>
    </xf>
    <xf numFmtId="169" fontId="21" fillId="0" borderId="0" xfId="0" applyNumberFormat="1" applyFont="1"/>
    <xf numFmtId="0" fontId="16" fillId="0" borderId="0" xfId="0" applyFont="1" applyAlignment="1">
      <alignment horizontal="left" vertical="center"/>
    </xf>
    <xf numFmtId="0" fontId="0" fillId="0" borderId="0" xfId="0"/>
    <xf numFmtId="0" fontId="0" fillId="8" borderId="0" xfId="0" applyFill="1"/>
    <xf numFmtId="0" fontId="14" fillId="8" borderId="0" xfId="0" applyFont="1" applyFill="1" applyAlignment="1">
      <alignment horizontal="left" vertical="center"/>
    </xf>
    <xf numFmtId="0" fontId="17" fillId="0" borderId="0" xfId="0" applyFont="1" applyAlignment="1">
      <alignment horizontal="left" vertical="center"/>
    </xf>
    <xf numFmtId="0" fontId="15" fillId="8" borderId="0" xfId="0" applyFont="1" applyFill="1" applyAlignment="1">
      <alignment horizontal="left" vertical="center"/>
    </xf>
    <xf numFmtId="0" fontId="16" fillId="0" borderId="0" xfId="0" applyFont="1" applyAlignment="1">
      <alignment horizontal="left" vertical="center"/>
    </xf>
    <xf numFmtId="0" fontId="19" fillId="8" borderId="0" xfId="0" applyFont="1" applyFill="1" applyAlignment="1">
      <alignment horizontal="left" vertical="center"/>
    </xf>
    <xf numFmtId="0" fontId="42" fillId="8" borderId="0" xfId="0" applyFont="1" applyFill="1" applyAlignment="1">
      <alignment horizontal="center" vertical="center"/>
    </xf>
    <xf numFmtId="0" fontId="21" fillId="8" borderId="0" xfId="0" applyFont="1" applyFill="1" applyAlignment="1">
      <alignment horizontal="center"/>
    </xf>
    <xf numFmtId="0" fontId="47" fillId="12" borderId="40" xfId="0" applyFont="1" applyFill="1" applyBorder="1" applyAlignment="1">
      <alignment horizontal="center"/>
    </xf>
    <xf numFmtId="0" fontId="47" fillId="12" borderId="41" xfId="0" applyFont="1" applyFill="1" applyBorder="1" applyAlignment="1">
      <alignment horizontal="center"/>
    </xf>
    <xf numFmtId="169" fontId="25" fillId="0" borderId="0" xfId="6" applyNumberFormat="1" applyFont="1" applyBorder="1"/>
    <xf numFmtId="170" fontId="35" fillId="0" borderId="0" xfId="6" applyNumberFormat="1" applyFont="1"/>
    <xf numFmtId="0" fontId="48" fillId="0" borderId="0" xfId="0" applyFont="1"/>
    <xf numFmtId="169" fontId="48" fillId="0" borderId="0" xfId="6" applyNumberFormat="1" applyFont="1" applyBorder="1"/>
    <xf numFmtId="6" fontId="48" fillId="0" borderId="0" xfId="8" applyNumberFormat="1" applyFont="1" applyBorder="1"/>
    <xf numFmtId="169" fontId="48" fillId="0" borderId="0" xfId="6" applyNumberFormat="1" applyFont="1" applyBorder="1" applyAlignment="1">
      <alignment horizontal="center"/>
    </xf>
    <xf numFmtId="169" fontId="48" fillId="0" borderId="0" xfId="6" applyNumberFormat="1" applyFont="1" applyBorder="1" applyAlignment="1">
      <alignment horizontal="center" vertical="center"/>
    </xf>
    <xf numFmtId="10" fontId="48" fillId="0" borderId="0" xfId="6" applyNumberFormat="1" applyFont="1" applyBorder="1"/>
    <xf numFmtId="10" fontId="48" fillId="6" borderId="0" xfId="6" applyNumberFormat="1" applyFont="1" applyFill="1" applyBorder="1"/>
    <xf numFmtId="0" fontId="16" fillId="0" borderId="34" xfId="0" applyFont="1" applyBorder="1" applyAlignment="1">
      <alignment horizontal="center" vertical="center"/>
    </xf>
    <xf numFmtId="6" fontId="17" fillId="0" borderId="35" xfId="0" applyNumberFormat="1" applyFont="1" applyBorder="1" applyAlignment="1">
      <alignment horizontal="left" vertical="center"/>
    </xf>
    <xf numFmtId="0" fontId="16" fillId="0" borderId="36" xfId="0" applyFont="1" applyBorder="1" applyAlignment="1">
      <alignment horizontal="center" vertical="center"/>
    </xf>
    <xf numFmtId="6" fontId="17" fillId="0" borderId="37" xfId="0" applyNumberFormat="1" applyFont="1" applyBorder="1" applyAlignment="1">
      <alignment horizontal="left" vertical="center"/>
    </xf>
    <xf numFmtId="3" fontId="49" fillId="0" borderId="37" xfId="6" applyNumberFormat="1" applyFont="1" applyBorder="1" applyAlignment="1">
      <alignment horizontal="left"/>
    </xf>
    <xf numFmtId="0" fontId="16" fillId="0" borderId="38" xfId="0" applyFont="1" applyBorder="1" applyAlignment="1">
      <alignment horizontal="center" vertical="center"/>
    </xf>
    <xf numFmtId="3" fontId="49" fillId="0" borderId="39" xfId="6" applyNumberFormat="1" applyFont="1" applyBorder="1" applyAlignment="1">
      <alignment horizontal="left"/>
    </xf>
    <xf numFmtId="10" fontId="17" fillId="0" borderId="37" xfId="0" applyNumberFormat="1" applyFont="1" applyBorder="1" applyAlignment="1">
      <alignment horizontal="left" vertical="center"/>
    </xf>
    <xf numFmtId="0" fontId="21" fillId="3" borderId="0" xfId="0" applyFont="1" applyFill="1" applyBorder="1"/>
    <xf numFmtId="0" fontId="22" fillId="3" borderId="0" xfId="0" applyFont="1" applyFill="1" applyBorder="1"/>
    <xf numFmtId="170" fontId="12" fillId="0" borderId="0" xfId="6" applyNumberFormat="1" applyBorder="1"/>
    <xf numFmtId="170" fontId="35" fillId="0" borderId="0" xfId="6" applyNumberFormat="1" applyFont="1" applyBorder="1"/>
    <xf numFmtId="170" fontId="25" fillId="0" borderId="0" xfId="6" applyNumberFormat="1" applyFont="1" applyBorder="1"/>
    <xf numFmtId="170" fontId="38" fillId="0" borderId="0" xfId="6" applyNumberFormat="1" applyFont="1" applyBorder="1"/>
    <xf numFmtId="43" fontId="25" fillId="0" borderId="0" xfId="6" applyFont="1" applyBorder="1"/>
    <xf numFmtId="0" fontId="30" fillId="6" borderId="0" xfId="0" applyFont="1" applyFill="1" applyBorder="1"/>
    <xf numFmtId="0" fontId="22" fillId="6" borderId="0" xfId="0" applyFont="1" applyFill="1" applyBorder="1"/>
    <xf numFmtId="169" fontId="25" fillId="0" borderId="0" xfId="0" applyNumberFormat="1" applyFont="1" applyBorder="1"/>
    <xf numFmtId="170" fontId="25" fillId="0" borderId="0" xfId="0" applyNumberFormat="1" applyFont="1" applyBorder="1"/>
    <xf numFmtId="170" fontId="21" fillId="7" borderId="0" xfId="0" applyNumberFormat="1" applyFont="1" applyFill="1" applyBorder="1"/>
    <xf numFmtId="170" fontId="25" fillId="7" borderId="0" xfId="6" applyNumberFormat="1" applyFont="1" applyFill="1" applyBorder="1"/>
    <xf numFmtId="170" fontId="25" fillId="7" borderId="0" xfId="0" applyNumberFormat="1" applyFont="1" applyFill="1" applyBorder="1"/>
    <xf numFmtId="170" fontId="35" fillId="7" borderId="0" xfId="6" applyNumberFormat="1" applyFont="1" applyFill="1" applyBorder="1"/>
    <xf numFmtId="164" fontId="35" fillId="7" borderId="0" xfId="7" applyNumberFormat="1" applyFont="1" applyFill="1" applyBorder="1"/>
    <xf numFmtId="170" fontId="12" fillId="7" borderId="0" xfId="6" applyNumberFormat="1" applyFill="1" applyBorder="1"/>
    <xf numFmtId="0" fontId="0" fillId="8" borderId="0" xfId="0" applyFill="1" applyAlignment="1"/>
    <xf numFmtId="0" fontId="20" fillId="8" borderId="0" xfId="0" applyFont="1" applyFill="1" applyAlignment="1"/>
    <xf numFmtId="0" fontId="0" fillId="0" borderId="0" xfId="0" applyAlignment="1"/>
  </cellXfs>
  <cellStyles count="11">
    <cellStyle name="Assumptions" xfId="3" xr:uid="{00000000-0005-0000-0000-000004000000}"/>
    <cellStyle name="Comma" xfId="6" builtinId="3"/>
    <cellStyle name="Currency" xfId="8" builtinId="4"/>
    <cellStyle name="Input 2" xfId="9" xr:uid="{B00A7FA8-66F8-4BEB-827D-0AF9CE230215}"/>
    <cellStyle name="Lien hypertexte 2" xfId="2" xr:uid="{00000000-0005-0000-0000-000003000000}"/>
    <cellStyle name="Normal" xfId="0" builtinId="0"/>
    <cellStyle name="Normal 2" xfId="1" xr:uid="{00000000-0005-0000-0000-000002000000}"/>
    <cellStyle name="Normal 2 3" xfId="5" xr:uid="{00000000-0005-0000-0000-000006000000}"/>
    <cellStyle name="Normal 3 2" xfId="4" xr:uid="{00000000-0005-0000-0000-000005000000}"/>
    <cellStyle name="Note" xfId="10" builtinId="10"/>
    <cellStyle name="Percent" xfId="7" builtinId="5"/>
  </cellStyles>
  <dxfs count="2">
    <dxf>
      <fill>
        <patternFill>
          <bgColor rgb="FFFF0000"/>
        </patternFill>
      </fill>
    </dxf>
    <dxf>
      <font>
        <color rgb="FFFF0000"/>
      </font>
    </dxf>
  </dxfs>
  <tableStyles count="0" defaultTableStyle="TableStyleMedium2" defaultPivotStyle="PivotStyleLight16"/>
  <colors>
    <mruColors>
      <color rgb="FFFFFFCC"/>
      <color rgb="FFFFFF99"/>
      <color rgb="FF208BB7"/>
      <color rgb="FFCC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Number</a:t>
            </a:r>
            <a:r>
              <a:rPr lang="en-US" baseline="0"/>
              <a:t> of Stores and Revenue By City</a:t>
            </a:r>
          </a:p>
        </c:rich>
      </c:tx>
      <c:layout>
        <c:manualLayout>
          <c:xMode val="edge"/>
          <c:yMode val="edge"/>
          <c:x val="0.26568225065616796"/>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0046576547873708E-2"/>
          <c:y val="3.8882133557577449E-2"/>
          <c:w val="0.74354816197108309"/>
          <c:h val="0.73826328511166373"/>
        </c:manualLayout>
      </c:layout>
      <c:barChart>
        <c:barDir val="col"/>
        <c:grouping val="clustered"/>
        <c:varyColors val="0"/>
        <c:ser>
          <c:idx val="1"/>
          <c:order val="1"/>
          <c:tx>
            <c:strRef>
              <c:f>Sheet1!$C$1</c:f>
              <c:strCache>
                <c:ptCount val="1"/>
                <c:pt idx="0">
                  <c:v>Number of Stores</c:v>
                </c:pt>
              </c:strCache>
            </c:strRef>
          </c:tx>
          <c:spPr>
            <a:solidFill>
              <a:schemeClr val="accent2"/>
            </a:solidFill>
            <a:ln>
              <a:noFill/>
            </a:ln>
            <a:effectLst/>
          </c:spPr>
          <c:invertIfNegative val="0"/>
          <c:cat>
            <c:strRef>
              <c:f>Sheet1!$A$2:$A$27</c:f>
              <c:strCache>
                <c:ptCount val="26"/>
                <c:pt idx="0">
                  <c:v>Hexavale</c:v>
                </c:pt>
                <c:pt idx="1">
                  <c:v>Renderburg</c:v>
                </c:pt>
                <c:pt idx="2">
                  <c:v>Socket Springs</c:v>
                </c:pt>
                <c:pt idx="3">
                  <c:v>Gigatown</c:v>
                </c:pt>
                <c:pt idx="4">
                  <c:v>TerraTask</c:v>
                </c:pt>
                <c:pt idx="5">
                  <c:v>Overclock Oasis</c:v>
                </c:pt>
                <c:pt idx="6">
                  <c:v>Bootwell</c:v>
                </c:pt>
                <c:pt idx="7">
                  <c:v>Vector Valley</c:v>
                </c:pt>
                <c:pt idx="8">
                  <c:v>Datahaven</c:v>
                </c:pt>
                <c:pt idx="9">
                  <c:v>Input City</c:v>
                </c:pt>
                <c:pt idx="10">
                  <c:v>Junction Core</c:v>
                </c:pt>
                <c:pt idx="11">
                  <c:v>Quantum Quay</c:v>
                </c:pt>
                <c:pt idx="12">
                  <c:v>Axisbyte</c:v>
                </c:pt>
                <c:pt idx="13">
                  <c:v>Nodeline</c:v>
                </c:pt>
                <c:pt idx="14">
                  <c:v>Wiredown</c:v>
                </c:pt>
                <c:pt idx="15">
                  <c:v>Cacheford</c:v>
                </c:pt>
                <c:pt idx="16">
                  <c:v>Logicridge</c:v>
                </c:pt>
                <c:pt idx="17">
                  <c:v>Xenocode City</c:v>
                </c:pt>
                <c:pt idx="18">
                  <c:v>Etherport</c:v>
                </c:pt>
                <c:pt idx="19">
                  <c:v>Fiberfall</c:v>
                </c:pt>
                <c:pt idx="20">
                  <c:v>Kernel Heights</c:v>
                </c:pt>
                <c:pt idx="21">
                  <c:v>Pingborough</c:v>
                </c:pt>
                <c:pt idx="22">
                  <c:v>Yieldville</c:v>
                </c:pt>
                <c:pt idx="23">
                  <c:v>Megahub</c:v>
                </c:pt>
                <c:pt idx="24">
                  <c:v>Uploadia</c:v>
                </c:pt>
                <c:pt idx="25">
                  <c:v>ZeroDay Zone</c:v>
                </c:pt>
              </c:strCache>
            </c:strRef>
          </c:cat>
          <c:val>
            <c:numRef>
              <c:f>Sheet1!$C$2:$C$27</c:f>
              <c:numCache>
                <c:formatCode>General</c:formatCode>
                <c:ptCount val="26"/>
                <c:pt idx="0">
                  <c:v>314</c:v>
                </c:pt>
                <c:pt idx="1">
                  <c:v>189</c:v>
                </c:pt>
                <c:pt idx="2">
                  <c:v>170</c:v>
                </c:pt>
                <c:pt idx="3">
                  <c:v>68</c:v>
                </c:pt>
                <c:pt idx="4">
                  <c:v>57</c:v>
                </c:pt>
                <c:pt idx="5">
                  <c:v>53</c:v>
                </c:pt>
                <c:pt idx="6">
                  <c:v>33</c:v>
                </c:pt>
                <c:pt idx="7">
                  <c:v>28</c:v>
                </c:pt>
                <c:pt idx="8">
                  <c:v>25</c:v>
                </c:pt>
                <c:pt idx="9">
                  <c:v>19</c:v>
                </c:pt>
                <c:pt idx="10">
                  <c:v>10</c:v>
                </c:pt>
                <c:pt idx="11">
                  <c:v>10</c:v>
                </c:pt>
                <c:pt idx="12">
                  <c:v>9</c:v>
                </c:pt>
                <c:pt idx="13">
                  <c:v>9</c:v>
                </c:pt>
                <c:pt idx="14">
                  <c:v>9</c:v>
                </c:pt>
                <c:pt idx="15">
                  <c:v>8</c:v>
                </c:pt>
                <c:pt idx="16">
                  <c:v>7</c:v>
                </c:pt>
                <c:pt idx="17">
                  <c:v>6</c:v>
                </c:pt>
                <c:pt idx="18">
                  <c:v>6</c:v>
                </c:pt>
                <c:pt idx="19">
                  <c:v>6</c:v>
                </c:pt>
                <c:pt idx="20">
                  <c:v>5</c:v>
                </c:pt>
                <c:pt idx="21">
                  <c:v>5</c:v>
                </c:pt>
                <c:pt idx="22">
                  <c:v>5</c:v>
                </c:pt>
                <c:pt idx="23">
                  <c:v>3</c:v>
                </c:pt>
                <c:pt idx="24">
                  <c:v>3</c:v>
                </c:pt>
                <c:pt idx="25">
                  <c:v>3</c:v>
                </c:pt>
              </c:numCache>
            </c:numRef>
          </c:val>
          <c:extLst>
            <c:ext xmlns:c16="http://schemas.microsoft.com/office/drawing/2014/chart" uri="{C3380CC4-5D6E-409C-BE32-E72D297353CC}">
              <c16:uniqueId val="{0000000F-EFB5-409E-A225-418DA5F70F1B}"/>
            </c:ext>
          </c:extLst>
        </c:ser>
        <c:dLbls>
          <c:showLegendKey val="0"/>
          <c:showVal val="0"/>
          <c:showCatName val="0"/>
          <c:showSerName val="0"/>
          <c:showPercent val="0"/>
          <c:showBubbleSize val="0"/>
        </c:dLbls>
        <c:gapWidth val="219"/>
        <c:axId val="1346977023"/>
        <c:axId val="1346976063"/>
      </c:barChart>
      <c:lineChart>
        <c:grouping val="standard"/>
        <c:varyColors val="0"/>
        <c:ser>
          <c:idx val="0"/>
          <c:order val="0"/>
          <c:tx>
            <c:strRef>
              <c:f>Sheet1!$B$1</c:f>
              <c:strCache>
                <c:ptCount val="1"/>
                <c:pt idx="0">
                  <c:v>Per Store Revenue</c:v>
                </c:pt>
              </c:strCache>
            </c:strRef>
          </c:tx>
          <c:spPr>
            <a:ln w="28575" cap="rnd">
              <a:solidFill>
                <a:schemeClr val="accent1"/>
              </a:solidFill>
              <a:round/>
            </a:ln>
            <a:effectLst/>
          </c:spPr>
          <c:marker>
            <c:symbol val="none"/>
          </c:marker>
          <c:cat>
            <c:strRef>
              <c:f>Sheet1!$A$2:$A$27</c:f>
              <c:strCache>
                <c:ptCount val="26"/>
                <c:pt idx="0">
                  <c:v>Hexavale</c:v>
                </c:pt>
                <c:pt idx="1">
                  <c:v>Renderburg</c:v>
                </c:pt>
                <c:pt idx="2">
                  <c:v>Socket Springs</c:v>
                </c:pt>
                <c:pt idx="3">
                  <c:v>Gigatown</c:v>
                </c:pt>
                <c:pt idx="4">
                  <c:v>TerraTask</c:v>
                </c:pt>
                <c:pt idx="5">
                  <c:v>Overclock Oasis</c:v>
                </c:pt>
                <c:pt idx="6">
                  <c:v>Bootwell</c:v>
                </c:pt>
                <c:pt idx="7">
                  <c:v>Vector Valley</c:v>
                </c:pt>
                <c:pt idx="8">
                  <c:v>Datahaven</c:v>
                </c:pt>
                <c:pt idx="9">
                  <c:v>Input City</c:v>
                </c:pt>
                <c:pt idx="10">
                  <c:v>Junction Core</c:v>
                </c:pt>
                <c:pt idx="11">
                  <c:v>Quantum Quay</c:v>
                </c:pt>
                <c:pt idx="12">
                  <c:v>Axisbyte</c:v>
                </c:pt>
                <c:pt idx="13">
                  <c:v>Nodeline</c:v>
                </c:pt>
                <c:pt idx="14">
                  <c:v>Wiredown</c:v>
                </c:pt>
                <c:pt idx="15">
                  <c:v>Cacheford</c:v>
                </c:pt>
                <c:pt idx="16">
                  <c:v>Logicridge</c:v>
                </c:pt>
                <c:pt idx="17">
                  <c:v>Xenocode City</c:v>
                </c:pt>
                <c:pt idx="18">
                  <c:v>Etherport</c:v>
                </c:pt>
                <c:pt idx="19">
                  <c:v>Fiberfall</c:v>
                </c:pt>
                <c:pt idx="20">
                  <c:v>Kernel Heights</c:v>
                </c:pt>
                <c:pt idx="21">
                  <c:v>Pingborough</c:v>
                </c:pt>
                <c:pt idx="22">
                  <c:v>Yieldville</c:v>
                </c:pt>
                <c:pt idx="23">
                  <c:v>Megahub</c:v>
                </c:pt>
                <c:pt idx="24">
                  <c:v>Uploadia</c:v>
                </c:pt>
                <c:pt idx="25">
                  <c:v>ZeroDay Zone</c:v>
                </c:pt>
              </c:strCache>
            </c:strRef>
          </c:cat>
          <c:val>
            <c:numRef>
              <c:f>Sheet1!$B$2:$B$27</c:f>
              <c:numCache>
                <c:formatCode>General</c:formatCode>
                <c:ptCount val="26"/>
                <c:pt idx="0">
                  <c:v>2449005.2141477996</c:v>
                </c:pt>
                <c:pt idx="1">
                  <c:v>1470725.6639634257</c:v>
                </c:pt>
                <c:pt idx="2">
                  <c:v>1278666.0470440511</c:v>
                </c:pt>
                <c:pt idx="3">
                  <c:v>508483.32949861552</c:v>
                </c:pt>
                <c:pt idx="4">
                  <c:v>417908.49363862653</c:v>
                </c:pt>
                <c:pt idx="5">
                  <c:v>416192.20349476667</c:v>
                </c:pt>
                <c:pt idx="6">
                  <c:v>243401.63833922381</c:v>
                </c:pt>
                <c:pt idx="7">
                  <c:v>212157.57292005263</c:v>
                </c:pt>
                <c:pt idx="8">
                  <c:v>190514.38833261846</c:v>
                </c:pt>
                <c:pt idx="9">
                  <c:v>139442.27807010448</c:v>
                </c:pt>
                <c:pt idx="10">
                  <c:v>99717.995713587356</c:v>
                </c:pt>
                <c:pt idx="11">
                  <c:v>72287.202971808758</c:v>
                </c:pt>
                <c:pt idx="12">
                  <c:v>74749.506429366549</c:v>
                </c:pt>
                <c:pt idx="13">
                  <c:v>61380.005705052419</c:v>
                </c:pt>
                <c:pt idx="14">
                  <c:v>59910.907132330249</c:v>
                </c:pt>
                <c:pt idx="15">
                  <c:v>43392.336119207386</c:v>
                </c:pt>
                <c:pt idx="16">
                  <c:v>48143.412153230776</c:v>
                </c:pt>
                <c:pt idx="17">
                  <c:v>43403.314377766481</c:v>
                </c:pt>
                <c:pt idx="18">
                  <c:v>26979.475411208263</c:v>
                </c:pt>
                <c:pt idx="19">
                  <c:v>20656.332075435228</c:v>
                </c:pt>
                <c:pt idx="20">
                  <c:v>35130.934023366484</c:v>
                </c:pt>
                <c:pt idx="21">
                  <c:v>26220.871248868025</c:v>
                </c:pt>
                <c:pt idx="22">
                  <c:v>25055.438920341006</c:v>
                </c:pt>
                <c:pt idx="23">
                  <c:v>14411.566815921049</c:v>
                </c:pt>
                <c:pt idx="24">
                  <c:v>12291.508681118607</c:v>
                </c:pt>
                <c:pt idx="25">
                  <c:v>10494.229753041453</c:v>
                </c:pt>
              </c:numCache>
            </c:numRef>
          </c:val>
          <c:smooth val="0"/>
          <c:extLst>
            <c:ext xmlns:c16="http://schemas.microsoft.com/office/drawing/2014/chart" uri="{C3380CC4-5D6E-409C-BE32-E72D297353CC}">
              <c16:uniqueId val="{0000000D-EFB5-409E-A225-418DA5F70F1B}"/>
            </c:ext>
          </c:extLst>
        </c:ser>
        <c:dLbls>
          <c:showLegendKey val="0"/>
          <c:showVal val="0"/>
          <c:showCatName val="0"/>
          <c:showSerName val="0"/>
          <c:showPercent val="0"/>
          <c:showBubbleSize val="0"/>
        </c:dLbls>
        <c:marker val="1"/>
        <c:smooth val="0"/>
        <c:axId val="1371756039"/>
        <c:axId val="437156359"/>
      </c:lineChart>
      <c:catAx>
        <c:axId val="1346977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6976063"/>
        <c:crosses val="autoZero"/>
        <c:auto val="1"/>
        <c:lblAlgn val="ctr"/>
        <c:lblOffset val="100"/>
        <c:noMultiLvlLbl val="0"/>
      </c:catAx>
      <c:valAx>
        <c:axId val="13469760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 of Stores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6977023"/>
        <c:crosses val="autoZero"/>
        <c:crossBetween val="between"/>
      </c:valAx>
      <c:valAx>
        <c:axId val="437156359"/>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 thousands of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1756039"/>
        <c:crosses val="max"/>
        <c:crossBetween val="between"/>
      </c:valAx>
      <c:catAx>
        <c:axId val="1371756039"/>
        <c:scaling>
          <c:orientation val="minMax"/>
        </c:scaling>
        <c:delete val="1"/>
        <c:axPos val="b"/>
        <c:numFmt formatCode="General" sourceLinked="1"/>
        <c:majorTickMark val="out"/>
        <c:minorTickMark val="none"/>
        <c:tickLblPos val="nextTo"/>
        <c:crossAx val="437156359"/>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Net Income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0620421538714919"/>
          <c:y val="0.15263364593911671"/>
          <c:w val="0.87432261334629846"/>
          <c:h val="0.66392134803062242"/>
        </c:manualLayout>
      </c:layout>
      <c:lineChart>
        <c:grouping val="standard"/>
        <c:varyColors val="0"/>
        <c:ser>
          <c:idx val="0"/>
          <c:order val="0"/>
          <c:tx>
            <c:strRef>
              <c:f>{"EBITDA"}</c:f>
              <c:strCache>
                <c:ptCount val="1"/>
                <c:pt idx="0">
                  <c:v>EBITDA</c:v>
                </c:pt>
              </c:strCache>
            </c:strRef>
          </c:tx>
          <c:spPr>
            <a:ln w="28575" cap="rnd">
              <a:solidFill>
                <a:schemeClr val="accent1"/>
              </a:solidFill>
              <a:round/>
            </a:ln>
            <a:effectLst/>
          </c:spPr>
          <c:marker>
            <c:symbol val="none"/>
          </c:marker>
          <c:trendline>
            <c:spPr>
              <a:ln w="19050" cap="rnd">
                <a:solidFill>
                  <a:srgbClr val="FF0000"/>
                </a:solidFill>
                <a:prstDash val="sysDot"/>
              </a:ln>
              <a:effectLst/>
            </c:spPr>
            <c:trendlineType val="linear"/>
            <c:dispRSqr val="0"/>
            <c:dispEq val="0"/>
          </c:trendline>
          <c:cat>
            <c:numRef>
              <c:f>Model!$H$7:$BO$7</c:f>
              <c:numCache>
                <c:formatCode>m/d/yyyy</c:formatCode>
                <c:ptCount val="60"/>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pt idx="12">
                  <c:v>46388</c:v>
                </c:pt>
                <c:pt idx="13">
                  <c:v>46419</c:v>
                </c:pt>
                <c:pt idx="14">
                  <c:v>46447</c:v>
                </c:pt>
                <c:pt idx="15">
                  <c:v>46478</c:v>
                </c:pt>
                <c:pt idx="16">
                  <c:v>46508</c:v>
                </c:pt>
                <c:pt idx="17">
                  <c:v>46539</c:v>
                </c:pt>
                <c:pt idx="18">
                  <c:v>46569</c:v>
                </c:pt>
                <c:pt idx="19">
                  <c:v>46600</c:v>
                </c:pt>
                <c:pt idx="20">
                  <c:v>46631</c:v>
                </c:pt>
                <c:pt idx="21">
                  <c:v>46661</c:v>
                </c:pt>
                <c:pt idx="22">
                  <c:v>46692</c:v>
                </c:pt>
                <c:pt idx="23">
                  <c:v>46722</c:v>
                </c:pt>
                <c:pt idx="24">
                  <c:v>46753</c:v>
                </c:pt>
                <c:pt idx="25">
                  <c:v>46784</c:v>
                </c:pt>
                <c:pt idx="26">
                  <c:v>46813</c:v>
                </c:pt>
                <c:pt idx="27">
                  <c:v>46844</c:v>
                </c:pt>
                <c:pt idx="28">
                  <c:v>46874</c:v>
                </c:pt>
                <c:pt idx="29">
                  <c:v>46905</c:v>
                </c:pt>
                <c:pt idx="30">
                  <c:v>46935</c:v>
                </c:pt>
                <c:pt idx="31">
                  <c:v>46966</c:v>
                </c:pt>
                <c:pt idx="32">
                  <c:v>46997</c:v>
                </c:pt>
                <c:pt idx="33">
                  <c:v>47027</c:v>
                </c:pt>
                <c:pt idx="34">
                  <c:v>47058</c:v>
                </c:pt>
                <c:pt idx="35">
                  <c:v>47088</c:v>
                </c:pt>
                <c:pt idx="36">
                  <c:v>47119</c:v>
                </c:pt>
                <c:pt idx="37">
                  <c:v>47150</c:v>
                </c:pt>
                <c:pt idx="38">
                  <c:v>47178</c:v>
                </c:pt>
                <c:pt idx="39">
                  <c:v>47209</c:v>
                </c:pt>
                <c:pt idx="40">
                  <c:v>47239</c:v>
                </c:pt>
                <c:pt idx="41">
                  <c:v>47270</c:v>
                </c:pt>
                <c:pt idx="42">
                  <c:v>47300</c:v>
                </c:pt>
                <c:pt idx="43">
                  <c:v>47331</c:v>
                </c:pt>
                <c:pt idx="44">
                  <c:v>47362</c:v>
                </c:pt>
                <c:pt idx="45">
                  <c:v>47392</c:v>
                </c:pt>
                <c:pt idx="46">
                  <c:v>47423</c:v>
                </c:pt>
                <c:pt idx="47">
                  <c:v>47453</c:v>
                </c:pt>
                <c:pt idx="48">
                  <c:v>47484</c:v>
                </c:pt>
                <c:pt idx="49">
                  <c:v>47515</c:v>
                </c:pt>
                <c:pt idx="50">
                  <c:v>47543</c:v>
                </c:pt>
                <c:pt idx="51">
                  <c:v>47574</c:v>
                </c:pt>
                <c:pt idx="52">
                  <c:v>47604</c:v>
                </c:pt>
                <c:pt idx="53">
                  <c:v>47635</c:v>
                </c:pt>
                <c:pt idx="54">
                  <c:v>47665</c:v>
                </c:pt>
                <c:pt idx="55">
                  <c:v>47696</c:v>
                </c:pt>
                <c:pt idx="56">
                  <c:v>47727</c:v>
                </c:pt>
                <c:pt idx="57">
                  <c:v>47757</c:v>
                </c:pt>
                <c:pt idx="58">
                  <c:v>47788</c:v>
                </c:pt>
                <c:pt idx="59">
                  <c:v>47818</c:v>
                </c:pt>
              </c:numCache>
            </c:numRef>
          </c:cat>
          <c:val>
            <c:numRef>
              <c:f>Model!H38:BV38</c:f>
              <c:numCache>
                <c:formatCode>_(* #,##0_);_(* \(#,##0\);_(* "-"??_);_(@_)</c:formatCode>
                <c:ptCount val="62"/>
                <c:pt idx="0">
                  <c:v>3851.5648728166643</c:v>
                </c:pt>
                <c:pt idx="1">
                  <c:v>2495.0523252833291</c:v>
                </c:pt>
                <c:pt idx="2">
                  <c:v>9298.3554313499899</c:v>
                </c:pt>
                <c:pt idx="3">
                  <c:v>9312.2852791636451</c:v>
                </c:pt>
                <c:pt idx="4">
                  <c:v>9321.2512540636271</c:v>
                </c:pt>
                <c:pt idx="5">
                  <c:v>9312.8579591636335</c:v>
                </c:pt>
                <c:pt idx="6">
                  <c:v>9326.0346410928687</c:v>
                </c:pt>
                <c:pt idx="7">
                  <c:v>9339.8347421504204</c:v>
                </c:pt>
                <c:pt idx="8">
                  <c:v>9352.9493637739542</c:v>
                </c:pt>
                <c:pt idx="9">
                  <c:v>9374.7602974364436</c:v>
                </c:pt>
                <c:pt idx="10">
                  <c:v>9390.7053566364575</c:v>
                </c:pt>
                <c:pt idx="11">
                  <c:v>23162.493983291974</c:v>
                </c:pt>
                <c:pt idx="12">
                  <c:v>4019.8554197971398</c:v>
                </c:pt>
                <c:pt idx="13">
                  <c:v>2607.6299004618741</c:v>
                </c:pt>
                <c:pt idx="14">
                  <c:v>9718.5149758794723</c:v>
                </c:pt>
                <c:pt idx="15">
                  <c:v>9728.4489817907961</c:v>
                </c:pt>
                <c:pt idx="16">
                  <c:v>9744.0497244924409</c:v>
                </c:pt>
                <c:pt idx="17">
                  <c:v>9758.5491218353363</c:v>
                </c:pt>
                <c:pt idx="18">
                  <c:v>9771.7809315445666</c:v>
                </c:pt>
                <c:pt idx="19">
                  <c:v>9785.0869982041713</c:v>
                </c:pt>
                <c:pt idx="20">
                  <c:v>9787.8889199761907</c:v>
                </c:pt>
                <c:pt idx="21">
                  <c:v>9802.8267853252655</c:v>
                </c:pt>
                <c:pt idx="22">
                  <c:v>9816.2591054502627</c:v>
                </c:pt>
                <c:pt idx="23">
                  <c:v>24111.862035372233</c:v>
                </c:pt>
                <c:pt idx="24">
                  <c:v>4205.3616570246695</c:v>
                </c:pt>
                <c:pt idx="25">
                  <c:v>2733.6101557472966</c:v>
                </c:pt>
                <c:pt idx="26">
                  <c:v>10135.144239873051</c:v>
                </c:pt>
                <c:pt idx="27">
                  <c:v>10149.339612287686</c:v>
                </c:pt>
                <c:pt idx="28">
                  <c:v>10158.759716718418</c:v>
                </c:pt>
                <c:pt idx="29">
                  <c:v>10173.537892263881</c:v>
                </c:pt>
                <c:pt idx="30">
                  <c:v>10183.049895035307</c:v>
                </c:pt>
                <c:pt idx="31">
                  <c:v>10186.515118115882</c:v>
                </c:pt>
                <c:pt idx="32">
                  <c:v>10200.49425997463</c:v>
                </c:pt>
                <c:pt idx="33">
                  <c:v>10215.134787186606</c:v>
                </c:pt>
                <c:pt idx="34">
                  <c:v>10229.048089266977</c:v>
                </c:pt>
                <c:pt idx="35">
                  <c:v>25155.434224194381</c:v>
                </c:pt>
                <c:pt idx="36">
                  <c:v>4430.5356057066901</c:v>
                </c:pt>
                <c:pt idx="37">
                  <c:v>2902.4167137358527</c:v>
                </c:pt>
                <c:pt idx="38">
                  <c:v>10603.264567407674</c:v>
                </c:pt>
                <c:pt idx="39">
                  <c:v>10616.198232915413</c:v>
                </c:pt>
                <c:pt idx="40">
                  <c:v>10632.257566846662</c:v>
                </c:pt>
                <c:pt idx="41">
                  <c:v>10617.029905361065</c:v>
                </c:pt>
                <c:pt idx="42">
                  <c:v>10633.580733293224</c:v>
                </c:pt>
                <c:pt idx="43">
                  <c:v>10648.963143934301</c:v>
                </c:pt>
                <c:pt idx="44">
                  <c:v>10663.000770854855</c:v>
                </c:pt>
                <c:pt idx="45">
                  <c:v>10677.11717697401</c:v>
                </c:pt>
                <c:pt idx="46">
                  <c:v>10685.973895840612</c:v>
                </c:pt>
                <c:pt idx="47">
                  <c:v>26212.120104576195</c:v>
                </c:pt>
                <c:pt idx="48">
                  <c:v>4641.409909635694</c:v>
                </c:pt>
                <c:pt idx="49">
                  <c:v>3051.2526909359049</c:v>
                </c:pt>
                <c:pt idx="50">
                  <c:v>11066.023819519723</c:v>
                </c:pt>
                <c:pt idx="51">
                  <c:v>11075.423770165733</c:v>
                </c:pt>
                <c:pt idx="52">
                  <c:v>11096.782500411529</c:v>
                </c:pt>
                <c:pt idx="53">
                  <c:v>11111.8423710062</c:v>
                </c:pt>
                <c:pt idx="54">
                  <c:v>11121.836159796729</c:v>
                </c:pt>
                <c:pt idx="55">
                  <c:v>11137.514326232949</c:v>
                </c:pt>
                <c:pt idx="56">
                  <c:v>11147.60560997313</c:v>
                </c:pt>
                <c:pt idx="57">
                  <c:v>11151.281865139328</c:v>
                </c:pt>
                <c:pt idx="58">
                  <c:v>11166.112336737267</c:v>
                </c:pt>
                <c:pt idx="59">
                  <c:v>27326.543472966336</c:v>
                </c:pt>
              </c:numCache>
            </c:numRef>
          </c:val>
          <c:smooth val="0"/>
          <c:extLst>
            <c:ext xmlns:c16="http://schemas.microsoft.com/office/drawing/2014/chart" uri="{C3380CC4-5D6E-409C-BE32-E72D297353CC}">
              <c16:uniqueId val="{00000001-9356-4527-8569-1E35C2074C05}"/>
            </c:ext>
          </c:extLst>
        </c:ser>
        <c:dLbls>
          <c:showLegendKey val="0"/>
          <c:showVal val="0"/>
          <c:showCatName val="0"/>
          <c:showSerName val="0"/>
          <c:showPercent val="0"/>
          <c:showBubbleSize val="0"/>
        </c:dLbls>
        <c:smooth val="0"/>
        <c:axId val="1364503727"/>
        <c:axId val="1364505167"/>
      </c:lineChart>
      <c:dateAx>
        <c:axId val="1364503727"/>
        <c:scaling>
          <c:orientation val="minMax"/>
        </c:scaling>
        <c:delete val="0"/>
        <c:axPos val="b"/>
        <c:numFmt formatCode="m/d/yyyy" sourceLinked="1"/>
        <c:majorTickMark val="out"/>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4505167"/>
        <c:crosses val="autoZero"/>
        <c:auto val="1"/>
        <c:lblOffset val="100"/>
        <c:baseTimeUnit val="months"/>
      </c:dateAx>
      <c:valAx>
        <c:axId val="13645051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 thousands of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4503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5</xdr:col>
      <xdr:colOff>66675</xdr:colOff>
      <xdr:row>15</xdr:row>
      <xdr:rowOff>190500</xdr:rowOff>
    </xdr:from>
    <xdr:to>
      <xdr:col>14</xdr:col>
      <xdr:colOff>304800</xdr:colOff>
      <xdr:row>39</xdr:row>
      <xdr:rowOff>85725</xdr:rowOff>
    </xdr:to>
    <xdr:graphicFrame macro="">
      <xdr:nvGraphicFramePr>
        <xdr:cNvPr id="4" name="Chart 3">
          <a:extLst>
            <a:ext uri="{FF2B5EF4-FFF2-40B4-BE49-F238E27FC236}">
              <a16:creationId xmlns:a16="http://schemas.microsoft.com/office/drawing/2014/main" id="{2891E2A5-D2FE-7AF9-5D20-CF682A448231}"/>
            </a:ext>
            <a:ext uri="{147F2762-F138-4A5C-976F-8EAC2B608ADB}">
              <a16:predDERef xmlns:a16="http://schemas.microsoft.com/office/drawing/2014/main" pred="{224CF611-A26F-4631-8BDC-841F51BE54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171450</xdr:colOff>
      <xdr:row>3</xdr:row>
      <xdr:rowOff>133350</xdr:rowOff>
    </xdr:from>
    <xdr:to>
      <xdr:col>14</xdr:col>
      <xdr:colOff>314325</xdr:colOff>
      <xdr:row>15</xdr:row>
      <xdr:rowOff>133350</xdr:rowOff>
    </xdr:to>
    <xdr:graphicFrame macro="">
      <xdr:nvGraphicFramePr>
        <xdr:cNvPr id="3" name="Chart 2">
          <a:extLst>
            <a:ext uri="{FF2B5EF4-FFF2-40B4-BE49-F238E27FC236}">
              <a16:creationId xmlns:a16="http://schemas.microsoft.com/office/drawing/2014/main" id="{224CF611-A26F-4631-8BDC-841F51BE5400}"/>
            </a:ext>
            <a:ext uri="{147F2762-F138-4A5C-976F-8EAC2B608ADB}">
              <a16:predDERef xmlns:a16="http://schemas.microsoft.com/office/drawing/2014/main" pred="{2891E2A5-D2FE-7AF9-5D20-CF682A4482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0.84447</cdr:x>
      <cdr:y>0.80184</cdr:y>
    </cdr:from>
    <cdr:to>
      <cdr:x>0.87048</cdr:x>
      <cdr:y>0.82567</cdr:y>
    </cdr:to>
    <cdr:sp macro="" textlink="">
      <cdr:nvSpPr>
        <cdr:cNvPr id="2" name="Rectangle 1">
          <a:extLst xmlns:a="http://schemas.openxmlformats.org/drawingml/2006/main">
            <a:ext uri="{FF2B5EF4-FFF2-40B4-BE49-F238E27FC236}">
              <a16:creationId xmlns:a16="http://schemas.microsoft.com/office/drawing/2014/main" id="{EAFE9422-A77F-A0D6-028A-765F011A11A5}"/>
            </a:ext>
          </a:extLst>
        </cdr:cNvPr>
        <cdr:cNvSpPr/>
      </cdr:nvSpPr>
      <cdr:spPr>
        <a:xfrm xmlns:a="http://schemas.openxmlformats.org/drawingml/2006/main">
          <a:off x="5147905" y="3242121"/>
          <a:ext cx="158566" cy="96359"/>
        </a:xfrm>
        <a:prstGeom xmlns:a="http://schemas.openxmlformats.org/drawingml/2006/main" prst="rect">
          <a:avLst/>
        </a:prstGeom>
        <a:solidFill xmlns:a="http://schemas.openxmlformats.org/drawingml/2006/main">
          <a:srgbClr val="FF0000"/>
        </a:solidFill>
        <a:ln xmlns:a="http://schemas.openxmlformats.org/drawingml/2006/main">
          <a:solidFill>
            <a:srgbClr val="FF0000"/>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dr:relSizeAnchor xmlns:cdr="http://schemas.openxmlformats.org/drawingml/2006/chartDrawing">
    <cdr:from>
      <cdr:x>0.86127</cdr:x>
      <cdr:y>0.79372</cdr:y>
    </cdr:from>
    <cdr:to>
      <cdr:x>1</cdr:x>
      <cdr:y>0.84688</cdr:y>
    </cdr:to>
    <cdr:sp macro="" textlink="">
      <cdr:nvSpPr>
        <cdr:cNvPr id="3" name="TextBox 2">
          <a:extLst xmlns:a="http://schemas.openxmlformats.org/drawingml/2006/main">
            <a:ext uri="{FF2B5EF4-FFF2-40B4-BE49-F238E27FC236}">
              <a16:creationId xmlns:a16="http://schemas.microsoft.com/office/drawing/2014/main" id="{E8DFC796-5D80-CC8B-0464-6C405BE92B89}"/>
            </a:ext>
          </a:extLst>
        </cdr:cNvPr>
        <cdr:cNvSpPr txBox="1"/>
      </cdr:nvSpPr>
      <cdr:spPr>
        <a:xfrm xmlns:a="http://schemas.openxmlformats.org/drawingml/2006/main">
          <a:off x="5250313" y="3209286"/>
          <a:ext cx="845687" cy="21495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700" kern="1200">
              <a:latin typeface="Arial" panose="020B0604020202020204" pitchFamily="34" charset="0"/>
              <a:cs typeface="Arial" panose="020B0604020202020204" pitchFamily="34" charset="0"/>
            </a:rPr>
            <a:t>Canabalized City</a:t>
          </a:r>
        </a:p>
      </cdr:txBody>
    </cdr:sp>
  </cdr:relSizeAnchor>
</c:userShapes>
</file>

<file path=xl/drawings/drawing3.xml><?xml version="1.0" encoding="utf-8"?>
<xdr:wsDr xmlns:xdr="http://schemas.openxmlformats.org/drawingml/2006/spreadsheetDrawing" xmlns:a="http://schemas.openxmlformats.org/drawingml/2006/main">
  <xdr:twoCellAnchor editAs="oneCell">
    <xdr:from>
      <xdr:col>1</xdr:col>
      <xdr:colOff>13073</xdr:colOff>
      <xdr:row>0</xdr:row>
      <xdr:rowOff>1</xdr:rowOff>
    </xdr:from>
    <xdr:to>
      <xdr:col>1</xdr:col>
      <xdr:colOff>1057275</xdr:colOff>
      <xdr:row>2</xdr:row>
      <xdr:rowOff>150439</xdr:rowOff>
    </xdr:to>
    <xdr:pic>
      <xdr:nvPicPr>
        <xdr:cNvPr id="2" name="Picture 1">
          <a:extLst>
            <a:ext uri="{FF2B5EF4-FFF2-40B4-BE49-F238E27FC236}">
              <a16:creationId xmlns:a16="http://schemas.microsoft.com/office/drawing/2014/main" id="{457CC38E-310F-4914-89BF-6617ACB930CB}"/>
            </a:ext>
          </a:extLst>
        </xdr:cNvPr>
        <xdr:cNvPicPr>
          <a:picLocks noChangeAspect="1"/>
        </xdr:cNvPicPr>
      </xdr:nvPicPr>
      <xdr:blipFill>
        <a:blip xmlns:r="http://schemas.openxmlformats.org/officeDocument/2006/relationships" r:embed="rId1"/>
        <a:stretch>
          <a:fillRect/>
        </a:stretch>
      </xdr:blipFill>
      <xdr:spPr>
        <a:xfrm>
          <a:off x="232148" y="1"/>
          <a:ext cx="1044202" cy="60763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abruce\Downloads\3PL%20Logistics%20Company%20Financial%20Model%20(1).xlsx" TargetMode="External"/><Relationship Id="rId1" Type="http://schemas.openxmlformats.org/officeDocument/2006/relationships/externalLinkPath" Target="file:///C:\Users\abruce\Downloads\3PL%20Logistics%20Company%20Financial%20Model%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sheetName val="Dashboard Summary"/>
      <sheetName val="Assumptions"/>
      <sheetName val="Financial Model"/>
      <sheetName val="Model"/>
      <sheetName val="Model Validation"/>
      <sheetName val="_avcts_version_hash"/>
    </sheetNames>
    <sheetDataSet>
      <sheetData sheetId="0"/>
      <sheetData sheetId="1"/>
      <sheetData sheetId="2"/>
      <sheetData sheetId="3"/>
      <sheetData sheetId="4"/>
      <sheetData sheetId="5"/>
      <sheetData sheetId="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sheetPr>
  <dimension ref="A1:N13"/>
  <sheetViews>
    <sheetView showGridLines="0" workbookViewId="0">
      <selection activeCell="C4" sqref="C4"/>
    </sheetView>
  </sheetViews>
  <sheetFormatPr defaultRowHeight="12"/>
  <cols>
    <col min="1" max="1" width="12" customWidth="1"/>
    <col min="2" max="2" width="4" customWidth="1"/>
    <col min="3" max="4" width="30" customWidth="1"/>
    <col min="5" max="14" width="12" customWidth="1"/>
  </cols>
  <sheetData>
    <row r="1" spans="1:14" ht="39.950000000000003" customHeight="1">
      <c r="A1" s="321"/>
      <c r="B1" s="321"/>
      <c r="C1" s="322" t="s">
        <v>0</v>
      </c>
      <c r="D1" s="365"/>
      <c r="E1" s="365"/>
      <c r="F1" s="365"/>
      <c r="G1" s="365"/>
      <c r="H1" s="365"/>
      <c r="I1" s="365"/>
      <c r="J1" s="365"/>
      <c r="K1" s="365"/>
      <c r="L1" s="365"/>
      <c r="M1" s="321"/>
      <c r="N1" s="321"/>
    </row>
    <row r="2" spans="1:14" ht="32.1" customHeight="1">
      <c r="A2" s="321"/>
      <c r="B2" s="321"/>
      <c r="C2" s="326" t="s">
        <v>1</v>
      </c>
      <c r="D2" s="366"/>
      <c r="E2" s="366"/>
      <c r="F2" s="366"/>
      <c r="G2" s="366"/>
      <c r="H2" s="366"/>
      <c r="I2" s="366"/>
      <c r="J2" s="366"/>
      <c r="K2" s="366"/>
      <c r="L2" s="366"/>
      <c r="M2" s="321"/>
      <c r="N2" s="321"/>
    </row>
    <row r="3" spans="1:14" ht="24" customHeight="1">
      <c r="A3" s="321"/>
      <c r="B3" s="321"/>
      <c r="C3" s="324" t="s">
        <v>2</v>
      </c>
      <c r="D3" s="365"/>
      <c r="E3" s="365"/>
      <c r="F3" s="365"/>
      <c r="G3" s="365"/>
      <c r="H3" s="365"/>
      <c r="I3" s="365"/>
      <c r="J3" s="365"/>
      <c r="K3" s="365"/>
      <c r="L3" s="365"/>
      <c r="M3" s="321"/>
      <c r="N3" s="321"/>
    </row>
    <row r="4" spans="1:14" ht="3.95" customHeight="1">
      <c r="A4" s="20"/>
      <c r="B4" s="20"/>
      <c r="C4" s="20"/>
      <c r="D4" s="20"/>
      <c r="E4" s="20"/>
      <c r="F4" s="20"/>
      <c r="G4" s="20"/>
      <c r="H4" s="20"/>
      <c r="I4" s="20"/>
      <c r="J4" s="20"/>
      <c r="K4" s="20"/>
      <c r="L4" s="20"/>
      <c r="M4" s="20"/>
      <c r="N4" s="20"/>
    </row>
    <row r="6" spans="1:14" ht="21.95" customHeight="1">
      <c r="A6" s="320"/>
      <c r="B6" s="320"/>
      <c r="C6" s="325" t="s">
        <v>3</v>
      </c>
      <c r="D6" s="323" t="s">
        <v>4</v>
      </c>
      <c r="E6" s="367"/>
      <c r="F6" s="367"/>
      <c r="G6" s="367"/>
      <c r="H6" s="367"/>
      <c r="I6" s="367"/>
      <c r="J6" s="367"/>
      <c r="K6" s="367"/>
      <c r="L6" s="367"/>
      <c r="M6" s="320"/>
      <c r="N6" s="320"/>
    </row>
    <row r="7" spans="1:14" ht="21.95" customHeight="1">
      <c r="A7" s="320"/>
      <c r="B7" s="320"/>
      <c r="C7" s="325" t="s">
        <v>5</v>
      </c>
      <c r="D7" s="323" t="s">
        <v>6</v>
      </c>
      <c r="E7" s="367"/>
      <c r="F7" s="367"/>
      <c r="G7" s="367"/>
      <c r="H7" s="367"/>
      <c r="I7" s="367"/>
      <c r="J7" s="367"/>
      <c r="K7" s="367"/>
      <c r="L7" s="367"/>
      <c r="M7" s="320"/>
      <c r="N7" s="320"/>
    </row>
    <row r="8" spans="1:14" ht="21.95" customHeight="1">
      <c r="A8" s="320"/>
      <c r="B8" s="320"/>
      <c r="C8" s="325" t="s">
        <v>7</v>
      </c>
      <c r="D8" s="323" t="s">
        <v>8</v>
      </c>
      <c r="E8" s="367"/>
      <c r="F8" s="367"/>
      <c r="G8" s="367"/>
      <c r="H8" s="367"/>
      <c r="I8" s="367"/>
      <c r="J8" s="367"/>
      <c r="K8" s="367"/>
      <c r="L8" s="367"/>
      <c r="M8" s="320"/>
      <c r="N8" s="320"/>
    </row>
    <row r="9" spans="1:14" ht="21.95" customHeight="1">
      <c r="A9" s="320"/>
      <c r="B9" s="320"/>
      <c r="C9" s="325" t="s">
        <v>9</v>
      </c>
      <c r="D9" s="323" t="s">
        <v>10</v>
      </c>
      <c r="E9" s="367"/>
      <c r="F9" s="367"/>
      <c r="G9" s="367"/>
      <c r="H9" s="367"/>
      <c r="I9" s="367"/>
      <c r="J9" s="367"/>
      <c r="K9" s="367"/>
      <c r="L9" s="367"/>
      <c r="M9" s="320"/>
      <c r="N9" s="320"/>
    </row>
    <row r="10" spans="1:14" ht="21.95" customHeight="1">
      <c r="A10" s="320"/>
      <c r="B10" s="320"/>
      <c r="C10" s="325" t="s">
        <v>11</v>
      </c>
      <c r="D10" s="323" t="s">
        <v>12</v>
      </c>
      <c r="E10" s="367"/>
      <c r="F10" s="367"/>
      <c r="G10" s="367"/>
      <c r="H10" s="367"/>
      <c r="I10" s="367"/>
      <c r="J10" s="367"/>
      <c r="K10" s="367"/>
      <c r="L10" s="367"/>
      <c r="M10" s="320"/>
      <c r="N10" s="320"/>
    </row>
    <row r="11" spans="1:14" ht="21.95" customHeight="1">
      <c r="A11" s="320"/>
      <c r="B11" s="320"/>
      <c r="C11" s="325" t="s">
        <v>13</v>
      </c>
      <c r="D11" s="323" t="s">
        <v>14</v>
      </c>
      <c r="E11" s="367"/>
      <c r="F11" s="367"/>
      <c r="G11" s="367"/>
      <c r="H11" s="367"/>
      <c r="I11" s="367"/>
      <c r="J11" s="367"/>
      <c r="K11" s="367"/>
      <c r="L11" s="367"/>
      <c r="M11" s="320"/>
      <c r="N11" s="320"/>
    </row>
    <row r="12" spans="1:14" ht="21.95" customHeight="1">
      <c r="A12" s="320"/>
      <c r="B12" s="320"/>
      <c r="C12" s="325"/>
      <c r="D12" s="323"/>
      <c r="E12" s="367"/>
      <c r="F12" s="367"/>
      <c r="G12" s="367"/>
      <c r="H12" s="367"/>
      <c r="I12" s="367"/>
      <c r="J12" s="367"/>
      <c r="K12" s="367"/>
      <c r="L12" s="367"/>
      <c r="M12" s="320"/>
      <c r="N12" s="320"/>
    </row>
    <row r="13" spans="1:14" ht="20.100000000000001" customHeight="1">
      <c r="A13" s="21" t="s">
        <v>15</v>
      </c>
      <c r="B13" s="320"/>
      <c r="C13" s="320"/>
      <c r="D13" s="320"/>
      <c r="E13" s="320"/>
      <c r="F13" s="320"/>
      <c r="G13" s="320"/>
      <c r="H13" s="320"/>
      <c r="I13" s="320"/>
      <c r="J13" s="320"/>
      <c r="K13" s="320"/>
      <c r="L13" s="320"/>
      <c r="M13" s="320"/>
      <c r="N13" s="320"/>
    </row>
  </sheetData>
  <mergeCells count="17">
    <mergeCell ref="C12"/>
    <mergeCell ref="C9"/>
    <mergeCell ref="D12:L12"/>
    <mergeCell ref="D6:L6"/>
    <mergeCell ref="D7:L7"/>
    <mergeCell ref="C11"/>
    <mergeCell ref="C10"/>
    <mergeCell ref="C6"/>
    <mergeCell ref="C1:L1"/>
    <mergeCell ref="D9:L9"/>
    <mergeCell ref="D8:L8"/>
    <mergeCell ref="C3:L3"/>
    <mergeCell ref="D11:L11"/>
    <mergeCell ref="C7"/>
    <mergeCell ref="D10:L10"/>
    <mergeCell ref="C2:L2"/>
    <mergeCell ref="C8"/>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4FA9E-B914-4BE0-A535-833572A8BEEE}">
  <sheetPr>
    <tabColor theme="4" tint="-0.499984740745262"/>
  </sheetPr>
  <dimension ref="A1:O25"/>
  <sheetViews>
    <sheetView showGridLines="0" zoomScaleNormal="100" workbookViewId="0">
      <selection activeCell="R28" sqref="R28"/>
    </sheetView>
  </sheetViews>
  <sheetFormatPr defaultRowHeight="12"/>
  <cols>
    <col min="1" max="1" width="4" customWidth="1"/>
    <col min="2" max="2" width="28.5703125" bestFit="1" customWidth="1"/>
    <col min="3" max="3" width="16.28515625" bestFit="1" customWidth="1"/>
    <col min="4" max="4" width="28.140625" bestFit="1" customWidth="1"/>
    <col min="5" max="5" width="15" bestFit="1" customWidth="1"/>
    <col min="6" max="13" width="12" customWidth="1"/>
  </cols>
  <sheetData>
    <row r="1" spans="1:15" ht="39.950000000000003" customHeight="1">
      <c r="A1" s="321"/>
      <c r="B1" s="327" t="s">
        <v>16</v>
      </c>
      <c r="C1" s="328"/>
      <c r="D1" s="328"/>
      <c r="E1" s="328"/>
      <c r="F1" s="328"/>
      <c r="G1" s="328"/>
      <c r="H1" s="328"/>
      <c r="I1" s="328"/>
      <c r="J1" s="328"/>
      <c r="K1" s="328"/>
      <c r="L1" s="321"/>
      <c r="M1" s="321"/>
      <c r="N1" s="321"/>
      <c r="O1" s="321"/>
    </row>
    <row r="2" spans="1:15" ht="3.95" customHeight="1">
      <c r="A2" s="20"/>
      <c r="B2" s="296"/>
      <c r="C2" s="296"/>
      <c r="D2" s="296"/>
      <c r="E2" s="296"/>
      <c r="F2" s="296"/>
      <c r="G2" s="296"/>
      <c r="H2" s="296"/>
      <c r="I2" s="296"/>
      <c r="J2" s="296"/>
      <c r="K2" s="296"/>
      <c r="L2" s="20"/>
      <c r="M2" s="20"/>
      <c r="N2" s="20"/>
      <c r="O2" s="20"/>
    </row>
    <row r="3" spans="1:15">
      <c r="A3" s="320"/>
      <c r="B3" s="22"/>
      <c r="C3" s="22"/>
      <c r="D3" s="22"/>
      <c r="E3" s="22"/>
      <c r="F3" s="22"/>
      <c r="G3" s="22"/>
      <c r="H3" s="22"/>
      <c r="I3" s="22"/>
      <c r="J3" s="22"/>
      <c r="K3" s="22"/>
      <c r="L3" s="320"/>
      <c r="M3" s="320"/>
      <c r="N3" s="320"/>
      <c r="O3" s="320"/>
    </row>
    <row r="4" spans="1:15" ht="13.5" thickBot="1">
      <c r="A4" s="320"/>
      <c r="B4" s="297"/>
      <c r="C4" s="298"/>
      <c r="D4" s="22"/>
      <c r="E4" s="22"/>
      <c r="F4" s="22"/>
      <c r="G4" s="22"/>
      <c r="H4" s="22"/>
      <c r="I4" s="22"/>
      <c r="J4" s="22"/>
      <c r="K4" s="22"/>
      <c r="L4" s="320"/>
      <c r="M4" s="320"/>
      <c r="N4" s="320"/>
      <c r="O4" s="320"/>
    </row>
    <row r="5" spans="1:15" ht="13.5" thickBot="1">
      <c r="A5" s="320"/>
      <c r="B5" s="303" t="s">
        <v>17</v>
      </c>
      <c r="C5" s="304"/>
      <c r="D5" s="22"/>
      <c r="E5" s="22"/>
      <c r="F5" s="22"/>
      <c r="G5" s="22"/>
      <c r="H5" s="22"/>
      <c r="I5" s="22"/>
      <c r="J5" s="22"/>
      <c r="K5" s="22"/>
      <c r="L5" s="320"/>
      <c r="M5" s="320"/>
      <c r="N5" s="320"/>
      <c r="O5" s="320"/>
    </row>
    <row r="6" spans="1:15" ht="21.95" customHeight="1">
      <c r="A6" s="320"/>
      <c r="B6" s="340" t="s">
        <v>18</v>
      </c>
      <c r="C6" s="341">
        <f>SUM(Model!H20:BO20)</f>
        <v>8000721.8669809336</v>
      </c>
      <c r="D6" s="300"/>
      <c r="E6" s="300"/>
      <c r="F6" s="300"/>
      <c r="G6" s="300"/>
      <c r="H6" s="300"/>
      <c r="I6" s="300"/>
      <c r="J6" s="300"/>
      <c r="K6" s="300"/>
      <c r="L6" s="320"/>
      <c r="M6" s="320"/>
      <c r="N6" s="320"/>
      <c r="O6" s="320"/>
    </row>
    <row r="7" spans="1:15" ht="21.95" customHeight="1">
      <c r="A7" s="320"/>
      <c r="B7" s="342" t="s">
        <v>19</v>
      </c>
      <c r="C7" s="343">
        <f>SUM(Model!H38:BO38)</f>
        <v>620332.41530400852</v>
      </c>
      <c r="D7" s="300"/>
      <c r="E7" s="300"/>
      <c r="F7" s="300"/>
      <c r="G7" s="300"/>
      <c r="H7" s="300"/>
      <c r="I7" s="300"/>
      <c r="J7" s="300"/>
      <c r="K7" s="300"/>
      <c r="L7" s="320"/>
      <c r="M7" s="320"/>
      <c r="N7" s="320"/>
      <c r="O7" s="320"/>
    </row>
    <row r="8" spans="1:15" s="320" customFormat="1" ht="21.95" customHeight="1">
      <c r="B8" s="342" t="s">
        <v>20</v>
      </c>
      <c r="C8" s="347">
        <f>C7/C6</f>
        <v>7.7534555708545144E-2</v>
      </c>
      <c r="D8" s="300"/>
      <c r="E8" s="300"/>
      <c r="F8" s="300"/>
      <c r="G8" s="300"/>
      <c r="H8" s="300"/>
      <c r="I8" s="300"/>
      <c r="J8" s="300"/>
      <c r="K8" s="300"/>
    </row>
    <row r="9" spans="1:15" s="320" customFormat="1" ht="21.95" customHeight="1">
      <c r="B9" s="342" t="s">
        <v>21</v>
      </c>
      <c r="C9" s="343">
        <f ca="1">SUM(_xlfn.ANCHORARRAY(Model!H52))</f>
        <v>403105.95589078503</v>
      </c>
      <c r="D9" s="300"/>
      <c r="E9" s="300"/>
      <c r="F9" s="300"/>
      <c r="G9" s="300"/>
      <c r="H9" s="300"/>
      <c r="I9" s="300"/>
      <c r="J9" s="300"/>
      <c r="K9" s="300"/>
    </row>
    <row r="10" spans="1:15" ht="21.95" customHeight="1">
      <c r="A10" s="320"/>
      <c r="B10" s="342" t="s">
        <v>22</v>
      </c>
      <c r="C10" s="343">
        <f ca="1">Model!BO112</f>
        <v>266694.99898654449</v>
      </c>
      <c r="D10" s="300"/>
      <c r="E10" s="300"/>
      <c r="F10" s="300"/>
      <c r="G10" s="300"/>
      <c r="H10" s="300"/>
      <c r="I10" s="300"/>
      <c r="J10" s="300"/>
      <c r="K10" s="300"/>
      <c r="L10" s="320"/>
      <c r="M10" s="320"/>
      <c r="N10" s="320"/>
      <c r="O10" s="320"/>
    </row>
    <row r="11" spans="1:15" ht="21.95" customHeight="1">
      <c r="A11" s="320"/>
      <c r="B11" s="342" t="s">
        <v>23</v>
      </c>
      <c r="C11" s="343">
        <f>Model!BO78</f>
        <v>18749.999999999953</v>
      </c>
      <c r="D11" s="300"/>
      <c r="E11" s="300"/>
      <c r="F11" s="300"/>
      <c r="G11" s="300"/>
      <c r="H11" s="300"/>
      <c r="I11" s="300"/>
      <c r="J11" s="300"/>
      <c r="K11" s="300"/>
      <c r="L11" s="320"/>
      <c r="M11" s="320"/>
      <c r="N11" s="320"/>
      <c r="O11" s="320"/>
    </row>
    <row r="12" spans="1:15" ht="21.95" customHeight="1">
      <c r="A12" s="320"/>
      <c r="B12" s="342" t="s">
        <v>24</v>
      </c>
      <c r="C12" s="344">
        <f>COUNTA(_xlfn.ANCHORARRAY(Model!C127))</f>
        <v>26</v>
      </c>
      <c r="D12" s="300"/>
      <c r="E12" s="300"/>
      <c r="F12" s="300"/>
      <c r="G12" s="300"/>
      <c r="H12" s="300"/>
      <c r="I12" s="300"/>
      <c r="J12" s="300"/>
      <c r="K12" s="300"/>
      <c r="L12" s="320"/>
      <c r="M12" s="320"/>
      <c r="N12" s="320"/>
      <c r="O12" s="320"/>
    </row>
    <row r="13" spans="1:15" ht="21.95" customHeight="1">
      <c r="A13" s="320"/>
      <c r="B13" s="345" t="s">
        <v>25</v>
      </c>
      <c r="C13" s="346">
        <f>Model!BO153</f>
        <v>1060</v>
      </c>
      <c r="D13" s="300"/>
      <c r="E13" s="300"/>
      <c r="F13" s="300"/>
      <c r="G13" s="300"/>
      <c r="H13" s="300"/>
      <c r="I13" s="300"/>
      <c r="J13" s="300"/>
      <c r="K13" s="300"/>
      <c r="L13" s="320"/>
      <c r="M13" s="320"/>
      <c r="N13" s="320"/>
      <c r="O13" s="320"/>
    </row>
    <row r="14" spans="1:15" ht="21.95" customHeight="1">
      <c r="A14" s="320"/>
      <c r="B14" s="305" t="str">
        <f>Model!B4</f>
        <v>[in thousands of $]</v>
      </c>
      <c r="C14" s="300"/>
      <c r="D14" s="300"/>
      <c r="E14" s="300"/>
      <c r="F14" s="300"/>
      <c r="G14" s="300"/>
      <c r="H14" s="300"/>
      <c r="I14" s="300"/>
      <c r="J14" s="320"/>
      <c r="K14" s="320"/>
      <c r="L14" s="320"/>
      <c r="M14" s="320"/>
      <c r="N14" s="320"/>
      <c r="O14" s="320"/>
    </row>
    <row r="15" spans="1:15" ht="21.95" customHeight="1">
      <c r="A15" s="320"/>
      <c r="B15" s="305"/>
      <c r="C15" s="300"/>
      <c r="D15" s="300"/>
      <c r="E15" s="300"/>
      <c r="F15" s="300"/>
      <c r="G15" s="300"/>
      <c r="H15" s="300"/>
      <c r="I15" s="300"/>
      <c r="J15" s="320"/>
      <c r="K15" s="320"/>
      <c r="L15" s="320"/>
      <c r="M15" s="320"/>
      <c r="N15" s="320"/>
      <c r="O15" s="320"/>
    </row>
    <row r="16" spans="1:15" ht="21.95" customHeight="1">
      <c r="A16" s="320"/>
      <c r="B16" s="305"/>
      <c r="C16" s="300"/>
      <c r="D16" s="300"/>
      <c r="E16" s="300"/>
      <c r="F16" s="300"/>
      <c r="G16" s="300"/>
      <c r="H16" s="300"/>
      <c r="I16" s="300"/>
      <c r="J16" s="320"/>
      <c r="K16" s="320"/>
      <c r="L16" s="320"/>
      <c r="M16" s="320"/>
      <c r="N16" s="320"/>
      <c r="O16" s="320"/>
    </row>
    <row r="17" spans="1:13" ht="21.95" customHeight="1">
      <c r="A17" s="320"/>
      <c r="B17" s="305"/>
      <c r="C17" s="300"/>
      <c r="D17" s="300"/>
      <c r="E17" s="300"/>
      <c r="F17" s="300"/>
      <c r="G17" s="300"/>
      <c r="H17" s="300"/>
      <c r="I17" s="300"/>
      <c r="J17" s="320"/>
      <c r="K17" s="320"/>
      <c r="L17" s="320"/>
      <c r="M17" s="320"/>
    </row>
    <row r="18" spans="1:13" ht="21.95" customHeight="1" thickBot="1">
      <c r="A18" s="320"/>
      <c r="B18" s="319"/>
      <c r="C18" s="323"/>
      <c r="D18" s="367"/>
      <c r="E18" s="367"/>
      <c r="F18" s="367"/>
      <c r="G18" s="367"/>
      <c r="H18" s="367"/>
      <c r="I18" s="367"/>
      <c r="J18" s="367"/>
      <c r="K18" s="367"/>
      <c r="L18" s="320"/>
      <c r="M18" s="320"/>
    </row>
    <row r="19" spans="1:13" ht="21.95" customHeight="1" thickBot="1">
      <c r="A19" s="320"/>
      <c r="B19" s="312" t="s">
        <v>26</v>
      </c>
      <c r="C19" s="313"/>
      <c r="D19" s="308" t="s">
        <v>27</v>
      </c>
      <c r="E19" s="309"/>
      <c r="F19" s="320"/>
      <c r="G19" s="320"/>
      <c r="H19" s="320"/>
      <c r="I19" s="320"/>
      <c r="J19" s="320"/>
      <c r="K19" s="320"/>
      <c r="L19" s="320"/>
      <c r="M19" s="320"/>
    </row>
    <row r="20" spans="1:13" ht="12.75">
      <c r="A20" s="320"/>
      <c r="B20" s="299" t="s">
        <v>28</v>
      </c>
      <c r="C20" s="314">
        <f>C13/C12</f>
        <v>40.769230769230766</v>
      </c>
      <c r="D20" s="329" t="s">
        <v>29</v>
      </c>
      <c r="E20" s="330"/>
      <c r="F20" s="320"/>
      <c r="G20" s="310"/>
      <c r="H20" s="320"/>
      <c r="I20" s="320"/>
      <c r="J20" s="320"/>
      <c r="K20" s="320"/>
      <c r="L20" s="320"/>
      <c r="M20" s="320"/>
    </row>
    <row r="21" spans="1:13" ht="12.75">
      <c r="A21" s="320"/>
      <c r="B21" s="301" t="s">
        <v>30</v>
      </c>
      <c r="C21" s="306">
        <f>MEDIAN(Model!BO127:BO152)</f>
        <v>9</v>
      </c>
      <c r="D21" s="299" t="s">
        <v>31</v>
      </c>
      <c r="E21" s="314">
        <f>_xlfn.XLOOKUP('Dashboard Summary'!D20,Model!C127:C153,Model!BO127:BO153)</f>
        <v>9</v>
      </c>
      <c r="F21" s="320"/>
      <c r="G21" s="320"/>
      <c r="H21" s="320"/>
      <c r="I21" s="320"/>
      <c r="J21" s="320"/>
      <c r="K21" s="320"/>
      <c r="L21" s="320"/>
      <c r="M21" s="320"/>
    </row>
    <row r="22" spans="1:13" ht="12.75">
      <c r="A22" s="320"/>
      <c r="B22" s="301" t="s">
        <v>32</v>
      </c>
      <c r="C22" s="315">
        <f>C6/C12</f>
        <v>307720.07180695899</v>
      </c>
      <c r="D22" s="301" t="s">
        <v>33</v>
      </c>
      <c r="E22" s="317">
        <f ca="1">SUMIF(Model!C218:BO243,'Dashboard Summary'!D20,Model!H218:BO243)+SUMIF(Model!C247:BO272,'Dashboard Summary'!D20,Model!H247:BO272)+SUMIF(Model!C280:BO305,'Dashboard Summary'!D20,Model!H280:BO305)</f>
        <v>845.20426666666674</v>
      </c>
      <c r="F22" s="320"/>
      <c r="G22" s="311"/>
      <c r="H22" s="320"/>
      <c r="I22" s="320"/>
      <c r="J22" s="320"/>
      <c r="K22" s="320"/>
      <c r="L22" s="320"/>
      <c r="M22" s="320"/>
    </row>
    <row r="23" spans="1:13" ht="12.75">
      <c r="A23" s="320"/>
      <c r="B23" s="301" t="s">
        <v>34</v>
      </c>
      <c r="C23" s="315">
        <f>C6/C13</f>
        <v>7547.8508179065411</v>
      </c>
      <c r="D23" s="301" t="s">
        <v>35</v>
      </c>
      <c r="E23" s="317">
        <f ca="1">E22/E21</f>
        <v>93.911585185185189</v>
      </c>
      <c r="F23" s="320"/>
      <c r="G23" s="320"/>
      <c r="H23" s="320"/>
      <c r="I23" s="320"/>
      <c r="J23" s="320"/>
      <c r="K23" s="320"/>
      <c r="L23" s="320"/>
      <c r="M23" s="320"/>
    </row>
    <row r="24" spans="1:13" ht="13.5" thickBot="1">
      <c r="A24" s="320"/>
      <c r="B24" s="302" t="s">
        <v>36</v>
      </c>
      <c r="C24" s="307">
        <f>COUNTIF(Model!BO156:BO181,"&lt;=10000")</f>
        <v>6</v>
      </c>
      <c r="D24" s="302" t="s">
        <v>37</v>
      </c>
      <c r="E24" s="316" t="str" cm="1">
        <f t="array" ref="E24">IF(_xlfn.XLOOKUP(D20,_xlfn.ANCHORARRAY(Model!C188),Model!BO188:BO213)=1,"No","Yes")</f>
        <v>No</v>
      </c>
      <c r="F24" s="320"/>
      <c r="G24" s="320"/>
      <c r="H24" s="320"/>
      <c r="I24" s="320"/>
      <c r="J24" s="320"/>
      <c r="K24" s="320"/>
      <c r="L24" s="320"/>
      <c r="M24" s="320"/>
    </row>
    <row r="25" spans="1:13">
      <c r="A25" s="320"/>
      <c r="B25" s="305" t="s">
        <v>38</v>
      </c>
      <c r="C25" s="320"/>
      <c r="D25" s="320"/>
      <c r="E25" s="320"/>
      <c r="F25" s="320"/>
      <c r="G25" s="320"/>
      <c r="H25" s="320"/>
      <c r="I25" s="320"/>
      <c r="J25" s="320"/>
      <c r="K25" s="320"/>
      <c r="L25" s="320"/>
      <c r="M25" s="320"/>
    </row>
  </sheetData>
  <mergeCells count="3">
    <mergeCell ref="B1:K1"/>
    <mergeCell ref="C18:K18"/>
    <mergeCell ref="D20:E20"/>
  </mergeCells>
  <conditionalFormatting sqref="E24">
    <cfRule type="containsText" dxfId="1" priority="1" operator="containsText" text="Yes">
      <formula>NOT(ISERROR(SEARCH("Yes",E24)))</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4B71DC41-6CF2-47CC-B1B2-D39A88001568}">
          <x14:formula1>
            <xm:f>Model!$C$127:$C$152</xm:f>
          </x14:formula1>
          <xm:sqref>D20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2EE07-0A7F-46A1-AFD6-250B7E6D69B7}">
  <sheetPr>
    <tabColor rgb="FF208BB7"/>
  </sheetPr>
  <dimension ref="B2:O460"/>
  <sheetViews>
    <sheetView showGridLines="0" zoomScaleNormal="100" workbookViewId="0">
      <selection activeCell="B55" sqref="B55"/>
    </sheetView>
  </sheetViews>
  <sheetFormatPr defaultColWidth="8.7109375" defaultRowHeight="12.75"/>
  <cols>
    <col min="1" max="1" width="3.28515625" style="5" customWidth="1"/>
    <col min="2" max="2" width="35.28515625" style="5" customWidth="1"/>
    <col min="3" max="3" width="13.7109375" style="14" bestFit="1" customWidth="1"/>
    <col min="4" max="4" width="14.85546875" style="5" bestFit="1" customWidth="1"/>
    <col min="5" max="5" width="13.28515625" style="5" bestFit="1" customWidth="1"/>
    <col min="6" max="6" width="37.5703125" style="5" bestFit="1" customWidth="1"/>
    <col min="7" max="7" width="14.7109375" style="5" bestFit="1" customWidth="1"/>
    <col min="8" max="8" width="12.85546875" style="5" bestFit="1" customWidth="1"/>
    <col min="9" max="9" width="8.7109375" style="5"/>
    <col min="10" max="10" width="9.85546875" style="5" bestFit="1" customWidth="1"/>
    <col min="11" max="11" width="9.42578125" style="5" bestFit="1" customWidth="1"/>
    <col min="12" max="16384" width="8.7109375" style="5"/>
  </cols>
  <sheetData>
    <row r="2" spans="2:13" ht="23.25">
      <c r="B2" s="2" t="s">
        <v>39</v>
      </c>
      <c r="C2" s="3"/>
      <c r="D2" s="4"/>
      <c r="E2" s="4"/>
      <c r="F2" s="4"/>
      <c r="G2" s="4"/>
      <c r="H2" s="4"/>
    </row>
    <row r="3" spans="2:13" ht="16.5" thickBot="1">
      <c r="B3" s="6" t="s">
        <v>40</v>
      </c>
      <c r="C3" s="7"/>
      <c r="D3" s="8"/>
      <c r="E3" s="8"/>
      <c r="F3" s="8"/>
      <c r="G3" s="8"/>
      <c r="H3" s="8"/>
    </row>
    <row r="6" spans="2:13" ht="15.75" thickBot="1">
      <c r="B6" s="15" t="s">
        <v>41</v>
      </c>
      <c r="C6" s="1"/>
      <c r="D6" s="1"/>
      <c r="F6" s="15" t="s">
        <v>42</v>
      </c>
      <c r="G6" s="1"/>
      <c r="H6" s="1"/>
    </row>
    <row r="7" spans="2:13" ht="13.5" thickTop="1">
      <c r="C7" s="5"/>
    </row>
    <row r="8" spans="2:13">
      <c r="B8" s="9" t="s">
        <v>43</v>
      </c>
      <c r="C8" s="10"/>
      <c r="D8" s="11"/>
      <c r="F8" s="9" t="s">
        <v>44</v>
      </c>
      <c r="G8" s="94"/>
      <c r="H8" s="17" t="s">
        <v>45</v>
      </c>
    </row>
    <row r="9" spans="2:13">
      <c r="B9" s="12" t="s">
        <v>46</v>
      </c>
      <c r="C9" s="13" t="s">
        <v>47</v>
      </c>
      <c r="D9" s="95" t="s">
        <v>48</v>
      </c>
      <c r="F9" s="12" t="s">
        <v>29</v>
      </c>
      <c r="G9" s="13" t="s">
        <v>49</v>
      </c>
      <c r="H9" s="96">
        <v>380887</v>
      </c>
      <c r="J9" s="18"/>
      <c r="M9" s="18"/>
    </row>
    <row r="10" spans="2:13">
      <c r="B10" s="12" t="s">
        <v>50</v>
      </c>
      <c r="C10" s="13" t="s">
        <v>47</v>
      </c>
      <c r="D10" s="97">
        <v>46023</v>
      </c>
      <c r="F10" s="12" t="s">
        <v>51</v>
      </c>
      <c r="G10" s="13" t="s">
        <v>49</v>
      </c>
      <c r="H10" s="98">
        <v>540720</v>
      </c>
      <c r="J10" s="18"/>
      <c r="K10" s="18"/>
    </row>
    <row r="11" spans="2:13">
      <c r="B11" s="12" t="s">
        <v>52</v>
      </c>
      <c r="C11" s="13" t="s">
        <v>53</v>
      </c>
      <c r="D11" s="99">
        <v>0.03</v>
      </c>
      <c r="F11" s="12" t="s">
        <v>54</v>
      </c>
      <c r="G11" s="13" t="s">
        <v>49</v>
      </c>
      <c r="H11" s="98">
        <v>56314</v>
      </c>
      <c r="J11" s="18"/>
    </row>
    <row r="12" spans="2:13">
      <c r="F12" s="12" t="s">
        <v>55</v>
      </c>
      <c r="G12" s="13" t="s">
        <v>49</v>
      </c>
      <c r="H12" s="98">
        <v>773777</v>
      </c>
      <c r="J12" s="18"/>
    </row>
    <row r="13" spans="2:13">
      <c r="B13" s="9" t="s">
        <v>56</v>
      </c>
      <c r="C13" s="10"/>
      <c r="D13" s="11"/>
      <c r="F13" s="12" t="s">
        <v>57</v>
      </c>
      <c r="G13" s="13" t="s">
        <v>49</v>
      </c>
      <c r="H13" s="98">
        <v>93924</v>
      </c>
      <c r="J13" s="18"/>
    </row>
    <row r="14" spans="2:13">
      <c r="B14" s="12" t="s">
        <v>58</v>
      </c>
      <c r="C14" s="13" t="s">
        <v>59</v>
      </c>
      <c r="D14" s="100">
        <v>100</v>
      </c>
      <c r="F14" s="12" t="s">
        <v>60</v>
      </c>
      <c r="G14" s="13" t="s">
        <v>49</v>
      </c>
      <c r="H14" s="98">
        <v>38112</v>
      </c>
      <c r="J14" s="18"/>
    </row>
    <row r="15" spans="2:13">
      <c r="B15" s="12" t="s">
        <v>61</v>
      </c>
      <c r="C15" s="13" t="s">
        <v>62</v>
      </c>
      <c r="D15" s="101">
        <v>0.1</v>
      </c>
      <c r="F15" s="12" t="s">
        <v>63</v>
      </c>
      <c r="G15" s="13" t="s">
        <v>49</v>
      </c>
      <c r="H15" s="98">
        <v>2668971</v>
      </c>
      <c r="J15" s="18"/>
    </row>
    <row r="16" spans="2:13">
      <c r="B16" s="12" t="s">
        <v>64</v>
      </c>
      <c r="C16" s="13" t="s">
        <v>62</v>
      </c>
      <c r="D16" s="101">
        <v>0.7</v>
      </c>
      <c r="F16" s="12" t="s">
        <v>65</v>
      </c>
      <c r="G16" s="13" t="s">
        <v>49</v>
      </c>
      <c r="H16" s="98">
        <v>17532542</v>
      </c>
      <c r="J16" s="18"/>
    </row>
    <row r="17" spans="2:10">
      <c r="F17" s="12" t="s">
        <v>66</v>
      </c>
      <c r="G17" s="13" t="s">
        <v>49</v>
      </c>
      <c r="H17" s="98">
        <v>871720</v>
      </c>
      <c r="J17" s="18"/>
    </row>
    <row r="18" spans="2:10">
      <c r="B18" s="9" t="s">
        <v>67</v>
      </c>
      <c r="C18" s="10"/>
      <c r="D18" s="11"/>
      <c r="F18" s="12" t="s">
        <v>68</v>
      </c>
      <c r="G18" s="13" t="s">
        <v>49</v>
      </c>
      <c r="H18" s="98">
        <v>129351</v>
      </c>
      <c r="J18" s="18"/>
    </row>
    <row r="19" spans="2:10">
      <c r="B19" s="12" t="s">
        <v>69</v>
      </c>
      <c r="C19" s="13" t="s">
        <v>62</v>
      </c>
      <c r="D19" s="99">
        <v>0.8</v>
      </c>
      <c r="F19" s="12" t="s">
        <v>70</v>
      </c>
      <c r="G19" s="13" t="s">
        <v>49</v>
      </c>
      <c r="H19" s="98">
        <v>67975</v>
      </c>
      <c r="J19" s="18"/>
    </row>
    <row r="20" spans="2:10">
      <c r="B20" s="12" t="s">
        <v>71</v>
      </c>
      <c r="C20" s="13" t="s">
        <v>62</v>
      </c>
      <c r="D20" s="99">
        <v>0.75</v>
      </c>
      <c r="F20" s="12" t="s">
        <v>72</v>
      </c>
      <c r="G20" s="13" t="s">
        <v>49</v>
      </c>
      <c r="H20" s="98">
        <v>225699</v>
      </c>
      <c r="J20" s="18"/>
    </row>
    <row r="21" spans="2:10">
      <c r="B21" s="12" t="s">
        <v>73</v>
      </c>
      <c r="C21" s="13" t="s">
        <v>62</v>
      </c>
      <c r="D21" s="99">
        <v>1</v>
      </c>
      <c r="F21" s="12" t="s">
        <v>74</v>
      </c>
      <c r="G21" s="13" t="s">
        <v>49</v>
      </c>
      <c r="H21" s="98">
        <v>11546</v>
      </c>
      <c r="J21" s="18"/>
    </row>
    <row r="22" spans="2:10">
      <c r="B22" s="12" t="s">
        <v>75</v>
      </c>
      <c r="C22" s="13" t="s">
        <v>62</v>
      </c>
      <c r="D22" s="99">
        <v>1</v>
      </c>
      <c r="F22" s="12" t="s">
        <v>76</v>
      </c>
      <c r="G22" s="13" t="s">
        <v>49</v>
      </c>
      <c r="H22" s="98">
        <v>357386</v>
      </c>
      <c r="J22" s="18"/>
    </row>
    <row r="23" spans="2:10">
      <c r="B23" s="12" t="s">
        <v>77</v>
      </c>
      <c r="C23" s="13" t="s">
        <v>62</v>
      </c>
      <c r="D23" s="99">
        <v>1</v>
      </c>
      <c r="F23" s="12" t="s">
        <v>78</v>
      </c>
      <c r="G23" s="13" t="s">
        <v>49</v>
      </c>
      <c r="H23" s="98">
        <v>2864910</v>
      </c>
      <c r="J23" s="18"/>
    </row>
    <row r="24" spans="2:10">
      <c r="B24" s="12" t="s">
        <v>79</v>
      </c>
      <c r="C24" s="13" t="s">
        <v>62</v>
      </c>
      <c r="D24" s="99">
        <v>1</v>
      </c>
      <c r="F24" s="12" t="s">
        <v>80</v>
      </c>
      <c r="G24" s="13" t="s">
        <v>49</v>
      </c>
      <c r="H24" s="98">
        <v>46298</v>
      </c>
      <c r="J24" s="18"/>
    </row>
    <row r="25" spans="2:10">
      <c r="B25" s="12" t="s">
        <v>81</v>
      </c>
      <c r="C25" s="13" t="s">
        <v>62</v>
      </c>
      <c r="D25" s="99">
        <v>1</v>
      </c>
      <c r="F25" s="12" t="s">
        <v>82</v>
      </c>
      <c r="G25" s="13" t="s">
        <v>49</v>
      </c>
      <c r="H25" s="98">
        <v>279623</v>
      </c>
      <c r="J25" s="18"/>
    </row>
    <row r="26" spans="2:10">
      <c r="B26" s="12" t="s">
        <v>83</v>
      </c>
      <c r="C26" s="13" t="s">
        <v>62</v>
      </c>
      <c r="D26" s="99">
        <v>1</v>
      </c>
      <c r="F26" s="12" t="s">
        <v>84</v>
      </c>
      <c r="G26" s="13" t="s">
        <v>49</v>
      </c>
      <c r="H26" s="98">
        <v>4725450</v>
      </c>
      <c r="J26" s="18"/>
    </row>
    <row r="27" spans="2:10">
      <c r="B27" s="12" t="s">
        <v>85</v>
      </c>
      <c r="C27" s="13" t="s">
        <v>62</v>
      </c>
      <c r="D27" s="99">
        <v>1</v>
      </c>
      <c r="F27" s="12" t="s">
        <v>86</v>
      </c>
      <c r="G27" s="13" t="s">
        <v>49</v>
      </c>
      <c r="H27" s="98">
        <v>7896730</v>
      </c>
      <c r="J27" s="18"/>
    </row>
    <row r="28" spans="2:10">
      <c r="B28" s="12" t="s">
        <v>87</v>
      </c>
      <c r="C28" s="13" t="s">
        <v>62</v>
      </c>
      <c r="D28" s="99">
        <v>1</v>
      </c>
      <c r="F28" s="12" t="s">
        <v>88</v>
      </c>
      <c r="G28" s="13" t="s">
        <v>49</v>
      </c>
      <c r="H28" s="98">
        <v>2383564</v>
      </c>
      <c r="J28" s="18"/>
    </row>
    <row r="29" spans="2:10">
      <c r="B29" s="12" t="s">
        <v>89</v>
      </c>
      <c r="C29" s="13" t="s">
        <v>62</v>
      </c>
      <c r="D29" s="99">
        <v>1</v>
      </c>
      <c r="F29" s="12" t="s">
        <v>90</v>
      </c>
      <c r="G29" s="13" t="s">
        <v>49</v>
      </c>
      <c r="H29" s="98">
        <v>12705</v>
      </c>
      <c r="J29" s="18"/>
    </row>
    <row r="30" spans="2:10">
      <c r="B30" s="12" t="s">
        <v>91</v>
      </c>
      <c r="C30" s="13" t="s">
        <v>62</v>
      </c>
      <c r="D30" s="99">
        <v>1.5</v>
      </c>
      <c r="F30" s="12" t="s">
        <v>92</v>
      </c>
      <c r="G30" s="13" t="s">
        <v>49</v>
      </c>
      <c r="H30" s="98">
        <v>558221</v>
      </c>
      <c r="J30" s="18"/>
    </row>
    <row r="31" spans="2:10">
      <c r="F31" s="12" t="s">
        <v>93</v>
      </c>
      <c r="G31" s="13" t="s">
        <v>49</v>
      </c>
      <c r="H31" s="98">
        <v>351937</v>
      </c>
      <c r="J31" s="18"/>
    </row>
    <row r="32" spans="2:10">
      <c r="B32" s="9" t="s">
        <v>94</v>
      </c>
      <c r="C32" s="10"/>
      <c r="D32" s="11"/>
      <c r="F32" s="12" t="s">
        <v>95</v>
      </c>
      <c r="G32" s="13" t="s">
        <v>49</v>
      </c>
      <c r="H32" s="98">
        <v>41805</v>
      </c>
      <c r="J32" s="18"/>
    </row>
    <row r="33" spans="2:11">
      <c r="B33" s="12" t="s">
        <v>96</v>
      </c>
      <c r="C33" s="13" t="s">
        <v>97</v>
      </c>
      <c r="D33" s="102">
        <v>160</v>
      </c>
      <c r="F33" s="12" t="s">
        <v>98</v>
      </c>
      <c r="G33" s="13" t="s">
        <v>49</v>
      </c>
      <c r="H33" s="98">
        <v>68307</v>
      </c>
      <c r="J33" s="18"/>
    </row>
    <row r="34" spans="2:11">
      <c r="B34" s="12" t="s">
        <v>99</v>
      </c>
      <c r="C34" s="13" t="s">
        <v>100</v>
      </c>
      <c r="D34" s="103">
        <v>15</v>
      </c>
      <c r="F34" s="12" t="s">
        <v>101</v>
      </c>
      <c r="G34" s="13" t="s">
        <v>49</v>
      </c>
      <c r="H34" s="98">
        <v>60150</v>
      </c>
      <c r="J34" s="18"/>
    </row>
    <row r="35" spans="2:11">
      <c r="B35" s="12" t="s">
        <v>102</v>
      </c>
      <c r="C35" s="13" t="s">
        <v>103</v>
      </c>
      <c r="D35" s="103">
        <v>1000</v>
      </c>
      <c r="J35" s="18"/>
    </row>
    <row r="36" spans="2:11">
      <c r="B36" s="12" t="s">
        <v>104</v>
      </c>
      <c r="C36" s="13" t="s">
        <v>105</v>
      </c>
      <c r="D36" s="103">
        <v>5000</v>
      </c>
      <c r="J36" s="18"/>
    </row>
    <row r="37" spans="2:11">
      <c r="J37" s="18"/>
    </row>
    <row r="38" spans="2:11">
      <c r="B38" s="9" t="s">
        <v>106</v>
      </c>
      <c r="C38" s="10"/>
      <c r="D38" s="11"/>
      <c r="F38" s="9" t="s">
        <v>107</v>
      </c>
      <c r="G38" s="10"/>
      <c r="H38" s="11"/>
      <c r="J38" s="18"/>
    </row>
    <row r="39" spans="2:11">
      <c r="B39" s="12" t="s">
        <v>108</v>
      </c>
      <c r="C39" s="13" t="s">
        <v>109</v>
      </c>
      <c r="D39" s="103">
        <v>100</v>
      </c>
      <c r="F39" s="12" t="s">
        <v>110</v>
      </c>
      <c r="G39" s="13" t="s">
        <v>49</v>
      </c>
      <c r="H39" s="102">
        <v>10000</v>
      </c>
      <c r="J39" s="18"/>
    </row>
    <row r="40" spans="2:11">
      <c r="B40" s="12" t="s">
        <v>111</v>
      </c>
      <c r="C40" s="13" t="s">
        <v>112</v>
      </c>
      <c r="D40" s="102">
        <v>3</v>
      </c>
      <c r="F40" s="12" t="s">
        <v>113</v>
      </c>
      <c r="G40" s="13" t="s">
        <v>62</v>
      </c>
      <c r="H40" s="101">
        <v>-0.2</v>
      </c>
      <c r="J40" s="18"/>
    </row>
    <row r="41" spans="2:11">
      <c r="B41" s="12" t="s">
        <v>114</v>
      </c>
      <c r="C41" s="13" t="s">
        <v>109</v>
      </c>
      <c r="D41" s="103">
        <v>2</v>
      </c>
      <c r="F41" s="12"/>
      <c r="G41" s="13"/>
      <c r="J41" s="18"/>
    </row>
    <row r="42" spans="2:11">
      <c r="J42" s="18"/>
    </row>
    <row r="43" spans="2:11">
      <c r="J43" s="18"/>
    </row>
    <row r="44" spans="2:11" ht="15.75" thickBot="1">
      <c r="B44" s="15" t="s">
        <v>115</v>
      </c>
      <c r="C44" s="1"/>
      <c r="D44" s="1"/>
      <c r="E44" s="1"/>
      <c r="F44" s="1"/>
      <c r="G44" s="1"/>
      <c r="H44" s="1"/>
      <c r="J44" s="18"/>
    </row>
    <row r="45" spans="2:11" ht="13.5" thickTop="1">
      <c r="J45" s="18"/>
      <c r="K45" s="18"/>
    </row>
    <row r="46" spans="2:11">
      <c r="B46" s="9" t="s">
        <v>116</v>
      </c>
      <c r="C46" s="10"/>
      <c r="D46" s="11"/>
      <c r="F46" s="9" t="s">
        <v>117</v>
      </c>
      <c r="G46" s="10"/>
      <c r="H46" s="11"/>
      <c r="J46" s="18"/>
      <c r="K46" s="18"/>
    </row>
    <row r="47" spans="2:11">
      <c r="B47" s="12" t="s">
        <v>118</v>
      </c>
      <c r="C47" s="13" t="s">
        <v>119</v>
      </c>
      <c r="D47" s="103">
        <v>10000</v>
      </c>
      <c r="F47" s="12" t="s">
        <v>108</v>
      </c>
      <c r="G47" s="13" t="s">
        <v>109</v>
      </c>
      <c r="H47" s="104">
        <f>D39</f>
        <v>100</v>
      </c>
      <c r="J47" s="18"/>
      <c r="K47" s="18"/>
    </row>
    <row r="48" spans="2:11">
      <c r="B48" s="12" t="s">
        <v>120</v>
      </c>
      <c r="C48" s="13" t="s">
        <v>119</v>
      </c>
      <c r="D48" s="103">
        <v>90000</v>
      </c>
      <c r="F48" s="12" t="s">
        <v>121</v>
      </c>
      <c r="G48" s="13" t="s">
        <v>122</v>
      </c>
      <c r="H48" s="105">
        <v>3</v>
      </c>
      <c r="J48" s="18"/>
      <c r="K48" s="18"/>
    </row>
    <row r="49" spans="2:11">
      <c r="B49" s="12" t="s">
        <v>123</v>
      </c>
      <c r="C49" s="13" t="s">
        <v>119</v>
      </c>
      <c r="D49" s="103">
        <v>92500</v>
      </c>
      <c r="F49" s="12" t="s">
        <v>124</v>
      </c>
      <c r="G49" s="13" t="s">
        <v>122</v>
      </c>
      <c r="H49" s="105">
        <v>5</v>
      </c>
      <c r="J49" s="18"/>
      <c r="K49" s="18"/>
    </row>
    <row r="50" spans="2:11">
      <c r="B50" s="12" t="s">
        <v>125</v>
      </c>
      <c r="C50" s="13" t="s">
        <v>119</v>
      </c>
      <c r="D50" s="103">
        <v>100000</v>
      </c>
      <c r="F50" s="12" t="s">
        <v>126</v>
      </c>
      <c r="G50" s="13" t="s">
        <v>122</v>
      </c>
      <c r="H50" s="105">
        <v>15</v>
      </c>
      <c r="J50" s="18"/>
      <c r="K50" s="18"/>
    </row>
    <row r="51" spans="2:11">
      <c r="B51" s="12" t="s">
        <v>127</v>
      </c>
      <c r="C51" s="13" t="s">
        <v>119</v>
      </c>
      <c r="D51" s="103">
        <v>5000</v>
      </c>
      <c r="J51" s="18"/>
      <c r="K51" s="18"/>
    </row>
    <row r="52" spans="2:11">
      <c r="B52" s="12" t="s">
        <v>128</v>
      </c>
      <c r="C52" s="13" t="s">
        <v>119</v>
      </c>
      <c r="D52" s="103">
        <v>0</v>
      </c>
      <c r="F52" s="9" t="s">
        <v>128</v>
      </c>
      <c r="G52" s="10"/>
      <c r="H52" s="11"/>
      <c r="J52" s="18"/>
      <c r="K52" s="18"/>
    </row>
    <row r="53" spans="2:11">
      <c r="B53" s="12" t="s">
        <v>129</v>
      </c>
      <c r="C53" s="13" t="s">
        <v>119</v>
      </c>
      <c r="D53" s="103">
        <v>150000</v>
      </c>
      <c r="F53" s="12" t="s">
        <v>130</v>
      </c>
      <c r="G53" s="13" t="s">
        <v>131</v>
      </c>
      <c r="H53" s="103">
        <v>10000</v>
      </c>
      <c r="J53" s="18"/>
    </row>
    <row r="54" spans="2:11">
      <c r="B54" s="12" t="s">
        <v>132</v>
      </c>
      <c r="C54" s="13" t="s">
        <v>119</v>
      </c>
      <c r="D54" s="103">
        <v>2000</v>
      </c>
      <c r="F54" s="12" t="s">
        <v>133</v>
      </c>
      <c r="G54" s="13" t="s">
        <v>62</v>
      </c>
      <c r="H54" s="101">
        <v>0.08</v>
      </c>
      <c r="J54" s="18"/>
    </row>
    <row r="55" spans="2:11">
      <c r="B55" s="12" t="s">
        <v>134</v>
      </c>
      <c r="C55" s="13" t="s">
        <v>119</v>
      </c>
      <c r="D55" s="103">
        <v>15000</v>
      </c>
      <c r="J55" s="18"/>
    </row>
    <row r="56" spans="2:11">
      <c r="B56" s="12" t="s">
        <v>135</v>
      </c>
      <c r="C56" s="13" t="s">
        <v>119</v>
      </c>
      <c r="D56" s="103">
        <v>50000</v>
      </c>
      <c r="F56" s="9" t="s">
        <v>135</v>
      </c>
      <c r="G56" s="10"/>
      <c r="H56" s="11"/>
      <c r="J56" s="18"/>
    </row>
    <row r="57" spans="2:11">
      <c r="B57" s="12" t="s">
        <v>136</v>
      </c>
      <c r="C57" s="13" t="s">
        <v>119</v>
      </c>
      <c r="D57" s="103">
        <v>10000</v>
      </c>
      <c r="F57" s="12" t="s">
        <v>137</v>
      </c>
      <c r="G57" s="13" t="s">
        <v>122</v>
      </c>
      <c r="H57" s="106">
        <v>8</v>
      </c>
      <c r="J57" s="18"/>
    </row>
    <row r="58" spans="2:11">
      <c r="F58" s="12" t="s">
        <v>133</v>
      </c>
      <c r="G58" s="13" t="s">
        <v>62</v>
      </c>
      <c r="H58" s="101">
        <v>0.05</v>
      </c>
      <c r="J58" s="18"/>
    </row>
    <row r="59" spans="2:11">
      <c r="J59" s="18"/>
    </row>
    <row r="60" spans="2:11">
      <c r="B60" s="9" t="s">
        <v>138</v>
      </c>
      <c r="C60" s="10"/>
      <c r="D60" s="11"/>
      <c r="F60" s="9" t="s">
        <v>139</v>
      </c>
      <c r="G60" s="10"/>
      <c r="H60" s="11"/>
      <c r="J60" s="18"/>
    </row>
    <row r="61" spans="2:11">
      <c r="B61" s="12" t="s">
        <v>140</v>
      </c>
      <c r="C61" s="13" t="s">
        <v>62</v>
      </c>
      <c r="D61" s="101">
        <v>0.2</v>
      </c>
      <c r="F61" s="12" t="s">
        <v>137</v>
      </c>
      <c r="G61" s="13" t="s">
        <v>122</v>
      </c>
      <c r="H61" s="106">
        <v>5</v>
      </c>
      <c r="J61" s="18"/>
    </row>
    <row r="62" spans="2:11">
      <c r="B62" s="12" t="s">
        <v>141</v>
      </c>
      <c r="C62" s="13" t="s">
        <v>62</v>
      </c>
      <c r="D62" s="101">
        <v>0.5</v>
      </c>
      <c r="F62" s="12" t="s">
        <v>142</v>
      </c>
      <c r="G62" s="13" t="s">
        <v>62</v>
      </c>
      <c r="H62" s="101">
        <v>3.5000000000000003E-2</v>
      </c>
      <c r="J62" s="18"/>
    </row>
    <row r="63" spans="2:11">
      <c r="F63" s="12" t="s">
        <v>143</v>
      </c>
      <c r="G63" s="13" t="s">
        <v>144</v>
      </c>
      <c r="H63" s="93" t="s">
        <v>145</v>
      </c>
      <c r="J63" s="18"/>
    </row>
    <row r="64" spans="2:11">
      <c r="C64" s="5"/>
      <c r="F64" s="93">
        <f>YEAR(D10)</f>
        <v>2026</v>
      </c>
      <c r="G64" s="14"/>
      <c r="H64" s="101">
        <v>4.5999999999999999E-2</v>
      </c>
      <c r="J64" s="18"/>
    </row>
    <row r="65" spans="2:11">
      <c r="B65" s="9" t="s">
        <v>146</v>
      </c>
      <c r="C65" s="10"/>
      <c r="D65" s="11"/>
      <c r="F65" s="93">
        <f>F64+1</f>
        <v>2027</v>
      </c>
      <c r="G65" s="14"/>
      <c r="H65" s="101">
        <v>0.04</v>
      </c>
      <c r="J65" s="18"/>
    </row>
    <row r="66" spans="2:11">
      <c r="B66" s="12" t="s">
        <v>147</v>
      </c>
      <c r="C66" s="13" t="s">
        <v>148</v>
      </c>
      <c r="D66" s="107">
        <v>0.5</v>
      </c>
      <c r="F66" s="93">
        <f>F65+1</f>
        <v>2028</v>
      </c>
      <c r="G66" s="14"/>
      <c r="H66" s="101">
        <v>3.5000000000000003E-2</v>
      </c>
      <c r="J66" s="18"/>
      <c r="K66" s="18"/>
    </row>
    <row r="67" spans="2:11">
      <c r="B67" s="12" t="s">
        <v>149</v>
      </c>
      <c r="C67" s="13" t="s">
        <v>109</v>
      </c>
      <c r="D67" s="103">
        <v>92.5</v>
      </c>
      <c r="F67" s="93">
        <f>F66+1</f>
        <v>2029</v>
      </c>
      <c r="G67" s="14"/>
      <c r="H67" s="101">
        <v>3.5000000000000003E-2</v>
      </c>
      <c r="J67" s="18"/>
      <c r="K67" s="18"/>
    </row>
    <row r="68" spans="2:11">
      <c r="B68" s="12" t="s">
        <v>150</v>
      </c>
      <c r="C68" s="13" t="s">
        <v>148</v>
      </c>
      <c r="D68" s="107">
        <v>1</v>
      </c>
      <c r="F68" s="93">
        <f>F67+1</f>
        <v>2030</v>
      </c>
      <c r="G68" s="14"/>
      <c r="H68" s="101">
        <v>3.5000000000000003E-2</v>
      </c>
      <c r="J68" s="18"/>
      <c r="K68" s="18"/>
    </row>
    <row r="69" spans="2:11">
      <c r="J69" s="18"/>
      <c r="K69" s="18"/>
    </row>
    <row r="70" spans="2:11">
      <c r="J70" s="18"/>
      <c r="K70" s="18"/>
    </row>
    <row r="71" spans="2:11">
      <c r="J71" s="18"/>
      <c r="K71" s="18"/>
    </row>
    <row r="72" spans="2:11">
      <c r="J72" s="18"/>
      <c r="K72" s="18"/>
    </row>
    <row r="73" spans="2:11">
      <c r="J73" s="18"/>
      <c r="K73" s="18"/>
    </row>
    <row r="74" spans="2:11">
      <c r="J74" s="18"/>
      <c r="K74" s="18"/>
    </row>
    <row r="75" spans="2:11">
      <c r="I75" s="18"/>
      <c r="J75" s="18"/>
      <c r="K75" s="18"/>
    </row>
    <row r="76" spans="2:11">
      <c r="C76" s="5"/>
      <c r="J76" s="19"/>
      <c r="K76" s="18"/>
    </row>
    <row r="77" spans="2:11">
      <c r="C77" s="5"/>
      <c r="J77" s="19"/>
      <c r="K77" s="18"/>
    </row>
    <row r="78" spans="2:11">
      <c r="C78" s="5"/>
      <c r="J78" s="19"/>
      <c r="K78" s="18"/>
    </row>
    <row r="79" spans="2:11">
      <c r="C79" s="5"/>
      <c r="J79" s="19"/>
      <c r="K79" s="18"/>
    </row>
    <row r="80" spans="2:11">
      <c r="C80" s="5"/>
      <c r="J80" s="19"/>
      <c r="K80" s="18"/>
    </row>
    <row r="81" spans="3:15">
      <c r="C81" s="5"/>
      <c r="J81" s="19"/>
      <c r="K81" s="18"/>
    </row>
    <row r="82" spans="3:15">
      <c r="C82" s="5"/>
      <c r="J82" s="19"/>
      <c r="K82" s="18"/>
    </row>
    <row r="83" spans="3:15">
      <c r="C83" s="5"/>
      <c r="J83" s="18"/>
    </row>
    <row r="84" spans="3:15">
      <c r="C84" s="5"/>
      <c r="J84" s="18"/>
    </row>
    <row r="85" spans="3:15">
      <c r="C85" s="5"/>
      <c r="J85" s="18"/>
    </row>
    <row r="86" spans="3:15">
      <c r="C86" s="5"/>
      <c r="L86" s="108"/>
      <c r="M86" s="109"/>
      <c r="O86" s="110"/>
    </row>
    <row r="87" spans="3:15">
      <c r="C87" s="5"/>
      <c r="M87" s="109"/>
      <c r="O87" s="110"/>
    </row>
    <row r="88" spans="3:15">
      <c r="C88" s="5"/>
    </row>
    <row r="89" spans="3:15">
      <c r="C89" s="5"/>
      <c r="K89" s="18"/>
    </row>
    <row r="90" spans="3:15">
      <c r="C90" s="5"/>
    </row>
    <row r="91" spans="3:15">
      <c r="C91" s="5"/>
    </row>
    <row r="92" spans="3:15">
      <c r="C92" s="5"/>
    </row>
    <row r="93" spans="3:15">
      <c r="C93" s="5"/>
    </row>
    <row r="94" spans="3:15">
      <c r="C94" s="5"/>
      <c r="K94" s="111"/>
    </row>
    <row r="95" spans="3:15">
      <c r="C95" s="5"/>
    </row>
    <row r="96" spans="3:15">
      <c r="C96" s="5"/>
      <c r="K96" s="18"/>
    </row>
    <row r="97" spans="3:11">
      <c r="C97" s="5"/>
      <c r="K97" s="18"/>
    </row>
    <row r="98" spans="3:11">
      <c r="C98" s="5"/>
    </row>
    <row r="99" spans="3:11">
      <c r="C99" s="5"/>
    </row>
    <row r="444" spans="2:2">
      <c r="B444" s="16"/>
    </row>
    <row r="445" spans="2:2">
      <c r="B445" s="16"/>
    </row>
    <row r="446" spans="2:2">
      <c r="B446" s="16"/>
    </row>
    <row r="447" spans="2:2">
      <c r="B447" s="16"/>
    </row>
    <row r="448" spans="2:2">
      <c r="B448" s="16"/>
    </row>
    <row r="449" spans="2:2">
      <c r="B449" s="16"/>
    </row>
    <row r="450" spans="2:2">
      <c r="B450" s="16"/>
    </row>
    <row r="451" spans="2:2">
      <c r="B451" s="16"/>
    </row>
    <row r="452" spans="2:2">
      <c r="B452" s="16"/>
    </row>
    <row r="453" spans="2:2">
      <c r="B453" s="16"/>
    </row>
    <row r="454" spans="2:2">
      <c r="B454" s="16"/>
    </row>
    <row r="455" spans="2:2">
      <c r="B455" s="16"/>
    </row>
    <row r="456" spans="2:2">
      <c r="B456" s="16"/>
    </row>
    <row r="457" spans="2:2">
      <c r="B457" s="16"/>
    </row>
    <row r="458" spans="2:2">
      <c r="B458" s="16"/>
    </row>
    <row r="459" spans="2:2">
      <c r="B459" s="16"/>
    </row>
    <row r="460" spans="2:2">
      <c r="B460" s="16"/>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94360-B728-40CB-BD97-4DE5037F324A}">
  <sheetPr>
    <tabColor rgb="FF208BB7"/>
  </sheetPr>
  <dimension ref="B1:N1010"/>
  <sheetViews>
    <sheetView showGridLines="0" topLeftCell="D757" workbookViewId="0">
      <selection activeCell="W758" sqref="W758"/>
    </sheetView>
  </sheetViews>
  <sheetFormatPr defaultColWidth="9.140625" defaultRowHeight="12.75"/>
  <cols>
    <col min="1" max="1" width="3.42578125" style="116" customWidth="1"/>
    <col min="2" max="2" width="5" style="116" bestFit="1" customWidth="1"/>
    <col min="3" max="3" width="36.85546875" style="116" bestFit="1" customWidth="1"/>
    <col min="4" max="4" width="14.140625" style="115" bestFit="1" customWidth="1"/>
    <col min="5" max="5" width="12.28515625" style="116" bestFit="1" customWidth="1"/>
    <col min="6" max="6" width="12.28515625" style="116" customWidth="1"/>
    <col min="7" max="7" width="14.42578125" style="116" bestFit="1" customWidth="1"/>
    <col min="8" max="8" width="9.140625" style="116"/>
    <col min="9" max="9" width="17" style="116" bestFit="1" customWidth="1"/>
    <col min="10" max="10" width="20.140625" style="116" bestFit="1" customWidth="1"/>
    <col min="11" max="16384" width="9.140625" style="116"/>
  </cols>
  <sheetData>
    <row r="1" spans="2:14" s="5" customFormat="1">
      <c r="C1" s="14"/>
    </row>
    <row r="2" spans="2:14" s="5" customFormat="1" ht="23.25">
      <c r="B2" s="2" t="s">
        <v>48</v>
      </c>
      <c r="C2" s="3"/>
      <c r="D2" s="4"/>
      <c r="E2" s="4"/>
      <c r="F2" s="4"/>
      <c r="G2" s="4"/>
      <c r="H2" s="4"/>
      <c r="I2" s="4"/>
      <c r="J2" s="4"/>
    </row>
    <row r="3" spans="2:14" s="5" customFormat="1" ht="16.5" thickBot="1">
      <c r="B3" s="6" t="s">
        <v>151</v>
      </c>
      <c r="C3" s="7"/>
      <c r="D3" s="8"/>
      <c r="E3" s="8"/>
      <c r="F3" s="8"/>
      <c r="G3" s="8"/>
      <c r="H3" s="8"/>
      <c r="I3" s="8"/>
      <c r="J3" s="8"/>
    </row>
    <row r="4" spans="2:14" customFormat="1" ht="12">
      <c r="B4" s="112"/>
      <c r="C4" s="320"/>
      <c r="D4" s="112"/>
      <c r="E4" s="320"/>
      <c r="F4" s="320"/>
      <c r="G4" s="320"/>
      <c r="H4" s="320"/>
      <c r="I4" s="320"/>
      <c r="J4" s="320"/>
      <c r="K4" s="320"/>
      <c r="L4" s="320"/>
      <c r="M4" s="320"/>
      <c r="N4" s="320"/>
    </row>
    <row r="5" spans="2:14" customFormat="1" ht="15.75" thickBot="1">
      <c r="B5" s="113" t="s">
        <v>151</v>
      </c>
      <c r="C5" s="113"/>
      <c r="D5" s="114"/>
      <c r="E5" s="114"/>
      <c r="F5" s="114"/>
      <c r="G5" s="114"/>
      <c r="H5" s="320"/>
      <c r="I5" s="113" t="s">
        <v>152</v>
      </c>
      <c r="J5" s="113"/>
      <c r="K5" s="320"/>
      <c r="L5" s="320"/>
      <c r="M5" s="320"/>
      <c r="N5" s="320"/>
    </row>
    <row r="6" spans="2:14" ht="13.5" thickTop="1">
      <c r="B6" s="115"/>
    </row>
    <row r="7" spans="2:14">
      <c r="B7" s="117" t="s">
        <v>153</v>
      </c>
      <c r="C7" s="118" t="s">
        <v>154</v>
      </c>
      <c r="D7" s="118" t="s">
        <v>44</v>
      </c>
      <c r="E7" s="119" t="s">
        <v>155</v>
      </c>
      <c r="F7" s="119" t="s">
        <v>156</v>
      </c>
      <c r="G7" s="119" t="s">
        <v>157</v>
      </c>
      <c r="I7" s="119" t="s">
        <v>158</v>
      </c>
      <c r="J7" s="119" t="s">
        <v>159</v>
      </c>
    </row>
    <row r="8" spans="2:14">
      <c r="B8" s="115"/>
      <c r="C8" s="120" t="s">
        <v>144</v>
      </c>
      <c r="D8" s="120" t="s">
        <v>144</v>
      </c>
      <c r="E8" s="120" t="s">
        <v>160</v>
      </c>
      <c r="F8" s="120" t="s">
        <v>119</v>
      </c>
      <c r="G8" s="120" t="s">
        <v>119</v>
      </c>
      <c r="I8" s="120" t="s">
        <v>161</v>
      </c>
      <c r="J8" s="120" t="s">
        <v>119</v>
      </c>
      <c r="L8" s="121"/>
      <c r="N8" s="122"/>
    </row>
    <row r="9" spans="2:14">
      <c r="B9" s="116" cm="1">
        <f t="array" ref="B9:B1008">_xlfn.SEQUENCE(1000)</f>
        <v>1</v>
      </c>
      <c r="C9" s="124" t="s">
        <v>162</v>
      </c>
      <c r="D9" s="116" t="s">
        <v>68</v>
      </c>
      <c r="E9" s="125">
        <v>42</v>
      </c>
      <c r="F9" s="126">
        <v>64.099999999999994</v>
      </c>
      <c r="G9" s="126">
        <v>9</v>
      </c>
      <c r="I9" s="125">
        <f t="shared" ref="I9:I72" si="0">IF(F9&lt;=100,3,IF(F9&lt;=140,4,IF(F9&lt;=175,5,6)))</f>
        <v>3</v>
      </c>
      <c r="J9" s="127">
        <v>2.2242699999999997</v>
      </c>
      <c r="L9" s="121" t="str" cm="1">
        <f t="array" ref="L9:M35">_xlfn.GROUPBY(D9:D1008,E9:E1008,_xleta.COUNT)</f>
        <v>Axisbyte</v>
      </c>
      <c r="M9" s="128">
        <v>6</v>
      </c>
      <c r="N9" s="122"/>
    </row>
    <row r="10" spans="2:14">
      <c r="B10" s="116">
        <v>2</v>
      </c>
      <c r="C10" s="124" t="s">
        <v>163</v>
      </c>
      <c r="D10" s="116" t="s">
        <v>86</v>
      </c>
      <c r="E10" s="125">
        <v>72</v>
      </c>
      <c r="F10" s="126">
        <v>129.9</v>
      </c>
      <c r="G10" s="126">
        <v>21</v>
      </c>
      <c r="I10" s="125">
        <f t="shared" si="0"/>
        <v>4</v>
      </c>
      <c r="J10" s="127">
        <v>3.1565699999999999</v>
      </c>
      <c r="L10" s="116" t="str">
        <v>Bootwell</v>
      </c>
      <c r="M10" s="128">
        <v>30</v>
      </c>
    </row>
    <row r="11" spans="2:14">
      <c r="B11" s="116">
        <v>3</v>
      </c>
      <c r="C11" s="124" t="s">
        <v>164</v>
      </c>
      <c r="D11" s="116" t="s">
        <v>86</v>
      </c>
      <c r="E11" s="125">
        <v>62</v>
      </c>
      <c r="F11" s="126">
        <v>79.7</v>
      </c>
      <c r="G11" s="126">
        <v>9</v>
      </c>
      <c r="I11" s="125">
        <f t="shared" si="0"/>
        <v>3</v>
      </c>
      <c r="J11" s="127">
        <v>2.6858900000000001</v>
      </c>
      <c r="L11" s="116" t="str">
        <v>Cacheford</v>
      </c>
      <c r="M11" s="128">
        <v>5</v>
      </c>
    </row>
    <row r="12" spans="2:14">
      <c r="B12" s="116">
        <v>4</v>
      </c>
      <c r="C12" s="124" t="s">
        <v>165</v>
      </c>
      <c r="D12" s="116" t="s">
        <v>65</v>
      </c>
      <c r="E12" s="125">
        <v>47</v>
      </c>
      <c r="F12" s="126">
        <v>64.5</v>
      </c>
      <c r="G12" s="126">
        <v>10</v>
      </c>
      <c r="I12" s="125">
        <f t="shared" si="0"/>
        <v>3</v>
      </c>
      <c r="J12" s="127">
        <v>1.6512</v>
      </c>
      <c r="L12" s="116" t="str">
        <v>Datahaven</v>
      </c>
      <c r="M12" s="128">
        <v>22</v>
      </c>
    </row>
    <row r="13" spans="2:14">
      <c r="B13" s="116">
        <v>5</v>
      </c>
      <c r="C13" s="124" t="s">
        <v>166</v>
      </c>
      <c r="D13" s="116" t="s">
        <v>65</v>
      </c>
      <c r="E13" s="125">
        <v>94</v>
      </c>
      <c r="F13" s="126">
        <v>132.6</v>
      </c>
      <c r="G13" s="126">
        <v>13</v>
      </c>
      <c r="I13" s="125">
        <f t="shared" si="0"/>
        <v>4</v>
      </c>
      <c r="J13" s="127">
        <v>5.3040000000000003</v>
      </c>
      <c r="L13" s="116" t="str">
        <v>Etherport</v>
      </c>
      <c r="M13" s="128">
        <v>3</v>
      </c>
    </row>
    <row r="14" spans="2:14">
      <c r="B14" s="116">
        <v>6</v>
      </c>
      <c r="C14" s="124" t="s">
        <v>167</v>
      </c>
      <c r="D14" s="116" t="s">
        <v>84</v>
      </c>
      <c r="E14" s="125">
        <v>39</v>
      </c>
      <c r="F14" s="126">
        <v>52.2</v>
      </c>
      <c r="G14" s="126">
        <v>7</v>
      </c>
      <c r="I14" s="125">
        <f t="shared" si="0"/>
        <v>3</v>
      </c>
      <c r="J14" s="127">
        <v>1.9000800000000002</v>
      </c>
      <c r="L14" s="116" t="str">
        <v>Fiberfall</v>
      </c>
      <c r="M14" s="128">
        <v>3</v>
      </c>
    </row>
    <row r="15" spans="2:14">
      <c r="B15" s="116">
        <v>7</v>
      </c>
      <c r="C15" s="124" t="s">
        <v>168</v>
      </c>
      <c r="D15" s="116" t="s">
        <v>82</v>
      </c>
      <c r="E15" s="125">
        <v>76</v>
      </c>
      <c r="F15" s="126">
        <v>142.6</v>
      </c>
      <c r="G15" s="126">
        <v>19</v>
      </c>
      <c r="I15" s="125">
        <f t="shared" si="0"/>
        <v>5</v>
      </c>
      <c r="J15" s="127">
        <v>3.7931599999999999</v>
      </c>
      <c r="L15" s="116" t="str">
        <v>Gigatown</v>
      </c>
      <c r="M15" s="128">
        <v>65</v>
      </c>
    </row>
    <row r="16" spans="2:14">
      <c r="B16" s="116">
        <v>8</v>
      </c>
      <c r="C16" s="124" t="s">
        <v>169</v>
      </c>
      <c r="D16" s="116" t="s">
        <v>63</v>
      </c>
      <c r="E16" s="125">
        <v>55</v>
      </c>
      <c r="F16" s="126">
        <v>80.5</v>
      </c>
      <c r="G16" s="126">
        <v>10</v>
      </c>
      <c r="I16" s="125">
        <f t="shared" si="0"/>
        <v>3</v>
      </c>
      <c r="J16" s="127">
        <v>2.1654499999999999</v>
      </c>
      <c r="L16" s="116" t="str">
        <v>Hexavale</v>
      </c>
      <c r="M16" s="128">
        <v>311</v>
      </c>
    </row>
    <row r="17" spans="2:13">
      <c r="B17" s="116">
        <v>9</v>
      </c>
      <c r="C17" s="124" t="s">
        <v>170</v>
      </c>
      <c r="D17" s="116" t="s">
        <v>92</v>
      </c>
      <c r="E17" s="125">
        <v>59</v>
      </c>
      <c r="F17" s="126">
        <v>113.2</v>
      </c>
      <c r="G17" s="126">
        <v>19</v>
      </c>
      <c r="I17" s="125">
        <f t="shared" si="0"/>
        <v>4</v>
      </c>
      <c r="J17" s="127">
        <v>2.7394400000000001</v>
      </c>
      <c r="L17" s="116" t="str">
        <v>Input City</v>
      </c>
      <c r="M17" s="128">
        <v>17</v>
      </c>
    </row>
    <row r="18" spans="2:13">
      <c r="B18" s="116">
        <v>10</v>
      </c>
      <c r="C18" s="124" t="s">
        <v>171</v>
      </c>
      <c r="D18" s="116" t="s">
        <v>65</v>
      </c>
      <c r="E18" s="125">
        <v>73</v>
      </c>
      <c r="F18" s="126">
        <v>122.6</v>
      </c>
      <c r="G18" s="126">
        <v>21</v>
      </c>
      <c r="I18" s="125">
        <f t="shared" si="0"/>
        <v>4</v>
      </c>
      <c r="J18" s="127">
        <v>4.5729799999999994</v>
      </c>
      <c r="L18" s="116" t="str">
        <v>Junction Core</v>
      </c>
      <c r="M18" s="128">
        <v>8</v>
      </c>
    </row>
    <row r="19" spans="2:13">
      <c r="B19" s="116">
        <v>11</v>
      </c>
      <c r="C19" s="124" t="s">
        <v>172</v>
      </c>
      <c r="D19" s="116" t="s">
        <v>55</v>
      </c>
      <c r="E19" s="125">
        <v>95</v>
      </c>
      <c r="F19" s="126">
        <v>157.19999999999999</v>
      </c>
      <c r="G19" s="126">
        <v>19</v>
      </c>
      <c r="I19" s="125">
        <f t="shared" si="0"/>
        <v>5</v>
      </c>
      <c r="J19" s="127">
        <v>4.13436</v>
      </c>
      <c r="L19" s="116" t="str">
        <v>Kernel Heights</v>
      </c>
      <c r="M19" s="128">
        <v>3</v>
      </c>
    </row>
    <row r="20" spans="2:13">
      <c r="B20" s="116">
        <v>12</v>
      </c>
      <c r="C20" s="124" t="s">
        <v>173</v>
      </c>
      <c r="D20" s="116" t="s">
        <v>78</v>
      </c>
      <c r="E20" s="125">
        <v>68</v>
      </c>
      <c r="F20" s="126">
        <v>97.6</v>
      </c>
      <c r="G20" s="126">
        <v>14</v>
      </c>
      <c r="I20" s="125">
        <f t="shared" si="0"/>
        <v>3</v>
      </c>
      <c r="J20" s="127">
        <v>3.5428799999999998</v>
      </c>
      <c r="L20" s="116" t="str">
        <v>Logicridge</v>
      </c>
      <c r="M20" s="128">
        <v>5</v>
      </c>
    </row>
    <row r="21" spans="2:13">
      <c r="B21" s="116">
        <v>13</v>
      </c>
      <c r="C21" s="124" t="s">
        <v>174</v>
      </c>
      <c r="D21" s="116" t="s">
        <v>65</v>
      </c>
      <c r="E21" s="125">
        <v>84</v>
      </c>
      <c r="F21" s="126">
        <v>105.3</v>
      </c>
      <c r="G21" s="126">
        <v>20</v>
      </c>
      <c r="I21" s="125">
        <f t="shared" si="0"/>
        <v>4</v>
      </c>
      <c r="J21" s="127">
        <v>2.9273399999999996</v>
      </c>
      <c r="L21" s="116" t="str">
        <v>Megahub</v>
      </c>
      <c r="M21" s="128">
        <v>1</v>
      </c>
    </row>
    <row r="22" spans="2:13">
      <c r="B22" s="116">
        <v>14</v>
      </c>
      <c r="C22" s="124" t="s">
        <v>175</v>
      </c>
      <c r="D22" s="116" t="s">
        <v>76</v>
      </c>
      <c r="E22" s="125">
        <v>85</v>
      </c>
      <c r="F22" s="126">
        <v>118.1</v>
      </c>
      <c r="G22" s="126">
        <v>14</v>
      </c>
      <c r="I22" s="125">
        <f t="shared" si="0"/>
        <v>4</v>
      </c>
      <c r="J22" s="127">
        <v>4.3342700000000001</v>
      </c>
      <c r="L22" s="116" t="str">
        <v>Nodeline</v>
      </c>
      <c r="M22" s="128">
        <v>7</v>
      </c>
    </row>
    <row r="23" spans="2:13">
      <c r="B23" s="116">
        <v>15</v>
      </c>
      <c r="C23" s="124" t="s">
        <v>176</v>
      </c>
      <c r="D23" s="116" t="s">
        <v>65</v>
      </c>
      <c r="E23" s="125">
        <v>52</v>
      </c>
      <c r="F23" s="126">
        <v>91.2</v>
      </c>
      <c r="G23" s="126">
        <v>9</v>
      </c>
      <c r="I23" s="125">
        <f t="shared" si="0"/>
        <v>3</v>
      </c>
      <c r="J23" s="127">
        <v>2.84544</v>
      </c>
      <c r="L23" s="116" t="str">
        <v>Overclock Oasis</v>
      </c>
      <c r="M23" s="128">
        <v>51</v>
      </c>
    </row>
    <row r="24" spans="2:13">
      <c r="B24" s="116">
        <v>16</v>
      </c>
      <c r="C24" s="124" t="s">
        <v>177</v>
      </c>
      <c r="D24" s="116" t="s">
        <v>29</v>
      </c>
      <c r="E24" s="125">
        <v>94</v>
      </c>
      <c r="F24" s="126">
        <v>140.5</v>
      </c>
      <c r="G24" s="126">
        <v>24</v>
      </c>
      <c r="I24" s="125">
        <f t="shared" si="0"/>
        <v>5</v>
      </c>
      <c r="J24" s="127">
        <v>2.81</v>
      </c>
      <c r="L24" s="116" t="str">
        <v>Pingborough</v>
      </c>
      <c r="M24" s="128">
        <v>3</v>
      </c>
    </row>
    <row r="25" spans="2:13">
      <c r="B25" s="116">
        <v>17</v>
      </c>
      <c r="C25" s="124" t="s">
        <v>178</v>
      </c>
      <c r="D25" s="116" t="s">
        <v>55</v>
      </c>
      <c r="E25" s="125">
        <v>39</v>
      </c>
      <c r="F25" s="126">
        <v>54.9</v>
      </c>
      <c r="G25" s="126">
        <v>6</v>
      </c>
      <c r="I25" s="125">
        <f t="shared" si="0"/>
        <v>3</v>
      </c>
      <c r="J25" s="127">
        <v>1.7458200000000001</v>
      </c>
      <c r="L25" s="116" t="str">
        <v>Quantum Quay</v>
      </c>
      <c r="M25" s="128">
        <v>8</v>
      </c>
    </row>
    <row r="26" spans="2:13">
      <c r="B26" s="116">
        <v>18</v>
      </c>
      <c r="C26" s="124" t="s">
        <v>179</v>
      </c>
      <c r="D26" s="116" t="s">
        <v>92</v>
      </c>
      <c r="E26" s="125">
        <v>49</v>
      </c>
      <c r="F26" s="126">
        <v>52.4</v>
      </c>
      <c r="G26" s="126">
        <v>6</v>
      </c>
      <c r="I26" s="125">
        <f t="shared" si="0"/>
        <v>3</v>
      </c>
      <c r="J26" s="127">
        <v>1.21044</v>
      </c>
      <c r="L26" s="116" t="str">
        <v>Renderburg</v>
      </c>
      <c r="M26" s="128">
        <v>187</v>
      </c>
    </row>
    <row r="27" spans="2:13">
      <c r="B27" s="116">
        <v>19</v>
      </c>
      <c r="C27" s="124" t="s">
        <v>180</v>
      </c>
      <c r="D27" s="116" t="s">
        <v>88</v>
      </c>
      <c r="E27" s="125">
        <v>92</v>
      </c>
      <c r="F27" s="126">
        <v>127.1</v>
      </c>
      <c r="G27" s="126">
        <v>23</v>
      </c>
      <c r="I27" s="125">
        <f t="shared" si="0"/>
        <v>4</v>
      </c>
      <c r="J27" s="127">
        <v>3.9400999999999997</v>
      </c>
      <c r="L27" s="116" t="str">
        <v>Socket Springs</v>
      </c>
      <c r="M27" s="128">
        <v>168</v>
      </c>
    </row>
    <row r="28" spans="2:13">
      <c r="B28" s="116">
        <v>20</v>
      </c>
      <c r="C28" s="124" t="s">
        <v>181</v>
      </c>
      <c r="D28" s="116" t="s">
        <v>74</v>
      </c>
      <c r="E28" s="125">
        <v>97</v>
      </c>
      <c r="F28" s="126">
        <v>100.8</v>
      </c>
      <c r="G28" s="126">
        <v>11</v>
      </c>
      <c r="I28" s="125">
        <f t="shared" si="0"/>
        <v>4</v>
      </c>
      <c r="J28" s="127">
        <v>3.0844799999999997</v>
      </c>
      <c r="L28" s="116" t="str">
        <v>TerraTask</v>
      </c>
      <c r="M28" s="128">
        <v>55</v>
      </c>
    </row>
    <row r="29" spans="2:13">
      <c r="B29" s="116">
        <v>21</v>
      </c>
      <c r="C29" s="124" t="s">
        <v>182</v>
      </c>
      <c r="D29" s="116" t="s">
        <v>55</v>
      </c>
      <c r="E29" s="125">
        <v>71</v>
      </c>
      <c r="F29" s="126">
        <v>138.6</v>
      </c>
      <c r="G29" s="126">
        <v>17</v>
      </c>
      <c r="I29" s="125">
        <f t="shared" si="0"/>
        <v>4</v>
      </c>
      <c r="J29" s="127">
        <v>4.9064399999999999</v>
      </c>
      <c r="L29" s="116" t="str">
        <v>Uploadia</v>
      </c>
      <c r="M29" s="128">
        <v>1</v>
      </c>
    </row>
    <row r="30" spans="2:13">
      <c r="B30" s="116">
        <v>22</v>
      </c>
      <c r="C30" s="124" t="s">
        <v>183</v>
      </c>
      <c r="D30" s="116" t="s">
        <v>65</v>
      </c>
      <c r="E30" s="125">
        <v>41</v>
      </c>
      <c r="F30" s="126">
        <v>65.400000000000006</v>
      </c>
      <c r="G30" s="126">
        <v>10</v>
      </c>
      <c r="I30" s="125">
        <f t="shared" si="0"/>
        <v>3</v>
      </c>
      <c r="J30" s="127">
        <v>2.2366800000000002</v>
      </c>
      <c r="L30" s="116" t="str">
        <v>Vector Valley</v>
      </c>
      <c r="M30" s="128">
        <v>26</v>
      </c>
    </row>
    <row r="31" spans="2:13">
      <c r="B31" s="116">
        <v>23</v>
      </c>
      <c r="C31" s="124" t="s">
        <v>184</v>
      </c>
      <c r="D31" s="116" t="s">
        <v>86</v>
      </c>
      <c r="E31" s="125">
        <v>58</v>
      </c>
      <c r="F31" s="126">
        <v>105.2</v>
      </c>
      <c r="G31" s="126">
        <v>13</v>
      </c>
      <c r="I31" s="125">
        <f t="shared" si="0"/>
        <v>4</v>
      </c>
      <c r="J31" s="127">
        <v>3.7240800000000003</v>
      </c>
      <c r="L31" s="116" t="str">
        <v>Wiredown</v>
      </c>
      <c r="M31" s="128">
        <v>7</v>
      </c>
    </row>
    <row r="32" spans="2:13">
      <c r="B32" s="116">
        <v>24</v>
      </c>
      <c r="C32" s="124" t="s">
        <v>185</v>
      </c>
      <c r="D32" s="116" t="s">
        <v>63</v>
      </c>
      <c r="E32" s="125">
        <v>59</v>
      </c>
      <c r="F32" s="126">
        <v>89.7</v>
      </c>
      <c r="G32" s="126">
        <v>17</v>
      </c>
      <c r="I32" s="125">
        <f t="shared" si="0"/>
        <v>3</v>
      </c>
      <c r="J32" s="127">
        <v>2.8883399999999999</v>
      </c>
      <c r="L32" s="116" t="str">
        <v>Xenocode City</v>
      </c>
      <c r="M32" s="128">
        <v>4</v>
      </c>
    </row>
    <row r="33" spans="2:13">
      <c r="B33" s="116">
        <v>25</v>
      </c>
      <c r="C33" s="124" t="s">
        <v>186</v>
      </c>
      <c r="D33" s="116" t="s">
        <v>65</v>
      </c>
      <c r="E33" s="125">
        <v>41</v>
      </c>
      <c r="F33" s="126">
        <v>69.599999999999994</v>
      </c>
      <c r="G33" s="126">
        <v>13</v>
      </c>
      <c r="I33" s="125">
        <f t="shared" si="0"/>
        <v>3</v>
      </c>
      <c r="J33" s="127">
        <v>1.65648</v>
      </c>
      <c r="L33" s="116" t="str">
        <v>Yieldville</v>
      </c>
      <c r="M33" s="128">
        <v>3</v>
      </c>
    </row>
    <row r="34" spans="2:13">
      <c r="B34" s="116">
        <v>26</v>
      </c>
      <c r="C34" s="124" t="s">
        <v>187</v>
      </c>
      <c r="D34" s="116" t="s">
        <v>65</v>
      </c>
      <c r="E34" s="125">
        <v>55</v>
      </c>
      <c r="F34" s="126">
        <v>80.7</v>
      </c>
      <c r="G34" s="126">
        <v>12</v>
      </c>
      <c r="I34" s="125">
        <f t="shared" si="0"/>
        <v>3</v>
      </c>
      <c r="J34" s="127">
        <v>2.0981999999999998</v>
      </c>
      <c r="L34" s="116" t="str">
        <v>ZeroDay Zone</v>
      </c>
      <c r="M34" s="128">
        <v>1</v>
      </c>
    </row>
    <row r="35" spans="2:13">
      <c r="B35" s="116">
        <v>27</v>
      </c>
      <c r="C35" s="124" t="s">
        <v>188</v>
      </c>
      <c r="D35" s="116" t="s">
        <v>55</v>
      </c>
      <c r="E35" s="125">
        <v>39</v>
      </c>
      <c r="F35" s="126">
        <v>65.599999999999994</v>
      </c>
      <c r="G35" s="126">
        <v>8</v>
      </c>
      <c r="I35" s="125">
        <f t="shared" si="0"/>
        <v>3</v>
      </c>
      <c r="J35" s="127">
        <v>1.8236799999999997</v>
      </c>
      <c r="L35" s="116" t="str">
        <v>Total</v>
      </c>
      <c r="M35" s="128">
        <v>1000</v>
      </c>
    </row>
    <row r="36" spans="2:13">
      <c r="B36" s="116">
        <v>28</v>
      </c>
      <c r="C36" s="124" t="s">
        <v>189</v>
      </c>
      <c r="D36" s="116" t="s">
        <v>65</v>
      </c>
      <c r="E36" s="125">
        <v>59</v>
      </c>
      <c r="F36" s="126">
        <v>67.400000000000006</v>
      </c>
      <c r="G36" s="126">
        <v>10</v>
      </c>
      <c r="I36" s="125">
        <f t="shared" si="0"/>
        <v>3</v>
      </c>
      <c r="J36" s="127">
        <v>1.5367200000000001</v>
      </c>
      <c r="M36" s="128"/>
    </row>
    <row r="37" spans="2:13">
      <c r="B37" s="116">
        <v>29</v>
      </c>
      <c r="C37" s="124" t="s">
        <v>190</v>
      </c>
      <c r="D37" s="116" t="s">
        <v>88</v>
      </c>
      <c r="E37" s="125">
        <v>85</v>
      </c>
      <c r="F37" s="126">
        <v>101</v>
      </c>
      <c r="G37" s="126">
        <v>11</v>
      </c>
      <c r="I37" s="125">
        <f t="shared" si="0"/>
        <v>4</v>
      </c>
      <c r="J37" s="127">
        <v>3.9491000000000005</v>
      </c>
      <c r="M37" s="128"/>
    </row>
    <row r="38" spans="2:13">
      <c r="B38" s="116">
        <v>30</v>
      </c>
      <c r="C38" s="124" t="s">
        <v>191</v>
      </c>
      <c r="D38" s="116" t="s">
        <v>86</v>
      </c>
      <c r="E38" s="125">
        <v>90</v>
      </c>
      <c r="F38" s="126">
        <v>130.4</v>
      </c>
      <c r="G38" s="126">
        <v>14</v>
      </c>
      <c r="I38" s="125">
        <f t="shared" si="0"/>
        <v>4</v>
      </c>
      <c r="J38" s="127">
        <v>5.0986400000000005</v>
      </c>
      <c r="M38" s="128"/>
    </row>
    <row r="39" spans="2:13">
      <c r="B39" s="116">
        <v>31</v>
      </c>
      <c r="C39" s="124" t="s">
        <v>192</v>
      </c>
      <c r="D39" s="116" t="s">
        <v>86</v>
      </c>
      <c r="E39" s="125">
        <v>89</v>
      </c>
      <c r="F39" s="126">
        <v>155.69999999999999</v>
      </c>
      <c r="G39" s="126">
        <v>25</v>
      </c>
      <c r="I39" s="125">
        <f t="shared" si="0"/>
        <v>5</v>
      </c>
      <c r="J39" s="127">
        <v>5.24709</v>
      </c>
      <c r="M39" s="128"/>
    </row>
    <row r="40" spans="2:13">
      <c r="B40" s="116">
        <v>32</v>
      </c>
      <c r="C40" s="124" t="s">
        <v>193</v>
      </c>
      <c r="D40" s="116" t="s">
        <v>65</v>
      </c>
      <c r="E40" s="125">
        <v>59</v>
      </c>
      <c r="F40" s="126">
        <v>109.3</v>
      </c>
      <c r="G40" s="126">
        <v>19</v>
      </c>
      <c r="I40" s="125">
        <f t="shared" si="0"/>
        <v>4</v>
      </c>
      <c r="J40" s="127">
        <v>3.10412</v>
      </c>
      <c r="M40" s="128"/>
    </row>
    <row r="41" spans="2:13">
      <c r="B41" s="116">
        <v>33</v>
      </c>
      <c r="C41" s="124" t="s">
        <v>194</v>
      </c>
      <c r="D41" s="116" t="s">
        <v>63</v>
      </c>
      <c r="E41" s="125">
        <v>47</v>
      </c>
      <c r="F41" s="126">
        <v>50.1</v>
      </c>
      <c r="G41" s="126">
        <v>6</v>
      </c>
      <c r="I41" s="125">
        <f t="shared" si="0"/>
        <v>3</v>
      </c>
      <c r="J41" s="127">
        <v>1.86873</v>
      </c>
      <c r="M41" s="128"/>
    </row>
    <row r="42" spans="2:13">
      <c r="B42" s="116">
        <v>34</v>
      </c>
      <c r="C42" s="124" t="s">
        <v>195</v>
      </c>
      <c r="D42" s="116" t="s">
        <v>65</v>
      </c>
      <c r="E42" s="125">
        <v>58</v>
      </c>
      <c r="F42" s="126">
        <v>97.7</v>
      </c>
      <c r="G42" s="126">
        <v>12</v>
      </c>
      <c r="I42" s="125">
        <f t="shared" si="0"/>
        <v>3</v>
      </c>
      <c r="J42" s="127">
        <v>2.4034200000000001</v>
      </c>
      <c r="M42" s="128"/>
    </row>
    <row r="43" spans="2:13">
      <c r="B43" s="116">
        <v>35</v>
      </c>
      <c r="C43" s="124" t="s">
        <v>196</v>
      </c>
      <c r="D43" s="116" t="s">
        <v>65</v>
      </c>
      <c r="E43" s="125">
        <v>41</v>
      </c>
      <c r="F43" s="126">
        <v>62.3</v>
      </c>
      <c r="G43" s="126">
        <v>9</v>
      </c>
      <c r="I43" s="125">
        <f t="shared" si="0"/>
        <v>3</v>
      </c>
      <c r="J43" s="127">
        <v>2.3300200000000002</v>
      </c>
      <c r="M43" s="128"/>
    </row>
    <row r="44" spans="2:13">
      <c r="B44" s="116">
        <v>36</v>
      </c>
      <c r="C44" s="124" t="s">
        <v>197</v>
      </c>
      <c r="D44" s="116" t="s">
        <v>65</v>
      </c>
      <c r="E44" s="125">
        <v>67</v>
      </c>
      <c r="F44" s="126">
        <v>127.5</v>
      </c>
      <c r="G44" s="126">
        <v>26</v>
      </c>
      <c r="I44" s="125">
        <f t="shared" si="0"/>
        <v>4</v>
      </c>
      <c r="J44" s="127">
        <v>2.6647499999999997</v>
      </c>
      <c r="M44" s="128"/>
    </row>
    <row r="45" spans="2:13">
      <c r="B45" s="116">
        <v>37</v>
      </c>
      <c r="C45" s="124" t="s">
        <v>198</v>
      </c>
      <c r="D45" s="116" t="s">
        <v>78</v>
      </c>
      <c r="E45" s="125">
        <v>46</v>
      </c>
      <c r="F45" s="126">
        <v>59.2</v>
      </c>
      <c r="G45" s="126">
        <v>6</v>
      </c>
      <c r="I45" s="125">
        <f t="shared" si="0"/>
        <v>3</v>
      </c>
      <c r="J45" s="127">
        <v>1.26688</v>
      </c>
      <c r="M45" s="128"/>
    </row>
    <row r="46" spans="2:13">
      <c r="B46" s="116">
        <v>38</v>
      </c>
      <c r="C46" s="124" t="s">
        <v>199</v>
      </c>
      <c r="D46" s="116" t="s">
        <v>65</v>
      </c>
      <c r="E46" s="125">
        <v>43</v>
      </c>
      <c r="F46" s="126">
        <v>83.6</v>
      </c>
      <c r="G46" s="126">
        <v>10</v>
      </c>
      <c r="I46" s="125">
        <f t="shared" si="0"/>
        <v>3</v>
      </c>
      <c r="J46" s="127">
        <v>2.7170000000000001</v>
      </c>
      <c r="M46" s="128"/>
    </row>
    <row r="47" spans="2:13">
      <c r="B47" s="116">
        <v>39</v>
      </c>
      <c r="C47" s="124" t="s">
        <v>200</v>
      </c>
      <c r="D47" s="116" t="s">
        <v>86</v>
      </c>
      <c r="E47" s="125">
        <v>69</v>
      </c>
      <c r="F47" s="126">
        <v>72.099999999999994</v>
      </c>
      <c r="G47" s="126">
        <v>9</v>
      </c>
      <c r="I47" s="125">
        <f t="shared" si="0"/>
        <v>3</v>
      </c>
      <c r="J47" s="127">
        <v>2.01159</v>
      </c>
      <c r="M47" s="128"/>
    </row>
    <row r="48" spans="2:13">
      <c r="B48" s="116">
        <v>40</v>
      </c>
      <c r="C48" s="124" t="s">
        <v>201</v>
      </c>
      <c r="D48" s="116" t="s">
        <v>65</v>
      </c>
      <c r="E48" s="125">
        <v>63</v>
      </c>
      <c r="F48" s="126">
        <v>117.5</v>
      </c>
      <c r="G48" s="126">
        <v>19</v>
      </c>
      <c r="I48" s="125">
        <f t="shared" si="0"/>
        <v>4</v>
      </c>
      <c r="J48" s="127">
        <v>2.4322499999999998</v>
      </c>
      <c r="M48" s="128"/>
    </row>
    <row r="49" spans="2:13">
      <c r="B49" s="116">
        <v>41</v>
      </c>
      <c r="C49" s="124" t="s">
        <v>202</v>
      </c>
      <c r="D49" s="116" t="s">
        <v>65</v>
      </c>
      <c r="E49" s="125">
        <v>60</v>
      </c>
      <c r="F49" s="126">
        <v>116.1</v>
      </c>
      <c r="G49" s="126">
        <v>21</v>
      </c>
      <c r="I49" s="125">
        <f t="shared" si="0"/>
        <v>4</v>
      </c>
      <c r="J49" s="127">
        <v>3.0185999999999997</v>
      </c>
      <c r="M49" s="128"/>
    </row>
    <row r="50" spans="2:13">
      <c r="B50" s="116">
        <v>42</v>
      </c>
      <c r="C50" s="124" t="s">
        <v>203</v>
      </c>
      <c r="D50" s="116" t="s">
        <v>63</v>
      </c>
      <c r="E50" s="125">
        <v>60</v>
      </c>
      <c r="F50" s="126">
        <v>77.3</v>
      </c>
      <c r="G50" s="126">
        <v>9</v>
      </c>
      <c r="I50" s="125">
        <f t="shared" si="0"/>
        <v>3</v>
      </c>
      <c r="J50" s="127">
        <v>2.6359299999999997</v>
      </c>
      <c r="M50" s="128"/>
    </row>
    <row r="51" spans="2:13">
      <c r="B51" s="116">
        <v>43</v>
      </c>
      <c r="C51" s="124" t="s">
        <v>204</v>
      </c>
      <c r="D51" s="116" t="s">
        <v>65</v>
      </c>
      <c r="E51" s="125">
        <v>45</v>
      </c>
      <c r="F51" s="126">
        <v>45.6</v>
      </c>
      <c r="G51" s="126">
        <v>9</v>
      </c>
      <c r="I51" s="125">
        <f t="shared" si="0"/>
        <v>3</v>
      </c>
      <c r="J51" s="127">
        <v>1.14456</v>
      </c>
      <c r="M51" s="128"/>
    </row>
    <row r="52" spans="2:13">
      <c r="B52" s="116">
        <v>44</v>
      </c>
      <c r="C52" s="124" t="s">
        <v>205</v>
      </c>
      <c r="D52" s="116" t="s">
        <v>84</v>
      </c>
      <c r="E52" s="125">
        <v>70</v>
      </c>
      <c r="F52" s="126">
        <v>128.4</v>
      </c>
      <c r="G52" s="126">
        <v>19</v>
      </c>
      <c r="I52" s="125">
        <f t="shared" si="0"/>
        <v>4</v>
      </c>
      <c r="J52" s="127">
        <v>3.7492800000000002</v>
      </c>
      <c r="M52" s="128"/>
    </row>
    <row r="53" spans="2:13">
      <c r="B53" s="116">
        <v>45</v>
      </c>
      <c r="C53" s="124" t="s">
        <v>206</v>
      </c>
      <c r="D53" s="116" t="s">
        <v>65</v>
      </c>
      <c r="E53" s="125">
        <v>45</v>
      </c>
      <c r="F53" s="126">
        <v>74.400000000000006</v>
      </c>
      <c r="G53" s="126">
        <v>7</v>
      </c>
      <c r="I53" s="125">
        <f t="shared" si="0"/>
        <v>3</v>
      </c>
      <c r="J53" s="127">
        <v>2.7081600000000003</v>
      </c>
      <c r="M53" s="128"/>
    </row>
    <row r="54" spans="2:13">
      <c r="B54" s="116">
        <v>46</v>
      </c>
      <c r="C54" s="124" t="s">
        <v>207</v>
      </c>
      <c r="D54" s="116" t="s">
        <v>65</v>
      </c>
      <c r="E54" s="125">
        <v>55</v>
      </c>
      <c r="F54" s="126">
        <v>70.099999999999994</v>
      </c>
      <c r="G54" s="126">
        <v>11</v>
      </c>
      <c r="I54" s="125">
        <f t="shared" si="0"/>
        <v>3</v>
      </c>
      <c r="J54" s="127">
        <v>1.5211699999999999</v>
      </c>
      <c r="M54" s="128"/>
    </row>
    <row r="55" spans="2:13">
      <c r="B55" s="116">
        <v>47</v>
      </c>
      <c r="C55" s="124" t="s">
        <v>208</v>
      </c>
      <c r="D55" s="116" t="s">
        <v>88</v>
      </c>
      <c r="E55" s="125">
        <v>83</v>
      </c>
      <c r="F55" s="126">
        <v>103.4</v>
      </c>
      <c r="G55" s="126">
        <v>11</v>
      </c>
      <c r="I55" s="125">
        <f t="shared" si="0"/>
        <v>4</v>
      </c>
      <c r="J55" s="127">
        <v>3.1330200000000001</v>
      </c>
      <c r="M55" s="128"/>
    </row>
    <row r="56" spans="2:13">
      <c r="B56" s="116">
        <v>48</v>
      </c>
      <c r="C56" s="124" t="s">
        <v>209</v>
      </c>
      <c r="D56" s="116" t="s">
        <v>65</v>
      </c>
      <c r="E56" s="125">
        <v>98</v>
      </c>
      <c r="F56" s="126">
        <v>154.19999999999999</v>
      </c>
      <c r="G56" s="126">
        <v>25</v>
      </c>
      <c r="I56" s="125">
        <f t="shared" si="0"/>
        <v>5</v>
      </c>
      <c r="J56" s="127">
        <v>4.8881399999999999</v>
      </c>
      <c r="M56" s="128"/>
    </row>
    <row r="57" spans="2:13">
      <c r="B57" s="116">
        <v>49</v>
      </c>
      <c r="C57" s="124" t="s">
        <v>210</v>
      </c>
      <c r="D57" s="116" t="s">
        <v>63</v>
      </c>
      <c r="E57" s="125">
        <v>48</v>
      </c>
      <c r="F57" s="126">
        <v>51</v>
      </c>
      <c r="G57" s="126">
        <v>9</v>
      </c>
      <c r="I57" s="125">
        <f t="shared" si="0"/>
        <v>3</v>
      </c>
      <c r="J57" s="127">
        <v>1.53</v>
      </c>
      <c r="M57" s="128"/>
    </row>
    <row r="58" spans="2:13">
      <c r="B58" s="116">
        <v>50</v>
      </c>
      <c r="C58" s="124" t="s">
        <v>211</v>
      </c>
      <c r="D58" s="116" t="s">
        <v>63</v>
      </c>
      <c r="E58" s="125">
        <v>50</v>
      </c>
      <c r="F58" s="126">
        <v>53.5</v>
      </c>
      <c r="G58" s="126">
        <v>8</v>
      </c>
      <c r="I58" s="125">
        <f t="shared" si="0"/>
        <v>3</v>
      </c>
      <c r="J58" s="127">
        <v>2.1132499999999999</v>
      </c>
      <c r="M58" s="128"/>
    </row>
    <row r="59" spans="2:13">
      <c r="B59" s="116">
        <v>51</v>
      </c>
      <c r="C59" s="124" t="s">
        <v>212</v>
      </c>
      <c r="D59" s="116" t="s">
        <v>84</v>
      </c>
      <c r="E59" s="125">
        <v>49</v>
      </c>
      <c r="F59" s="126">
        <v>49.6</v>
      </c>
      <c r="G59" s="126">
        <v>6</v>
      </c>
      <c r="I59" s="125">
        <f t="shared" si="0"/>
        <v>3</v>
      </c>
      <c r="J59" s="127">
        <v>1.5276800000000001</v>
      </c>
      <c r="M59" s="128"/>
    </row>
    <row r="60" spans="2:13">
      <c r="B60" s="116">
        <v>52</v>
      </c>
      <c r="C60" s="124" t="s">
        <v>213</v>
      </c>
      <c r="D60" s="116" t="s">
        <v>76</v>
      </c>
      <c r="E60" s="125">
        <v>58</v>
      </c>
      <c r="F60" s="126">
        <v>112.3</v>
      </c>
      <c r="G60" s="126">
        <v>17</v>
      </c>
      <c r="I60" s="125">
        <f t="shared" si="0"/>
        <v>4</v>
      </c>
      <c r="J60" s="127">
        <v>4.22248</v>
      </c>
      <c r="M60" s="128"/>
    </row>
    <row r="61" spans="2:13">
      <c r="B61" s="116">
        <v>53</v>
      </c>
      <c r="C61" s="124" t="s">
        <v>214</v>
      </c>
      <c r="D61" s="116" t="s">
        <v>65</v>
      </c>
      <c r="E61" s="125">
        <v>56</v>
      </c>
      <c r="F61" s="126">
        <v>93.8</v>
      </c>
      <c r="G61" s="126">
        <v>17</v>
      </c>
      <c r="I61" s="125">
        <f t="shared" si="0"/>
        <v>3</v>
      </c>
      <c r="J61" s="127">
        <v>3.2361</v>
      </c>
      <c r="M61" s="128"/>
    </row>
    <row r="62" spans="2:13">
      <c r="B62" s="116">
        <v>54</v>
      </c>
      <c r="C62" s="124" t="s">
        <v>215</v>
      </c>
      <c r="D62" s="116" t="s">
        <v>65</v>
      </c>
      <c r="E62" s="125">
        <v>55</v>
      </c>
      <c r="F62" s="126">
        <v>56.4</v>
      </c>
      <c r="G62" s="126">
        <v>10</v>
      </c>
      <c r="I62" s="125">
        <f t="shared" si="0"/>
        <v>3</v>
      </c>
      <c r="J62" s="127">
        <v>1.2125999999999999</v>
      </c>
      <c r="M62" s="128"/>
    </row>
    <row r="63" spans="2:13">
      <c r="B63" s="116">
        <v>55</v>
      </c>
      <c r="C63" s="124" t="s">
        <v>216</v>
      </c>
      <c r="D63" s="116" t="s">
        <v>84</v>
      </c>
      <c r="E63" s="125">
        <v>35</v>
      </c>
      <c r="F63" s="126">
        <v>52.1</v>
      </c>
      <c r="G63" s="126">
        <v>9</v>
      </c>
      <c r="I63" s="125">
        <f t="shared" si="0"/>
        <v>3</v>
      </c>
      <c r="J63" s="127">
        <v>1.63073</v>
      </c>
      <c r="M63" s="128"/>
    </row>
    <row r="64" spans="2:13">
      <c r="B64" s="116">
        <v>56</v>
      </c>
      <c r="C64" s="124" t="s">
        <v>217</v>
      </c>
      <c r="D64" s="116" t="s">
        <v>86</v>
      </c>
      <c r="E64" s="125">
        <v>42</v>
      </c>
      <c r="F64" s="126">
        <v>48</v>
      </c>
      <c r="G64" s="126">
        <v>8</v>
      </c>
      <c r="I64" s="125">
        <f t="shared" si="0"/>
        <v>3</v>
      </c>
      <c r="J64" s="127">
        <v>1.6368</v>
      </c>
      <c r="M64" s="128"/>
    </row>
    <row r="65" spans="2:13">
      <c r="B65" s="116">
        <v>57</v>
      </c>
      <c r="C65" s="124" t="s">
        <v>218</v>
      </c>
      <c r="D65" s="116" t="s">
        <v>65</v>
      </c>
      <c r="E65" s="125">
        <v>87</v>
      </c>
      <c r="F65" s="126">
        <v>127.5</v>
      </c>
      <c r="G65" s="126">
        <v>14</v>
      </c>
      <c r="I65" s="125">
        <f t="shared" si="0"/>
        <v>4</v>
      </c>
      <c r="J65" s="127">
        <v>3.3914999999999997</v>
      </c>
      <c r="M65" s="128"/>
    </row>
    <row r="66" spans="2:13">
      <c r="B66" s="116">
        <v>58</v>
      </c>
      <c r="C66" s="124" t="s">
        <v>219</v>
      </c>
      <c r="D66" s="116" t="s">
        <v>63</v>
      </c>
      <c r="E66" s="125">
        <v>45</v>
      </c>
      <c r="F66" s="126">
        <v>70.400000000000006</v>
      </c>
      <c r="G66" s="126">
        <v>7</v>
      </c>
      <c r="I66" s="125">
        <f t="shared" si="0"/>
        <v>3</v>
      </c>
      <c r="J66" s="127">
        <v>1.8867200000000002</v>
      </c>
      <c r="M66" s="128"/>
    </row>
    <row r="67" spans="2:13">
      <c r="B67" s="116">
        <v>59</v>
      </c>
      <c r="C67" s="124" t="s">
        <v>220</v>
      </c>
      <c r="D67" s="116" t="s">
        <v>88</v>
      </c>
      <c r="E67" s="125">
        <v>44</v>
      </c>
      <c r="F67" s="126">
        <v>86.6</v>
      </c>
      <c r="G67" s="126">
        <v>16</v>
      </c>
      <c r="I67" s="125">
        <f t="shared" si="0"/>
        <v>3</v>
      </c>
      <c r="J67" s="127">
        <v>3.10894</v>
      </c>
      <c r="M67" s="128"/>
    </row>
    <row r="68" spans="2:13">
      <c r="B68" s="116">
        <v>60</v>
      </c>
      <c r="C68" s="124" t="s">
        <v>221</v>
      </c>
      <c r="D68" s="116" t="s">
        <v>84</v>
      </c>
      <c r="E68" s="125">
        <v>43</v>
      </c>
      <c r="F68" s="126">
        <v>85.1</v>
      </c>
      <c r="G68" s="126">
        <v>9</v>
      </c>
      <c r="I68" s="125">
        <f t="shared" si="0"/>
        <v>3</v>
      </c>
      <c r="J68" s="127">
        <v>2.9784999999999999</v>
      </c>
      <c r="M68" s="128"/>
    </row>
    <row r="69" spans="2:13">
      <c r="B69" s="116">
        <v>61</v>
      </c>
      <c r="C69" s="124" t="s">
        <v>222</v>
      </c>
      <c r="D69" s="116" t="s">
        <v>88</v>
      </c>
      <c r="E69" s="125">
        <v>64</v>
      </c>
      <c r="F69" s="126">
        <v>108.8</v>
      </c>
      <c r="G69" s="126">
        <v>14</v>
      </c>
      <c r="I69" s="125">
        <f t="shared" si="0"/>
        <v>4</v>
      </c>
      <c r="J69" s="127">
        <v>2.8940799999999998</v>
      </c>
      <c r="M69" s="128"/>
    </row>
    <row r="70" spans="2:13">
      <c r="B70" s="116">
        <v>62</v>
      </c>
      <c r="C70" s="124" t="s">
        <v>223</v>
      </c>
      <c r="D70" s="116" t="s">
        <v>82</v>
      </c>
      <c r="E70" s="125">
        <v>53</v>
      </c>
      <c r="F70" s="126">
        <v>72.099999999999994</v>
      </c>
      <c r="G70" s="126">
        <v>12</v>
      </c>
      <c r="I70" s="125">
        <f t="shared" si="0"/>
        <v>3</v>
      </c>
      <c r="J70" s="127">
        <v>1.5068899999999998</v>
      </c>
      <c r="M70" s="128"/>
    </row>
    <row r="71" spans="2:13">
      <c r="B71" s="116">
        <v>63</v>
      </c>
      <c r="C71" s="124" t="s">
        <v>224</v>
      </c>
      <c r="D71" s="116" t="s">
        <v>65</v>
      </c>
      <c r="E71" s="125">
        <v>52</v>
      </c>
      <c r="F71" s="126">
        <v>58</v>
      </c>
      <c r="G71" s="126">
        <v>9</v>
      </c>
      <c r="I71" s="125">
        <f t="shared" si="0"/>
        <v>3</v>
      </c>
      <c r="J71" s="127">
        <v>2.3199999999999998</v>
      </c>
      <c r="M71" s="128"/>
    </row>
    <row r="72" spans="2:13">
      <c r="B72" s="116">
        <v>64</v>
      </c>
      <c r="C72" s="124" t="s">
        <v>225</v>
      </c>
      <c r="D72" s="116" t="s">
        <v>65</v>
      </c>
      <c r="E72" s="125">
        <v>53</v>
      </c>
      <c r="F72" s="126">
        <v>94.3</v>
      </c>
      <c r="G72" s="126">
        <v>9</v>
      </c>
      <c r="I72" s="125">
        <f t="shared" si="0"/>
        <v>3</v>
      </c>
      <c r="J72" s="127">
        <v>3.5268200000000003</v>
      </c>
      <c r="M72" s="128"/>
    </row>
    <row r="73" spans="2:13">
      <c r="B73" s="116">
        <v>65</v>
      </c>
      <c r="C73" s="124" t="s">
        <v>226</v>
      </c>
      <c r="D73" s="116" t="s">
        <v>84</v>
      </c>
      <c r="E73" s="125">
        <v>69</v>
      </c>
      <c r="F73" s="126">
        <v>125.8</v>
      </c>
      <c r="G73" s="126">
        <v>23</v>
      </c>
      <c r="I73" s="125">
        <f t="shared" ref="I73:I136" si="1">IF(F73&lt;=100,3,IF(F73&lt;=140,4,IF(F73&lt;=175,5,6)))</f>
        <v>4</v>
      </c>
      <c r="J73" s="127">
        <v>4.2394600000000002</v>
      </c>
      <c r="M73" s="128"/>
    </row>
    <row r="74" spans="2:13">
      <c r="B74" s="116">
        <v>66</v>
      </c>
      <c r="C74" s="124" t="s">
        <v>227</v>
      </c>
      <c r="D74" s="116" t="s">
        <v>65</v>
      </c>
      <c r="E74" s="125">
        <v>45</v>
      </c>
      <c r="F74" s="126">
        <v>78.099999999999994</v>
      </c>
      <c r="G74" s="126">
        <v>10</v>
      </c>
      <c r="I74" s="125">
        <f t="shared" si="1"/>
        <v>3</v>
      </c>
      <c r="J74" s="127">
        <v>2.8896999999999995</v>
      </c>
      <c r="M74" s="128"/>
    </row>
    <row r="75" spans="2:13">
      <c r="B75" s="116">
        <v>67</v>
      </c>
      <c r="C75" s="124" t="s">
        <v>228</v>
      </c>
      <c r="D75" s="116" t="s">
        <v>63</v>
      </c>
      <c r="E75" s="125">
        <v>79</v>
      </c>
      <c r="F75" s="126">
        <v>92.9</v>
      </c>
      <c r="G75" s="126">
        <v>15</v>
      </c>
      <c r="I75" s="125">
        <f t="shared" si="1"/>
        <v>3</v>
      </c>
      <c r="J75" s="127">
        <v>3.7067100000000002</v>
      </c>
      <c r="M75" s="128"/>
    </row>
    <row r="76" spans="2:13">
      <c r="B76" s="116">
        <v>68</v>
      </c>
      <c r="C76" s="124" t="s">
        <v>229</v>
      </c>
      <c r="D76" s="116" t="s">
        <v>88</v>
      </c>
      <c r="E76" s="125">
        <v>62</v>
      </c>
      <c r="F76" s="126">
        <v>71.8</v>
      </c>
      <c r="G76" s="126">
        <v>8</v>
      </c>
      <c r="I76" s="125">
        <f t="shared" si="1"/>
        <v>3</v>
      </c>
      <c r="J76" s="127">
        <v>2.7283999999999997</v>
      </c>
      <c r="M76" s="128"/>
    </row>
    <row r="77" spans="2:13">
      <c r="B77" s="116">
        <v>69</v>
      </c>
      <c r="C77" s="124" t="s">
        <v>230</v>
      </c>
      <c r="D77" s="116" t="s">
        <v>84</v>
      </c>
      <c r="E77" s="125">
        <v>50</v>
      </c>
      <c r="F77" s="126">
        <v>97.9</v>
      </c>
      <c r="G77" s="126">
        <v>20</v>
      </c>
      <c r="I77" s="125">
        <f t="shared" si="1"/>
        <v>3</v>
      </c>
      <c r="J77" s="127">
        <v>3.6908300000000001</v>
      </c>
      <c r="M77" s="128"/>
    </row>
    <row r="78" spans="2:13">
      <c r="B78" s="116">
        <v>70</v>
      </c>
      <c r="C78" s="124" t="s">
        <v>231</v>
      </c>
      <c r="D78" s="116" t="s">
        <v>65</v>
      </c>
      <c r="E78" s="125">
        <v>66</v>
      </c>
      <c r="F78" s="126">
        <v>71.099999999999994</v>
      </c>
      <c r="G78" s="126">
        <v>14</v>
      </c>
      <c r="I78" s="125">
        <f t="shared" si="1"/>
        <v>3</v>
      </c>
      <c r="J78" s="127">
        <v>2.6875799999999996</v>
      </c>
      <c r="M78" s="128"/>
    </row>
    <row r="79" spans="2:13">
      <c r="B79" s="116">
        <v>71</v>
      </c>
      <c r="C79" s="124" t="s">
        <v>232</v>
      </c>
      <c r="D79" s="116" t="s">
        <v>86</v>
      </c>
      <c r="E79" s="125">
        <v>64</v>
      </c>
      <c r="F79" s="126">
        <v>93.2</v>
      </c>
      <c r="G79" s="126">
        <v>11</v>
      </c>
      <c r="I79" s="125">
        <f t="shared" si="1"/>
        <v>3</v>
      </c>
      <c r="J79" s="127">
        <v>3.0290000000000004</v>
      </c>
      <c r="M79" s="128"/>
    </row>
    <row r="80" spans="2:13">
      <c r="B80" s="116">
        <v>72</v>
      </c>
      <c r="C80" s="124" t="s">
        <v>233</v>
      </c>
      <c r="D80" s="116" t="s">
        <v>88</v>
      </c>
      <c r="E80" s="125">
        <v>35</v>
      </c>
      <c r="F80" s="126">
        <v>43.1</v>
      </c>
      <c r="G80" s="126">
        <v>7</v>
      </c>
      <c r="I80" s="125">
        <f t="shared" si="1"/>
        <v>3</v>
      </c>
      <c r="J80" s="127">
        <v>1.1766300000000001</v>
      </c>
      <c r="M80" s="128"/>
    </row>
    <row r="81" spans="2:13">
      <c r="B81" s="116">
        <v>73</v>
      </c>
      <c r="C81" s="124" t="s">
        <v>234</v>
      </c>
      <c r="D81" s="116" t="s">
        <v>72</v>
      </c>
      <c r="E81" s="125">
        <v>43</v>
      </c>
      <c r="F81" s="126">
        <v>73.400000000000006</v>
      </c>
      <c r="G81" s="126">
        <v>13</v>
      </c>
      <c r="I81" s="125">
        <f t="shared" si="1"/>
        <v>3</v>
      </c>
      <c r="J81" s="127">
        <v>1.8350000000000002</v>
      </c>
      <c r="M81" s="128"/>
    </row>
    <row r="82" spans="2:13">
      <c r="B82" s="116">
        <v>74</v>
      </c>
      <c r="C82" s="124" t="s">
        <v>235</v>
      </c>
      <c r="D82" s="116" t="s">
        <v>84</v>
      </c>
      <c r="E82" s="125">
        <v>81</v>
      </c>
      <c r="F82" s="126">
        <v>93.7</v>
      </c>
      <c r="G82" s="126">
        <v>14</v>
      </c>
      <c r="I82" s="125">
        <f t="shared" si="1"/>
        <v>3</v>
      </c>
      <c r="J82" s="127">
        <v>3.0077699999999998</v>
      </c>
      <c r="M82" s="128"/>
    </row>
    <row r="83" spans="2:13">
      <c r="B83" s="116">
        <v>75</v>
      </c>
      <c r="C83" s="124" t="s">
        <v>236</v>
      </c>
      <c r="D83" s="116" t="s">
        <v>80</v>
      </c>
      <c r="E83" s="125">
        <v>41</v>
      </c>
      <c r="F83" s="126">
        <v>54.7</v>
      </c>
      <c r="G83" s="126">
        <v>7</v>
      </c>
      <c r="I83" s="125">
        <f t="shared" si="1"/>
        <v>3</v>
      </c>
      <c r="J83" s="127">
        <v>2.0676600000000001</v>
      </c>
      <c r="M83" s="128"/>
    </row>
    <row r="84" spans="2:13">
      <c r="B84" s="116">
        <v>76</v>
      </c>
      <c r="C84" s="124" t="s">
        <v>237</v>
      </c>
      <c r="D84" s="116" t="s">
        <v>54</v>
      </c>
      <c r="E84" s="125">
        <v>74</v>
      </c>
      <c r="F84" s="126">
        <v>90</v>
      </c>
      <c r="G84" s="126">
        <v>14</v>
      </c>
      <c r="I84" s="125">
        <f t="shared" si="1"/>
        <v>3</v>
      </c>
      <c r="J84" s="127">
        <v>2.0249999999999999</v>
      </c>
      <c r="M84" s="128"/>
    </row>
    <row r="85" spans="2:13">
      <c r="B85" s="116">
        <v>77</v>
      </c>
      <c r="C85" s="124" t="s">
        <v>238</v>
      </c>
      <c r="D85" s="116" t="s">
        <v>92</v>
      </c>
      <c r="E85" s="125">
        <v>68</v>
      </c>
      <c r="F85" s="126">
        <v>79.900000000000006</v>
      </c>
      <c r="G85" s="126">
        <v>16</v>
      </c>
      <c r="I85" s="125">
        <f t="shared" si="1"/>
        <v>3</v>
      </c>
      <c r="J85" s="127">
        <v>2.5168500000000003</v>
      </c>
      <c r="M85" s="128"/>
    </row>
    <row r="86" spans="2:13">
      <c r="B86" s="116">
        <v>78</v>
      </c>
      <c r="C86" s="124" t="s">
        <v>239</v>
      </c>
      <c r="D86" s="116" t="s">
        <v>84</v>
      </c>
      <c r="E86" s="125">
        <v>70</v>
      </c>
      <c r="F86" s="126">
        <v>74.900000000000006</v>
      </c>
      <c r="G86" s="126">
        <v>12</v>
      </c>
      <c r="I86" s="125">
        <f t="shared" si="1"/>
        <v>3</v>
      </c>
      <c r="J86" s="127">
        <v>1.7676400000000001</v>
      </c>
      <c r="M86" s="128"/>
    </row>
    <row r="87" spans="2:13">
      <c r="B87" s="116">
        <v>79</v>
      </c>
      <c r="C87" s="124" t="s">
        <v>240</v>
      </c>
      <c r="D87" s="116" t="s">
        <v>84</v>
      </c>
      <c r="E87" s="125">
        <v>69</v>
      </c>
      <c r="F87" s="126">
        <v>83.6</v>
      </c>
      <c r="G87" s="126">
        <v>14</v>
      </c>
      <c r="I87" s="125">
        <f t="shared" si="1"/>
        <v>3</v>
      </c>
      <c r="J87" s="127">
        <v>2.3491599999999999</v>
      </c>
      <c r="M87" s="128"/>
    </row>
    <row r="88" spans="2:13">
      <c r="B88" s="116">
        <v>80</v>
      </c>
      <c r="C88" s="124" t="s">
        <v>241</v>
      </c>
      <c r="D88" s="116" t="s">
        <v>78</v>
      </c>
      <c r="E88" s="125">
        <v>47</v>
      </c>
      <c r="F88" s="126">
        <v>83.5</v>
      </c>
      <c r="G88" s="126">
        <v>17</v>
      </c>
      <c r="I88" s="125">
        <f t="shared" si="1"/>
        <v>3</v>
      </c>
      <c r="J88" s="127">
        <v>2.79725</v>
      </c>
      <c r="M88" s="128"/>
    </row>
    <row r="89" spans="2:13">
      <c r="B89" s="116">
        <v>81</v>
      </c>
      <c r="C89" s="124" t="s">
        <v>242</v>
      </c>
      <c r="D89" s="116" t="s">
        <v>65</v>
      </c>
      <c r="E89" s="125">
        <v>92</v>
      </c>
      <c r="F89" s="126">
        <v>137.19999999999999</v>
      </c>
      <c r="G89" s="126">
        <v>23</v>
      </c>
      <c r="I89" s="125">
        <f t="shared" si="1"/>
        <v>4</v>
      </c>
      <c r="J89" s="127">
        <v>4.14344</v>
      </c>
      <c r="M89" s="128"/>
    </row>
    <row r="90" spans="2:13">
      <c r="B90" s="116">
        <v>82</v>
      </c>
      <c r="C90" s="124" t="s">
        <v>243</v>
      </c>
      <c r="D90" s="116" t="s">
        <v>86</v>
      </c>
      <c r="E90" s="125">
        <v>44</v>
      </c>
      <c r="F90" s="126">
        <v>72.3</v>
      </c>
      <c r="G90" s="126">
        <v>9</v>
      </c>
      <c r="I90" s="125">
        <f t="shared" si="1"/>
        <v>3</v>
      </c>
      <c r="J90" s="127">
        <v>2.8124699999999998</v>
      </c>
      <c r="M90" s="128"/>
    </row>
    <row r="91" spans="2:13">
      <c r="B91" s="116">
        <v>83</v>
      </c>
      <c r="C91" s="124" t="s">
        <v>244</v>
      </c>
      <c r="D91" s="116" t="s">
        <v>65</v>
      </c>
      <c r="E91" s="125">
        <v>84</v>
      </c>
      <c r="F91" s="126">
        <v>124.7</v>
      </c>
      <c r="G91" s="126">
        <v>15</v>
      </c>
      <c r="I91" s="125">
        <f t="shared" si="1"/>
        <v>4</v>
      </c>
      <c r="J91" s="127">
        <v>2.7683400000000002</v>
      </c>
      <c r="M91" s="128"/>
    </row>
    <row r="92" spans="2:13">
      <c r="B92" s="116">
        <v>84</v>
      </c>
      <c r="C92" s="124" t="s">
        <v>245</v>
      </c>
      <c r="D92" s="116" t="s">
        <v>65</v>
      </c>
      <c r="E92" s="125">
        <v>40</v>
      </c>
      <c r="F92" s="126">
        <v>54.5</v>
      </c>
      <c r="G92" s="126">
        <v>10</v>
      </c>
      <c r="I92" s="125">
        <f t="shared" si="1"/>
        <v>3</v>
      </c>
      <c r="J92" s="127">
        <v>1.3243499999999999</v>
      </c>
      <c r="M92" s="128"/>
    </row>
    <row r="93" spans="2:13">
      <c r="B93" s="116">
        <v>85</v>
      </c>
      <c r="C93" s="124" t="s">
        <v>246</v>
      </c>
      <c r="D93" s="116" t="s">
        <v>84</v>
      </c>
      <c r="E93" s="125">
        <v>96</v>
      </c>
      <c r="F93" s="126">
        <v>109.8</v>
      </c>
      <c r="G93" s="126">
        <v>16</v>
      </c>
      <c r="I93" s="125">
        <f t="shared" si="1"/>
        <v>4</v>
      </c>
      <c r="J93" s="127">
        <v>2.7889199999999996</v>
      </c>
      <c r="M93" s="128"/>
    </row>
    <row r="94" spans="2:13">
      <c r="B94" s="116">
        <v>86</v>
      </c>
      <c r="C94" s="124" t="s">
        <v>247</v>
      </c>
      <c r="D94" s="116" t="s">
        <v>82</v>
      </c>
      <c r="E94" s="125">
        <v>70</v>
      </c>
      <c r="F94" s="126">
        <v>113.4</v>
      </c>
      <c r="G94" s="126">
        <v>19</v>
      </c>
      <c r="I94" s="125">
        <f t="shared" si="1"/>
        <v>4</v>
      </c>
      <c r="J94" s="127">
        <v>2.9824200000000003</v>
      </c>
      <c r="M94" s="128"/>
    </row>
    <row r="95" spans="2:13">
      <c r="B95" s="116">
        <v>87</v>
      </c>
      <c r="C95" s="124" t="s">
        <v>248</v>
      </c>
      <c r="D95" s="116" t="s">
        <v>65</v>
      </c>
      <c r="E95" s="125">
        <v>85</v>
      </c>
      <c r="F95" s="126">
        <v>128.5</v>
      </c>
      <c r="G95" s="126">
        <v>21</v>
      </c>
      <c r="I95" s="125">
        <f t="shared" si="1"/>
        <v>4</v>
      </c>
      <c r="J95" s="127">
        <v>4.6516999999999999</v>
      </c>
      <c r="M95" s="128"/>
    </row>
    <row r="96" spans="2:13">
      <c r="B96" s="116">
        <v>88</v>
      </c>
      <c r="C96" s="124" t="s">
        <v>249</v>
      </c>
      <c r="D96" s="116" t="s">
        <v>51</v>
      </c>
      <c r="E96" s="125">
        <v>86</v>
      </c>
      <c r="F96" s="126">
        <v>126.2</v>
      </c>
      <c r="G96" s="126">
        <v>24</v>
      </c>
      <c r="I96" s="125">
        <f t="shared" si="1"/>
        <v>4</v>
      </c>
      <c r="J96" s="127">
        <v>3.33168</v>
      </c>
      <c r="M96" s="128"/>
    </row>
    <row r="97" spans="2:13">
      <c r="B97" s="116">
        <v>89</v>
      </c>
      <c r="C97" s="124" t="s">
        <v>250</v>
      </c>
      <c r="D97" s="116" t="s">
        <v>65</v>
      </c>
      <c r="E97" s="125">
        <v>38</v>
      </c>
      <c r="F97" s="126">
        <v>62.8</v>
      </c>
      <c r="G97" s="126">
        <v>7</v>
      </c>
      <c r="I97" s="125">
        <f t="shared" si="1"/>
        <v>3</v>
      </c>
      <c r="J97" s="127">
        <v>2.2733600000000003</v>
      </c>
      <c r="M97" s="128"/>
    </row>
    <row r="98" spans="2:13">
      <c r="B98" s="116">
        <v>90</v>
      </c>
      <c r="C98" s="124" t="s">
        <v>251</v>
      </c>
      <c r="D98" s="116" t="s">
        <v>78</v>
      </c>
      <c r="E98" s="125">
        <v>66</v>
      </c>
      <c r="F98" s="126">
        <v>97.6</v>
      </c>
      <c r="G98" s="126">
        <v>10</v>
      </c>
      <c r="I98" s="125">
        <f t="shared" si="1"/>
        <v>3</v>
      </c>
      <c r="J98" s="127">
        <v>2.1667199999999998</v>
      </c>
      <c r="M98" s="128"/>
    </row>
    <row r="99" spans="2:13">
      <c r="B99" s="116">
        <v>91</v>
      </c>
      <c r="C99" s="124" t="s">
        <v>252</v>
      </c>
      <c r="D99" s="116" t="s">
        <v>65</v>
      </c>
      <c r="E99" s="125">
        <v>59</v>
      </c>
      <c r="F99" s="126">
        <v>83</v>
      </c>
      <c r="G99" s="126">
        <v>8</v>
      </c>
      <c r="I99" s="125">
        <f t="shared" si="1"/>
        <v>3</v>
      </c>
      <c r="J99" s="127">
        <v>2.7555999999999998</v>
      </c>
      <c r="M99" s="128"/>
    </row>
    <row r="100" spans="2:13">
      <c r="B100" s="116">
        <v>92</v>
      </c>
      <c r="C100" s="124" t="s">
        <v>253</v>
      </c>
      <c r="D100" s="116" t="s">
        <v>84</v>
      </c>
      <c r="E100" s="125">
        <v>53</v>
      </c>
      <c r="F100" s="126">
        <v>71.900000000000006</v>
      </c>
      <c r="G100" s="126">
        <v>12</v>
      </c>
      <c r="I100" s="125">
        <f t="shared" si="1"/>
        <v>3</v>
      </c>
      <c r="J100" s="127">
        <v>2.6531100000000003</v>
      </c>
      <c r="M100" s="128"/>
    </row>
    <row r="101" spans="2:13">
      <c r="B101" s="116">
        <v>93</v>
      </c>
      <c r="C101" s="124" t="s">
        <v>254</v>
      </c>
      <c r="D101" s="116" t="s">
        <v>66</v>
      </c>
      <c r="E101" s="125">
        <v>88</v>
      </c>
      <c r="F101" s="126">
        <v>167.2</v>
      </c>
      <c r="G101" s="126">
        <v>27</v>
      </c>
      <c r="I101" s="125">
        <f t="shared" si="1"/>
        <v>5</v>
      </c>
      <c r="J101" s="127">
        <v>4.2301599999999997</v>
      </c>
      <c r="M101" s="128"/>
    </row>
    <row r="102" spans="2:13">
      <c r="B102" s="116">
        <v>94</v>
      </c>
      <c r="C102" s="124" t="s">
        <v>255</v>
      </c>
      <c r="D102" s="116" t="s">
        <v>63</v>
      </c>
      <c r="E102" s="125">
        <v>97</v>
      </c>
      <c r="F102" s="126">
        <v>145.9</v>
      </c>
      <c r="G102" s="126">
        <v>23</v>
      </c>
      <c r="I102" s="125">
        <f t="shared" si="1"/>
        <v>5</v>
      </c>
      <c r="J102" s="127">
        <v>4.7709299999999999</v>
      </c>
      <c r="M102" s="128"/>
    </row>
    <row r="103" spans="2:13">
      <c r="B103" s="116">
        <v>95</v>
      </c>
      <c r="C103" s="124" t="s">
        <v>256</v>
      </c>
      <c r="D103" s="116" t="s">
        <v>80</v>
      </c>
      <c r="E103" s="125">
        <v>51</v>
      </c>
      <c r="F103" s="126">
        <v>93.5</v>
      </c>
      <c r="G103" s="126">
        <v>15</v>
      </c>
      <c r="I103" s="125">
        <f t="shared" si="1"/>
        <v>3</v>
      </c>
      <c r="J103" s="127">
        <v>3.6465000000000001</v>
      </c>
      <c r="M103" s="128"/>
    </row>
    <row r="104" spans="2:13">
      <c r="B104" s="116">
        <v>96</v>
      </c>
      <c r="C104" s="124" t="s">
        <v>257</v>
      </c>
      <c r="D104" s="116" t="s">
        <v>55</v>
      </c>
      <c r="E104" s="125">
        <v>76</v>
      </c>
      <c r="F104" s="126">
        <v>110.2</v>
      </c>
      <c r="G104" s="126">
        <v>15</v>
      </c>
      <c r="I104" s="125">
        <f t="shared" si="1"/>
        <v>4</v>
      </c>
      <c r="J104" s="127">
        <v>4.1325000000000003</v>
      </c>
      <c r="M104" s="128"/>
    </row>
    <row r="105" spans="2:13">
      <c r="B105" s="116">
        <v>97</v>
      </c>
      <c r="C105" s="124" t="s">
        <v>258</v>
      </c>
      <c r="D105" s="116" t="s">
        <v>84</v>
      </c>
      <c r="E105" s="125">
        <v>89</v>
      </c>
      <c r="F105" s="126">
        <v>134.6</v>
      </c>
      <c r="G105" s="126">
        <v>15</v>
      </c>
      <c r="I105" s="125">
        <f t="shared" si="1"/>
        <v>4</v>
      </c>
      <c r="J105" s="127">
        <v>3.2438599999999997</v>
      </c>
      <c r="M105" s="128"/>
    </row>
    <row r="106" spans="2:13">
      <c r="B106" s="116">
        <v>98</v>
      </c>
      <c r="C106" s="124" t="s">
        <v>259</v>
      </c>
      <c r="D106" s="116" t="s">
        <v>65</v>
      </c>
      <c r="E106" s="125">
        <v>39</v>
      </c>
      <c r="F106" s="126">
        <v>68.099999999999994</v>
      </c>
      <c r="G106" s="126">
        <v>11</v>
      </c>
      <c r="I106" s="125">
        <f t="shared" si="1"/>
        <v>3</v>
      </c>
      <c r="J106" s="127">
        <v>1.5118199999999999</v>
      </c>
      <c r="M106" s="128"/>
    </row>
    <row r="107" spans="2:13">
      <c r="B107" s="116">
        <v>99</v>
      </c>
      <c r="C107" s="124" t="s">
        <v>260</v>
      </c>
      <c r="D107" s="116" t="s">
        <v>65</v>
      </c>
      <c r="E107" s="125">
        <v>44</v>
      </c>
      <c r="F107" s="126">
        <v>59.2</v>
      </c>
      <c r="G107" s="126">
        <v>7</v>
      </c>
      <c r="I107" s="125">
        <f t="shared" si="1"/>
        <v>3</v>
      </c>
      <c r="J107" s="127">
        <v>1.6102399999999999</v>
      </c>
      <c r="M107" s="128"/>
    </row>
    <row r="108" spans="2:13">
      <c r="B108" s="116">
        <v>100</v>
      </c>
      <c r="C108" s="124" t="s">
        <v>261</v>
      </c>
      <c r="D108" s="116" t="s">
        <v>92</v>
      </c>
      <c r="E108" s="125">
        <v>82</v>
      </c>
      <c r="F108" s="126">
        <v>141.5</v>
      </c>
      <c r="G108" s="126">
        <v>16</v>
      </c>
      <c r="I108" s="125">
        <f t="shared" si="1"/>
        <v>5</v>
      </c>
      <c r="J108" s="127">
        <v>5.2213500000000002</v>
      </c>
      <c r="M108" s="128"/>
    </row>
    <row r="109" spans="2:13">
      <c r="B109" s="116">
        <v>101</v>
      </c>
      <c r="C109" s="124" t="s">
        <v>262</v>
      </c>
      <c r="D109" s="116" t="s">
        <v>65</v>
      </c>
      <c r="E109" s="125">
        <v>83</v>
      </c>
      <c r="F109" s="126">
        <v>152.1</v>
      </c>
      <c r="G109" s="126">
        <v>30</v>
      </c>
      <c r="I109" s="125">
        <f t="shared" si="1"/>
        <v>5</v>
      </c>
      <c r="J109" s="127">
        <v>5.67333</v>
      </c>
      <c r="M109" s="128"/>
    </row>
    <row r="110" spans="2:13">
      <c r="B110" s="116">
        <v>102</v>
      </c>
      <c r="C110" s="124" t="s">
        <v>263</v>
      </c>
      <c r="D110" s="116" t="s">
        <v>84</v>
      </c>
      <c r="E110" s="125">
        <v>64</v>
      </c>
      <c r="F110" s="126">
        <v>109.8</v>
      </c>
      <c r="G110" s="126">
        <v>11</v>
      </c>
      <c r="I110" s="125">
        <f t="shared" si="1"/>
        <v>4</v>
      </c>
      <c r="J110" s="127">
        <v>3.6783000000000001</v>
      </c>
      <c r="M110" s="128"/>
    </row>
    <row r="111" spans="2:13">
      <c r="B111" s="116">
        <v>103</v>
      </c>
      <c r="C111" s="124" t="s">
        <v>264</v>
      </c>
      <c r="D111" s="116" t="s">
        <v>68</v>
      </c>
      <c r="E111" s="125">
        <v>62</v>
      </c>
      <c r="F111" s="126">
        <v>112.6</v>
      </c>
      <c r="G111" s="126">
        <v>16</v>
      </c>
      <c r="I111" s="125">
        <f t="shared" si="1"/>
        <v>4</v>
      </c>
      <c r="J111" s="127">
        <v>3.8058799999999993</v>
      </c>
      <c r="M111" s="128"/>
    </row>
    <row r="112" spans="2:13">
      <c r="B112" s="116">
        <v>104</v>
      </c>
      <c r="C112" s="124" t="s">
        <v>265</v>
      </c>
      <c r="D112" s="116" t="s">
        <v>86</v>
      </c>
      <c r="E112" s="125">
        <v>39</v>
      </c>
      <c r="F112" s="126">
        <v>59</v>
      </c>
      <c r="G112" s="126">
        <v>6</v>
      </c>
      <c r="I112" s="125">
        <f t="shared" si="1"/>
        <v>3</v>
      </c>
      <c r="J112" s="127">
        <v>1.7582</v>
      </c>
      <c r="M112" s="128"/>
    </row>
    <row r="113" spans="2:13">
      <c r="B113" s="116">
        <v>105</v>
      </c>
      <c r="C113" s="124" t="s">
        <v>266</v>
      </c>
      <c r="D113" s="116" t="s">
        <v>65</v>
      </c>
      <c r="E113" s="125">
        <v>89</v>
      </c>
      <c r="F113" s="126">
        <v>127.3</v>
      </c>
      <c r="G113" s="126">
        <v>22</v>
      </c>
      <c r="I113" s="125">
        <f t="shared" si="1"/>
        <v>4</v>
      </c>
      <c r="J113" s="127">
        <v>4.0481400000000001</v>
      </c>
      <c r="M113" s="128"/>
    </row>
    <row r="114" spans="2:13">
      <c r="B114" s="116">
        <v>106</v>
      </c>
      <c r="C114" s="124" t="s">
        <v>267</v>
      </c>
      <c r="D114" s="116" t="s">
        <v>84</v>
      </c>
      <c r="E114" s="125">
        <v>63</v>
      </c>
      <c r="F114" s="126">
        <v>100.2</v>
      </c>
      <c r="G114" s="126">
        <v>20</v>
      </c>
      <c r="I114" s="125">
        <f t="shared" si="1"/>
        <v>4</v>
      </c>
      <c r="J114" s="127">
        <v>2.87574</v>
      </c>
      <c r="M114" s="128"/>
    </row>
    <row r="115" spans="2:13">
      <c r="B115" s="116">
        <v>107</v>
      </c>
      <c r="C115" s="124" t="s">
        <v>268</v>
      </c>
      <c r="D115" s="116" t="s">
        <v>51</v>
      </c>
      <c r="E115" s="125">
        <v>44</v>
      </c>
      <c r="F115" s="126">
        <v>56.4</v>
      </c>
      <c r="G115" s="126">
        <v>8</v>
      </c>
      <c r="I115" s="125">
        <f t="shared" si="1"/>
        <v>3</v>
      </c>
      <c r="J115" s="127">
        <v>1.52844</v>
      </c>
      <c r="M115" s="128"/>
    </row>
    <row r="116" spans="2:13">
      <c r="B116" s="116">
        <v>108</v>
      </c>
      <c r="C116" s="124" t="s">
        <v>269</v>
      </c>
      <c r="D116" s="116" t="s">
        <v>86</v>
      </c>
      <c r="E116" s="125">
        <v>68</v>
      </c>
      <c r="F116" s="126">
        <v>81.7</v>
      </c>
      <c r="G116" s="126">
        <v>15</v>
      </c>
      <c r="I116" s="125">
        <f t="shared" si="1"/>
        <v>3</v>
      </c>
      <c r="J116" s="127">
        <v>2.3039399999999999</v>
      </c>
      <c r="M116" s="128"/>
    </row>
    <row r="117" spans="2:13">
      <c r="B117" s="116">
        <v>109</v>
      </c>
      <c r="C117" s="124" t="s">
        <v>270</v>
      </c>
      <c r="D117" s="116" t="s">
        <v>84</v>
      </c>
      <c r="E117" s="125">
        <v>45</v>
      </c>
      <c r="F117" s="126">
        <v>51.8</v>
      </c>
      <c r="G117" s="126">
        <v>6</v>
      </c>
      <c r="I117" s="125">
        <f t="shared" si="1"/>
        <v>3</v>
      </c>
      <c r="J117" s="127">
        <v>1.86998</v>
      </c>
      <c r="M117" s="128"/>
    </row>
    <row r="118" spans="2:13">
      <c r="B118" s="116">
        <v>110</v>
      </c>
      <c r="C118" s="124" t="s">
        <v>271</v>
      </c>
      <c r="D118" s="116" t="s">
        <v>54</v>
      </c>
      <c r="E118" s="125">
        <v>56</v>
      </c>
      <c r="F118" s="126">
        <v>65.5</v>
      </c>
      <c r="G118" s="126">
        <v>9</v>
      </c>
      <c r="I118" s="125">
        <f t="shared" si="1"/>
        <v>3</v>
      </c>
      <c r="J118" s="127">
        <v>2.2007999999999996</v>
      </c>
      <c r="M118" s="128"/>
    </row>
    <row r="119" spans="2:13">
      <c r="B119" s="116">
        <v>111</v>
      </c>
      <c r="C119" s="124" t="s">
        <v>272</v>
      </c>
      <c r="D119" s="116" t="s">
        <v>51</v>
      </c>
      <c r="E119" s="125">
        <v>88</v>
      </c>
      <c r="F119" s="126">
        <v>101.6</v>
      </c>
      <c r="G119" s="126">
        <v>13</v>
      </c>
      <c r="I119" s="125">
        <f t="shared" si="1"/>
        <v>4</v>
      </c>
      <c r="J119" s="127">
        <v>3.5966399999999998</v>
      </c>
      <c r="M119" s="128"/>
    </row>
    <row r="120" spans="2:13">
      <c r="B120" s="116">
        <v>112</v>
      </c>
      <c r="C120" s="124" t="s">
        <v>273</v>
      </c>
      <c r="D120" s="116" t="s">
        <v>86</v>
      </c>
      <c r="E120" s="125">
        <v>57</v>
      </c>
      <c r="F120" s="126">
        <v>109.8</v>
      </c>
      <c r="G120" s="126">
        <v>13</v>
      </c>
      <c r="I120" s="125">
        <f t="shared" si="1"/>
        <v>4</v>
      </c>
      <c r="J120" s="127">
        <v>2.6571599999999997</v>
      </c>
      <c r="M120" s="128"/>
    </row>
    <row r="121" spans="2:13">
      <c r="B121" s="116">
        <v>113</v>
      </c>
      <c r="C121" s="124" t="s">
        <v>274</v>
      </c>
      <c r="D121" s="116" t="s">
        <v>88</v>
      </c>
      <c r="E121" s="125">
        <v>83</v>
      </c>
      <c r="F121" s="126">
        <v>151</v>
      </c>
      <c r="G121" s="126">
        <v>21</v>
      </c>
      <c r="I121" s="125">
        <f t="shared" si="1"/>
        <v>5</v>
      </c>
      <c r="J121" s="127">
        <v>3.3824000000000001</v>
      </c>
      <c r="M121" s="128"/>
    </row>
    <row r="122" spans="2:13">
      <c r="B122" s="116">
        <v>114</v>
      </c>
      <c r="C122" s="124" t="s">
        <v>275</v>
      </c>
      <c r="D122" s="116" t="s">
        <v>65</v>
      </c>
      <c r="E122" s="125">
        <v>62</v>
      </c>
      <c r="F122" s="126">
        <v>90.5</v>
      </c>
      <c r="G122" s="126">
        <v>13</v>
      </c>
      <c r="I122" s="125">
        <f t="shared" si="1"/>
        <v>3</v>
      </c>
      <c r="J122" s="127">
        <v>2.0724499999999999</v>
      </c>
      <c r="M122" s="128"/>
    </row>
    <row r="123" spans="2:13">
      <c r="B123" s="116">
        <v>115</v>
      </c>
      <c r="C123" s="124" t="s">
        <v>276</v>
      </c>
      <c r="D123" s="116" t="s">
        <v>86</v>
      </c>
      <c r="E123" s="125">
        <v>49</v>
      </c>
      <c r="F123" s="126">
        <v>90.3</v>
      </c>
      <c r="G123" s="126">
        <v>16</v>
      </c>
      <c r="I123" s="125">
        <f t="shared" si="1"/>
        <v>3</v>
      </c>
      <c r="J123" s="127">
        <v>2.8805699999999996</v>
      </c>
      <c r="M123" s="128"/>
    </row>
    <row r="124" spans="2:13">
      <c r="B124" s="116">
        <v>116</v>
      </c>
      <c r="C124" s="124" t="s">
        <v>277</v>
      </c>
      <c r="D124" s="116" t="s">
        <v>65</v>
      </c>
      <c r="E124" s="125">
        <v>80</v>
      </c>
      <c r="F124" s="126">
        <v>133.80000000000001</v>
      </c>
      <c r="G124" s="126">
        <v>21</v>
      </c>
      <c r="I124" s="125">
        <f t="shared" si="1"/>
        <v>4</v>
      </c>
      <c r="J124" s="127">
        <v>4.1879400000000002</v>
      </c>
      <c r="M124" s="128"/>
    </row>
    <row r="125" spans="2:13">
      <c r="B125" s="116">
        <v>117</v>
      </c>
      <c r="C125" s="124" t="s">
        <v>278</v>
      </c>
      <c r="D125" s="116" t="s">
        <v>84</v>
      </c>
      <c r="E125" s="125">
        <v>60</v>
      </c>
      <c r="F125" s="126">
        <v>114.1</v>
      </c>
      <c r="G125" s="126">
        <v>23</v>
      </c>
      <c r="I125" s="125">
        <f t="shared" si="1"/>
        <v>4</v>
      </c>
      <c r="J125" s="127">
        <v>3.7995300000000003</v>
      </c>
      <c r="M125" s="128"/>
    </row>
    <row r="126" spans="2:13">
      <c r="B126" s="116">
        <v>118</v>
      </c>
      <c r="C126" s="124" t="s">
        <v>279</v>
      </c>
      <c r="D126" s="116" t="s">
        <v>63</v>
      </c>
      <c r="E126" s="125">
        <v>63</v>
      </c>
      <c r="F126" s="126">
        <v>117.5</v>
      </c>
      <c r="G126" s="126">
        <v>22</v>
      </c>
      <c r="I126" s="125">
        <f t="shared" si="1"/>
        <v>4</v>
      </c>
      <c r="J126" s="127">
        <v>4.1829999999999998</v>
      </c>
      <c r="M126" s="128"/>
    </row>
    <row r="127" spans="2:13">
      <c r="B127" s="116">
        <v>119</v>
      </c>
      <c r="C127" s="124" t="s">
        <v>280</v>
      </c>
      <c r="D127" s="116" t="s">
        <v>63</v>
      </c>
      <c r="E127" s="125">
        <v>41</v>
      </c>
      <c r="F127" s="126">
        <v>63.3</v>
      </c>
      <c r="G127" s="126">
        <v>9</v>
      </c>
      <c r="I127" s="125">
        <f t="shared" si="1"/>
        <v>3</v>
      </c>
      <c r="J127" s="127">
        <v>1.5698399999999999</v>
      </c>
      <c r="M127" s="128"/>
    </row>
    <row r="128" spans="2:13">
      <c r="B128" s="116">
        <v>120</v>
      </c>
      <c r="C128" s="124" t="s">
        <v>281</v>
      </c>
      <c r="D128" s="116" t="s">
        <v>63</v>
      </c>
      <c r="E128" s="125">
        <v>91</v>
      </c>
      <c r="F128" s="126">
        <v>180.2</v>
      </c>
      <c r="G128" s="126">
        <v>32</v>
      </c>
      <c r="I128" s="125">
        <f t="shared" si="1"/>
        <v>6</v>
      </c>
      <c r="J128" s="127">
        <v>4.9735199999999997</v>
      </c>
      <c r="M128" s="128"/>
    </row>
    <row r="129" spans="2:13">
      <c r="B129" s="116">
        <v>121</v>
      </c>
      <c r="C129" s="124" t="s">
        <v>282</v>
      </c>
      <c r="D129" s="116" t="s">
        <v>65</v>
      </c>
      <c r="E129" s="125">
        <v>62</v>
      </c>
      <c r="F129" s="126">
        <v>91.5</v>
      </c>
      <c r="G129" s="126">
        <v>12</v>
      </c>
      <c r="I129" s="125">
        <f t="shared" si="1"/>
        <v>3</v>
      </c>
      <c r="J129" s="127">
        <v>3.3763500000000004</v>
      </c>
      <c r="M129" s="128"/>
    </row>
    <row r="130" spans="2:13">
      <c r="B130" s="116">
        <v>122</v>
      </c>
      <c r="C130" s="124" t="s">
        <v>283</v>
      </c>
      <c r="D130" s="116" t="s">
        <v>57</v>
      </c>
      <c r="E130" s="125">
        <v>56</v>
      </c>
      <c r="F130" s="126">
        <v>80</v>
      </c>
      <c r="G130" s="126">
        <v>14</v>
      </c>
      <c r="I130" s="125">
        <f t="shared" si="1"/>
        <v>3</v>
      </c>
      <c r="J130" s="127">
        <v>2.0640000000000001</v>
      </c>
      <c r="M130" s="128"/>
    </row>
    <row r="131" spans="2:13">
      <c r="B131" s="116">
        <v>123</v>
      </c>
      <c r="C131" s="124" t="s">
        <v>284</v>
      </c>
      <c r="D131" s="116" t="s">
        <v>65</v>
      </c>
      <c r="E131" s="125">
        <v>64</v>
      </c>
      <c r="F131" s="126">
        <v>64.400000000000006</v>
      </c>
      <c r="G131" s="126">
        <v>12</v>
      </c>
      <c r="I131" s="125">
        <f t="shared" si="1"/>
        <v>3</v>
      </c>
      <c r="J131" s="127">
        <v>1.3717200000000001</v>
      </c>
      <c r="M131" s="128"/>
    </row>
    <row r="132" spans="2:13">
      <c r="B132" s="116">
        <v>124</v>
      </c>
      <c r="C132" s="124" t="s">
        <v>285</v>
      </c>
      <c r="D132" s="116" t="s">
        <v>65</v>
      </c>
      <c r="E132" s="125">
        <v>92</v>
      </c>
      <c r="F132" s="126">
        <v>119.7</v>
      </c>
      <c r="G132" s="126">
        <v>18</v>
      </c>
      <c r="I132" s="125">
        <f t="shared" si="1"/>
        <v>4</v>
      </c>
      <c r="J132" s="127">
        <v>4.0937400000000004</v>
      </c>
      <c r="M132" s="128"/>
    </row>
    <row r="133" spans="2:13">
      <c r="B133" s="116">
        <v>125</v>
      </c>
      <c r="C133" s="124" t="s">
        <v>286</v>
      </c>
      <c r="D133" s="116" t="s">
        <v>86</v>
      </c>
      <c r="E133" s="125">
        <v>61</v>
      </c>
      <c r="F133" s="126">
        <v>102.4</v>
      </c>
      <c r="G133" s="126">
        <v>13</v>
      </c>
      <c r="I133" s="125">
        <f t="shared" si="1"/>
        <v>4</v>
      </c>
      <c r="J133" s="127">
        <v>3.5942400000000001</v>
      </c>
      <c r="M133" s="128"/>
    </row>
    <row r="134" spans="2:13">
      <c r="B134" s="116">
        <v>126</v>
      </c>
      <c r="C134" s="124" t="s">
        <v>287</v>
      </c>
      <c r="D134" s="116" t="s">
        <v>78</v>
      </c>
      <c r="E134" s="125">
        <v>68</v>
      </c>
      <c r="F134" s="126">
        <v>97.6</v>
      </c>
      <c r="G134" s="126">
        <v>16</v>
      </c>
      <c r="I134" s="125">
        <f t="shared" si="1"/>
        <v>3</v>
      </c>
      <c r="J134" s="127">
        <v>3.0158399999999999</v>
      </c>
      <c r="M134" s="128"/>
    </row>
    <row r="135" spans="2:13">
      <c r="B135" s="116">
        <v>127</v>
      </c>
      <c r="C135" s="124" t="s">
        <v>288</v>
      </c>
      <c r="D135" s="116" t="s">
        <v>84</v>
      </c>
      <c r="E135" s="125">
        <v>53</v>
      </c>
      <c r="F135" s="126">
        <v>85.8</v>
      </c>
      <c r="G135" s="126">
        <v>15</v>
      </c>
      <c r="I135" s="125">
        <f t="shared" si="1"/>
        <v>3</v>
      </c>
      <c r="J135" s="127">
        <v>3.1831800000000001</v>
      </c>
      <c r="M135" s="128"/>
    </row>
    <row r="136" spans="2:13">
      <c r="B136" s="116">
        <v>128</v>
      </c>
      <c r="C136" s="124" t="s">
        <v>289</v>
      </c>
      <c r="D136" s="116" t="s">
        <v>88</v>
      </c>
      <c r="E136" s="125">
        <v>59</v>
      </c>
      <c r="F136" s="126">
        <v>79.900000000000006</v>
      </c>
      <c r="G136" s="126">
        <v>9</v>
      </c>
      <c r="I136" s="125">
        <f t="shared" si="1"/>
        <v>3</v>
      </c>
      <c r="J136" s="127">
        <v>2.06941</v>
      </c>
      <c r="M136" s="128"/>
    </row>
    <row r="137" spans="2:13">
      <c r="B137" s="116">
        <v>129</v>
      </c>
      <c r="C137" s="124" t="s">
        <v>290</v>
      </c>
      <c r="D137" s="116" t="s">
        <v>84</v>
      </c>
      <c r="E137" s="125">
        <v>71</v>
      </c>
      <c r="F137" s="126">
        <v>115.2</v>
      </c>
      <c r="G137" s="126">
        <v>14</v>
      </c>
      <c r="I137" s="125">
        <f t="shared" ref="I137:I200" si="2">IF(F137&lt;=100,3,IF(F137&lt;=140,4,IF(F137&lt;=175,5,6)))</f>
        <v>4</v>
      </c>
      <c r="J137" s="127">
        <v>2.5113600000000003</v>
      </c>
      <c r="M137" s="128"/>
    </row>
    <row r="138" spans="2:13">
      <c r="B138" s="116">
        <v>130</v>
      </c>
      <c r="C138" s="124" t="s">
        <v>291</v>
      </c>
      <c r="D138" s="116" t="s">
        <v>84</v>
      </c>
      <c r="E138" s="125">
        <v>63</v>
      </c>
      <c r="F138" s="126">
        <v>77.400000000000006</v>
      </c>
      <c r="G138" s="126">
        <v>12</v>
      </c>
      <c r="I138" s="125">
        <f t="shared" si="2"/>
        <v>3</v>
      </c>
      <c r="J138" s="127">
        <v>2.1285000000000003</v>
      </c>
      <c r="M138" s="128"/>
    </row>
    <row r="139" spans="2:13">
      <c r="B139" s="116">
        <v>131</v>
      </c>
      <c r="C139" s="124" t="s">
        <v>292</v>
      </c>
      <c r="D139" s="116" t="s">
        <v>55</v>
      </c>
      <c r="E139" s="125">
        <v>70</v>
      </c>
      <c r="F139" s="126">
        <v>125.8</v>
      </c>
      <c r="G139" s="126">
        <v>19</v>
      </c>
      <c r="I139" s="125">
        <f t="shared" si="2"/>
        <v>4</v>
      </c>
      <c r="J139" s="127">
        <v>3.7991600000000001</v>
      </c>
      <c r="M139" s="128"/>
    </row>
    <row r="140" spans="2:13">
      <c r="B140" s="116">
        <v>132</v>
      </c>
      <c r="C140" s="124" t="s">
        <v>293</v>
      </c>
      <c r="D140" s="116" t="s">
        <v>84</v>
      </c>
      <c r="E140" s="125">
        <v>98</v>
      </c>
      <c r="F140" s="126">
        <v>109.9</v>
      </c>
      <c r="G140" s="126">
        <v>18</v>
      </c>
      <c r="I140" s="125">
        <f t="shared" si="2"/>
        <v>4</v>
      </c>
      <c r="J140" s="127">
        <v>3.4178899999999999</v>
      </c>
      <c r="M140" s="128"/>
    </row>
    <row r="141" spans="2:13">
      <c r="B141" s="116">
        <v>133</v>
      </c>
      <c r="C141" s="124" t="s">
        <v>294</v>
      </c>
      <c r="D141" s="116" t="s">
        <v>88</v>
      </c>
      <c r="E141" s="125">
        <v>62</v>
      </c>
      <c r="F141" s="126">
        <v>76.3</v>
      </c>
      <c r="G141" s="126">
        <v>11</v>
      </c>
      <c r="I141" s="125">
        <f t="shared" si="2"/>
        <v>3</v>
      </c>
      <c r="J141" s="127">
        <v>2.2966299999999999</v>
      </c>
      <c r="M141" s="128"/>
    </row>
    <row r="142" spans="2:13">
      <c r="B142" s="116">
        <v>134</v>
      </c>
      <c r="C142" s="124" t="s">
        <v>295</v>
      </c>
      <c r="D142" s="116" t="s">
        <v>86</v>
      </c>
      <c r="E142" s="125">
        <v>68</v>
      </c>
      <c r="F142" s="126">
        <v>111.9</v>
      </c>
      <c r="G142" s="126">
        <v>17</v>
      </c>
      <c r="I142" s="125">
        <f t="shared" si="2"/>
        <v>4</v>
      </c>
      <c r="J142" s="127">
        <v>3.9836400000000003</v>
      </c>
      <c r="M142" s="128"/>
    </row>
    <row r="143" spans="2:13">
      <c r="B143" s="116">
        <v>135</v>
      </c>
      <c r="C143" s="124" t="s">
        <v>296</v>
      </c>
      <c r="D143" s="116" t="s">
        <v>63</v>
      </c>
      <c r="E143" s="125">
        <v>69</v>
      </c>
      <c r="F143" s="126">
        <v>118.4</v>
      </c>
      <c r="G143" s="126">
        <v>12</v>
      </c>
      <c r="I143" s="125">
        <f t="shared" si="2"/>
        <v>4</v>
      </c>
      <c r="J143" s="127">
        <v>2.71136</v>
      </c>
      <c r="M143" s="128"/>
    </row>
    <row r="144" spans="2:13">
      <c r="B144" s="116">
        <v>136</v>
      </c>
      <c r="C144" s="124" t="s">
        <v>297</v>
      </c>
      <c r="D144" s="116" t="s">
        <v>78</v>
      </c>
      <c r="E144" s="125">
        <v>54</v>
      </c>
      <c r="F144" s="126">
        <v>88</v>
      </c>
      <c r="G144" s="126">
        <v>10</v>
      </c>
      <c r="I144" s="125">
        <f t="shared" si="2"/>
        <v>3</v>
      </c>
      <c r="J144" s="127">
        <v>2.8071999999999999</v>
      </c>
      <c r="M144" s="128"/>
    </row>
    <row r="145" spans="2:13">
      <c r="B145" s="116">
        <v>137</v>
      </c>
      <c r="C145" s="124" t="s">
        <v>298</v>
      </c>
      <c r="D145" s="116" t="s">
        <v>84</v>
      </c>
      <c r="E145" s="125">
        <v>43</v>
      </c>
      <c r="F145" s="126">
        <v>80.8</v>
      </c>
      <c r="G145" s="126">
        <v>13</v>
      </c>
      <c r="I145" s="125">
        <f t="shared" si="2"/>
        <v>3</v>
      </c>
      <c r="J145" s="127">
        <v>3.0703999999999998</v>
      </c>
      <c r="M145" s="128"/>
    </row>
    <row r="146" spans="2:13">
      <c r="B146" s="116">
        <v>138</v>
      </c>
      <c r="C146" s="124" t="s">
        <v>299</v>
      </c>
      <c r="D146" s="116" t="s">
        <v>78</v>
      </c>
      <c r="E146" s="125">
        <v>65</v>
      </c>
      <c r="F146" s="126">
        <v>69.400000000000006</v>
      </c>
      <c r="G146" s="126">
        <v>13</v>
      </c>
      <c r="I146" s="125">
        <f t="shared" si="2"/>
        <v>3</v>
      </c>
      <c r="J146" s="127">
        <v>2.3596000000000004</v>
      </c>
      <c r="M146" s="128"/>
    </row>
    <row r="147" spans="2:13">
      <c r="B147" s="116">
        <v>139</v>
      </c>
      <c r="C147" s="124" t="s">
        <v>300</v>
      </c>
      <c r="D147" s="116" t="s">
        <v>65</v>
      </c>
      <c r="E147" s="125">
        <v>55</v>
      </c>
      <c r="F147" s="126">
        <v>106.9</v>
      </c>
      <c r="G147" s="126">
        <v>19</v>
      </c>
      <c r="I147" s="125">
        <f t="shared" si="2"/>
        <v>4</v>
      </c>
      <c r="J147" s="127">
        <v>2.7580200000000001</v>
      </c>
      <c r="M147" s="128"/>
    </row>
    <row r="148" spans="2:13">
      <c r="B148" s="116">
        <v>140</v>
      </c>
      <c r="C148" s="124" t="s">
        <v>301</v>
      </c>
      <c r="D148" s="116" t="s">
        <v>78</v>
      </c>
      <c r="E148" s="125">
        <v>72</v>
      </c>
      <c r="F148" s="126">
        <v>135.4</v>
      </c>
      <c r="G148" s="126">
        <v>24</v>
      </c>
      <c r="I148" s="125">
        <f t="shared" si="2"/>
        <v>4</v>
      </c>
      <c r="J148" s="127">
        <v>5.3753799999999998</v>
      </c>
      <c r="M148" s="128"/>
    </row>
    <row r="149" spans="2:13">
      <c r="B149" s="116">
        <v>141</v>
      </c>
      <c r="C149" s="124" t="s">
        <v>302</v>
      </c>
      <c r="D149" s="116" t="s">
        <v>84</v>
      </c>
      <c r="E149" s="125">
        <v>44</v>
      </c>
      <c r="F149" s="126">
        <v>54.6</v>
      </c>
      <c r="G149" s="126">
        <v>8</v>
      </c>
      <c r="I149" s="125">
        <f t="shared" si="2"/>
        <v>3</v>
      </c>
      <c r="J149" s="127">
        <v>1.1029199999999999</v>
      </c>
      <c r="M149" s="128"/>
    </row>
    <row r="150" spans="2:13">
      <c r="B150" s="116">
        <v>142</v>
      </c>
      <c r="C150" s="124" t="s">
        <v>303</v>
      </c>
      <c r="D150" s="116" t="s">
        <v>65</v>
      </c>
      <c r="E150" s="125">
        <v>45</v>
      </c>
      <c r="F150" s="126">
        <v>74.3</v>
      </c>
      <c r="G150" s="126">
        <v>10</v>
      </c>
      <c r="I150" s="125">
        <f t="shared" si="2"/>
        <v>3</v>
      </c>
      <c r="J150" s="127">
        <v>2.5262000000000002</v>
      </c>
      <c r="M150" s="128"/>
    </row>
    <row r="151" spans="2:13">
      <c r="B151" s="116">
        <v>143</v>
      </c>
      <c r="C151" s="124" t="s">
        <v>304</v>
      </c>
      <c r="D151" s="116" t="s">
        <v>82</v>
      </c>
      <c r="E151" s="125">
        <v>81</v>
      </c>
      <c r="F151" s="126">
        <v>136</v>
      </c>
      <c r="G151" s="126">
        <v>23</v>
      </c>
      <c r="I151" s="125">
        <f t="shared" si="2"/>
        <v>4</v>
      </c>
      <c r="J151" s="127">
        <v>4.2431999999999999</v>
      </c>
      <c r="M151" s="128"/>
    </row>
    <row r="152" spans="2:13">
      <c r="B152" s="116">
        <v>144</v>
      </c>
      <c r="C152" s="124" t="s">
        <v>305</v>
      </c>
      <c r="D152" s="116" t="s">
        <v>65</v>
      </c>
      <c r="E152" s="125">
        <v>75</v>
      </c>
      <c r="F152" s="126">
        <v>98.3</v>
      </c>
      <c r="G152" s="126">
        <v>16</v>
      </c>
      <c r="I152" s="125">
        <f t="shared" si="2"/>
        <v>3</v>
      </c>
      <c r="J152" s="127">
        <v>2.9293399999999998</v>
      </c>
      <c r="M152" s="128"/>
    </row>
    <row r="153" spans="2:13">
      <c r="B153" s="116">
        <v>145</v>
      </c>
      <c r="C153" s="124" t="s">
        <v>306</v>
      </c>
      <c r="D153" s="116" t="s">
        <v>86</v>
      </c>
      <c r="E153" s="125">
        <v>61</v>
      </c>
      <c r="F153" s="126">
        <v>119.7</v>
      </c>
      <c r="G153" s="126">
        <v>23</v>
      </c>
      <c r="I153" s="125">
        <f t="shared" si="2"/>
        <v>4</v>
      </c>
      <c r="J153" s="127">
        <v>3.1122000000000001</v>
      </c>
      <c r="M153" s="128"/>
    </row>
    <row r="154" spans="2:13">
      <c r="B154" s="116">
        <v>146</v>
      </c>
      <c r="C154" s="124" t="s">
        <v>307</v>
      </c>
      <c r="D154" s="116" t="s">
        <v>86</v>
      </c>
      <c r="E154" s="125">
        <v>72</v>
      </c>
      <c r="F154" s="126">
        <v>106.8</v>
      </c>
      <c r="G154" s="126">
        <v>12</v>
      </c>
      <c r="I154" s="125">
        <f t="shared" si="2"/>
        <v>4</v>
      </c>
      <c r="J154" s="127">
        <v>4.1331599999999993</v>
      </c>
      <c r="M154" s="128"/>
    </row>
    <row r="155" spans="2:13">
      <c r="B155" s="116">
        <v>147</v>
      </c>
      <c r="C155" s="124" t="s">
        <v>308</v>
      </c>
      <c r="D155" s="116" t="s">
        <v>66</v>
      </c>
      <c r="E155" s="125">
        <v>58</v>
      </c>
      <c r="F155" s="126">
        <v>58.1</v>
      </c>
      <c r="G155" s="126">
        <v>11</v>
      </c>
      <c r="I155" s="125">
        <f t="shared" si="2"/>
        <v>3</v>
      </c>
      <c r="J155" s="127">
        <v>1.49898</v>
      </c>
      <c r="M155" s="128"/>
    </row>
    <row r="156" spans="2:13">
      <c r="B156" s="116">
        <v>148</v>
      </c>
      <c r="C156" s="124" t="s">
        <v>309</v>
      </c>
      <c r="D156" s="116" t="s">
        <v>86</v>
      </c>
      <c r="E156" s="125">
        <v>68</v>
      </c>
      <c r="F156" s="126">
        <v>122.7</v>
      </c>
      <c r="G156" s="126">
        <v>22</v>
      </c>
      <c r="I156" s="125">
        <f t="shared" si="2"/>
        <v>4</v>
      </c>
      <c r="J156" s="127">
        <v>3.44787</v>
      </c>
      <c r="M156" s="128"/>
    </row>
    <row r="157" spans="2:13">
      <c r="B157" s="116">
        <v>149</v>
      </c>
      <c r="C157" s="124" t="s">
        <v>310</v>
      </c>
      <c r="D157" s="116" t="s">
        <v>65</v>
      </c>
      <c r="E157" s="125">
        <v>91</v>
      </c>
      <c r="F157" s="126">
        <v>114.8</v>
      </c>
      <c r="G157" s="126">
        <v>20</v>
      </c>
      <c r="I157" s="125">
        <f t="shared" si="2"/>
        <v>4</v>
      </c>
      <c r="J157" s="127">
        <v>4.0983600000000004</v>
      </c>
      <c r="M157" s="128"/>
    </row>
    <row r="158" spans="2:13">
      <c r="B158" s="116">
        <v>150</v>
      </c>
      <c r="C158" s="124" t="s">
        <v>311</v>
      </c>
      <c r="D158" s="116" t="s">
        <v>63</v>
      </c>
      <c r="E158" s="125">
        <v>43</v>
      </c>
      <c r="F158" s="126">
        <v>64.8</v>
      </c>
      <c r="G158" s="126">
        <v>7</v>
      </c>
      <c r="I158" s="125">
        <f t="shared" si="2"/>
        <v>3</v>
      </c>
      <c r="J158" s="127">
        <v>2.08656</v>
      </c>
      <c r="M158" s="128"/>
    </row>
    <row r="159" spans="2:13">
      <c r="B159" s="116">
        <v>151</v>
      </c>
      <c r="C159" s="124" t="s">
        <v>312</v>
      </c>
      <c r="D159" s="116" t="s">
        <v>65</v>
      </c>
      <c r="E159" s="125">
        <v>92</v>
      </c>
      <c r="F159" s="126">
        <v>181.4</v>
      </c>
      <c r="G159" s="126">
        <v>29</v>
      </c>
      <c r="I159" s="125">
        <f t="shared" si="2"/>
        <v>6</v>
      </c>
      <c r="J159" s="127">
        <v>6.4941199999999997</v>
      </c>
      <c r="M159" s="128"/>
    </row>
    <row r="160" spans="2:13">
      <c r="B160" s="116">
        <v>152</v>
      </c>
      <c r="C160" s="124" t="s">
        <v>313</v>
      </c>
      <c r="D160" s="116" t="s">
        <v>65</v>
      </c>
      <c r="E160" s="125">
        <v>70</v>
      </c>
      <c r="F160" s="126">
        <v>95.7</v>
      </c>
      <c r="G160" s="126">
        <v>11</v>
      </c>
      <c r="I160" s="125">
        <f t="shared" si="2"/>
        <v>3</v>
      </c>
      <c r="J160" s="127">
        <v>2.4212099999999999</v>
      </c>
      <c r="M160" s="128"/>
    </row>
    <row r="161" spans="2:13">
      <c r="B161" s="116">
        <v>153</v>
      </c>
      <c r="C161" s="124" t="s">
        <v>314</v>
      </c>
      <c r="D161" s="116" t="s">
        <v>86</v>
      </c>
      <c r="E161" s="125">
        <v>97</v>
      </c>
      <c r="F161" s="126">
        <v>115.3</v>
      </c>
      <c r="G161" s="126">
        <v>14</v>
      </c>
      <c r="I161" s="125">
        <f t="shared" si="2"/>
        <v>4</v>
      </c>
      <c r="J161" s="127">
        <v>4.0585599999999999</v>
      </c>
      <c r="M161" s="128"/>
    </row>
    <row r="162" spans="2:13">
      <c r="B162" s="116">
        <v>154</v>
      </c>
      <c r="C162" s="124" t="s">
        <v>315</v>
      </c>
      <c r="D162" s="116" t="s">
        <v>65</v>
      </c>
      <c r="E162" s="125">
        <v>77</v>
      </c>
      <c r="F162" s="126">
        <v>145.19999999999999</v>
      </c>
      <c r="G162" s="126">
        <v>17</v>
      </c>
      <c r="I162" s="125">
        <f t="shared" si="2"/>
        <v>5</v>
      </c>
      <c r="J162" s="127">
        <v>4.3269599999999997</v>
      </c>
      <c r="M162" s="128"/>
    </row>
    <row r="163" spans="2:13">
      <c r="B163" s="116">
        <v>155</v>
      </c>
      <c r="C163" s="124" t="s">
        <v>316</v>
      </c>
      <c r="D163" s="116" t="s">
        <v>86</v>
      </c>
      <c r="E163" s="125">
        <v>80</v>
      </c>
      <c r="F163" s="126">
        <v>142.80000000000001</v>
      </c>
      <c r="G163" s="126">
        <v>20</v>
      </c>
      <c r="I163" s="125">
        <f t="shared" si="2"/>
        <v>5</v>
      </c>
      <c r="J163" s="127">
        <v>3.6985200000000003</v>
      </c>
      <c r="M163" s="128"/>
    </row>
    <row r="164" spans="2:13">
      <c r="B164" s="116">
        <v>156</v>
      </c>
      <c r="C164" s="124" t="s">
        <v>317</v>
      </c>
      <c r="D164" s="116" t="s">
        <v>65</v>
      </c>
      <c r="E164" s="125">
        <v>43</v>
      </c>
      <c r="F164" s="126">
        <v>68.7</v>
      </c>
      <c r="G164" s="126">
        <v>14</v>
      </c>
      <c r="I164" s="125">
        <f t="shared" si="2"/>
        <v>3</v>
      </c>
      <c r="J164" s="127">
        <v>1.6625400000000001</v>
      </c>
      <c r="M164" s="128"/>
    </row>
    <row r="165" spans="2:13">
      <c r="B165" s="116">
        <v>157</v>
      </c>
      <c r="C165" s="124" t="s">
        <v>318</v>
      </c>
      <c r="D165" s="116" t="s">
        <v>86</v>
      </c>
      <c r="E165" s="125">
        <v>44</v>
      </c>
      <c r="F165" s="126">
        <v>51.3</v>
      </c>
      <c r="G165" s="126">
        <v>9</v>
      </c>
      <c r="I165" s="125">
        <f t="shared" si="2"/>
        <v>3</v>
      </c>
      <c r="J165" s="127">
        <v>1.3337999999999999</v>
      </c>
      <c r="M165" s="128"/>
    </row>
    <row r="166" spans="2:13">
      <c r="B166" s="116">
        <v>158</v>
      </c>
      <c r="C166" s="124" t="s">
        <v>319</v>
      </c>
      <c r="D166" s="116" t="s">
        <v>84</v>
      </c>
      <c r="E166" s="125">
        <v>88</v>
      </c>
      <c r="F166" s="126">
        <v>155.30000000000001</v>
      </c>
      <c r="G166" s="126">
        <v>28</v>
      </c>
      <c r="I166" s="125">
        <f t="shared" si="2"/>
        <v>5</v>
      </c>
      <c r="J166" s="127">
        <v>4.6589999999999998</v>
      </c>
      <c r="M166" s="128"/>
    </row>
    <row r="167" spans="2:13">
      <c r="B167" s="116">
        <v>159</v>
      </c>
      <c r="C167" s="124" t="s">
        <v>320</v>
      </c>
      <c r="D167" s="116" t="s">
        <v>84</v>
      </c>
      <c r="E167" s="125">
        <v>98</v>
      </c>
      <c r="F167" s="126">
        <v>122</v>
      </c>
      <c r="G167" s="126">
        <v>24</v>
      </c>
      <c r="I167" s="125">
        <f t="shared" si="2"/>
        <v>4</v>
      </c>
      <c r="J167" s="127">
        <v>2.5863999999999998</v>
      </c>
      <c r="M167" s="128"/>
    </row>
    <row r="168" spans="2:13">
      <c r="B168" s="116">
        <v>160</v>
      </c>
      <c r="C168" s="124" t="s">
        <v>321</v>
      </c>
      <c r="D168" s="116" t="s">
        <v>84</v>
      </c>
      <c r="E168" s="125">
        <v>98</v>
      </c>
      <c r="F168" s="126">
        <v>100.8</v>
      </c>
      <c r="G168" s="126">
        <v>13</v>
      </c>
      <c r="I168" s="125">
        <f t="shared" si="2"/>
        <v>4</v>
      </c>
      <c r="J168" s="127">
        <v>2.38896</v>
      </c>
      <c r="M168" s="128"/>
    </row>
    <row r="169" spans="2:13">
      <c r="B169" s="116">
        <v>161</v>
      </c>
      <c r="C169" s="124" t="s">
        <v>322</v>
      </c>
      <c r="D169" s="116" t="s">
        <v>78</v>
      </c>
      <c r="E169" s="125">
        <v>60</v>
      </c>
      <c r="F169" s="126">
        <v>79.3</v>
      </c>
      <c r="G169" s="126">
        <v>16</v>
      </c>
      <c r="I169" s="125">
        <f t="shared" si="2"/>
        <v>3</v>
      </c>
      <c r="J169" s="127">
        <v>2.9737499999999999</v>
      </c>
      <c r="M169" s="128"/>
    </row>
    <row r="170" spans="2:13">
      <c r="B170" s="116">
        <v>162</v>
      </c>
      <c r="C170" s="124" t="s">
        <v>323</v>
      </c>
      <c r="D170" s="116" t="s">
        <v>63</v>
      </c>
      <c r="E170" s="125">
        <v>70</v>
      </c>
      <c r="F170" s="126">
        <v>138.4</v>
      </c>
      <c r="G170" s="126">
        <v>17</v>
      </c>
      <c r="I170" s="125">
        <f t="shared" si="2"/>
        <v>4</v>
      </c>
      <c r="J170" s="127">
        <v>4.4426399999999999</v>
      </c>
      <c r="M170" s="128"/>
    </row>
    <row r="171" spans="2:13">
      <c r="B171" s="116">
        <v>163</v>
      </c>
      <c r="C171" s="124" t="s">
        <v>324</v>
      </c>
      <c r="D171" s="116" t="s">
        <v>65</v>
      </c>
      <c r="E171" s="125">
        <v>41</v>
      </c>
      <c r="F171" s="126">
        <v>52</v>
      </c>
      <c r="G171" s="126">
        <v>9</v>
      </c>
      <c r="I171" s="125">
        <f t="shared" si="2"/>
        <v>3</v>
      </c>
      <c r="J171" s="127">
        <v>1.4143999999999999</v>
      </c>
      <c r="M171" s="128"/>
    </row>
    <row r="172" spans="2:13">
      <c r="B172" s="116">
        <v>164</v>
      </c>
      <c r="C172" s="124" t="s">
        <v>325</v>
      </c>
      <c r="D172" s="116" t="s">
        <v>84</v>
      </c>
      <c r="E172" s="125">
        <v>70</v>
      </c>
      <c r="F172" s="126">
        <v>100.2</v>
      </c>
      <c r="G172" s="126">
        <v>18</v>
      </c>
      <c r="I172" s="125">
        <f t="shared" si="2"/>
        <v>4</v>
      </c>
      <c r="J172" s="127">
        <v>2.5350600000000001</v>
      </c>
      <c r="M172" s="128"/>
    </row>
    <row r="173" spans="2:13">
      <c r="B173" s="116">
        <v>165</v>
      </c>
      <c r="C173" s="124" t="s">
        <v>326</v>
      </c>
      <c r="D173" s="116" t="s">
        <v>86</v>
      </c>
      <c r="E173" s="125">
        <v>48</v>
      </c>
      <c r="F173" s="126">
        <v>72.5</v>
      </c>
      <c r="G173" s="126">
        <v>15</v>
      </c>
      <c r="I173" s="125">
        <f t="shared" si="2"/>
        <v>3</v>
      </c>
      <c r="J173" s="127">
        <v>2.3127499999999999</v>
      </c>
      <c r="M173" s="128"/>
    </row>
    <row r="174" spans="2:13">
      <c r="B174" s="116">
        <v>166</v>
      </c>
      <c r="C174" s="124" t="s">
        <v>327</v>
      </c>
      <c r="D174" s="116" t="s">
        <v>63</v>
      </c>
      <c r="E174" s="125">
        <v>74</v>
      </c>
      <c r="F174" s="126">
        <v>92.9</v>
      </c>
      <c r="G174" s="126">
        <v>10</v>
      </c>
      <c r="I174" s="125">
        <f t="shared" si="2"/>
        <v>3</v>
      </c>
      <c r="J174" s="127">
        <v>2.0066400000000004</v>
      </c>
      <c r="M174" s="128"/>
    </row>
    <row r="175" spans="2:13">
      <c r="B175" s="116">
        <v>167</v>
      </c>
      <c r="C175" s="124" t="s">
        <v>328</v>
      </c>
      <c r="D175" s="116" t="s">
        <v>63</v>
      </c>
      <c r="E175" s="125">
        <v>68</v>
      </c>
      <c r="F175" s="126">
        <v>89.4</v>
      </c>
      <c r="G175" s="126">
        <v>9</v>
      </c>
      <c r="I175" s="125">
        <f t="shared" si="2"/>
        <v>3</v>
      </c>
      <c r="J175" s="127">
        <v>3.1200600000000001</v>
      </c>
      <c r="M175" s="128"/>
    </row>
    <row r="176" spans="2:13">
      <c r="B176" s="116">
        <v>168</v>
      </c>
      <c r="C176" s="124" t="s">
        <v>329</v>
      </c>
      <c r="D176" s="116" t="s">
        <v>82</v>
      </c>
      <c r="E176" s="125">
        <v>57</v>
      </c>
      <c r="F176" s="126">
        <v>81.099999999999994</v>
      </c>
      <c r="G176" s="126">
        <v>15</v>
      </c>
      <c r="I176" s="125">
        <f t="shared" si="2"/>
        <v>3</v>
      </c>
      <c r="J176" s="127">
        <v>2.48977</v>
      </c>
      <c r="M176" s="128"/>
    </row>
    <row r="177" spans="2:13">
      <c r="B177" s="116">
        <v>169</v>
      </c>
      <c r="C177" s="124" t="s">
        <v>330</v>
      </c>
      <c r="D177" s="116" t="s">
        <v>65</v>
      </c>
      <c r="E177" s="125">
        <v>84</v>
      </c>
      <c r="F177" s="126">
        <v>154</v>
      </c>
      <c r="G177" s="126">
        <v>28</v>
      </c>
      <c r="I177" s="125">
        <f t="shared" si="2"/>
        <v>5</v>
      </c>
      <c r="J177" s="127">
        <v>5.2667999999999999</v>
      </c>
      <c r="M177" s="128"/>
    </row>
    <row r="178" spans="2:13">
      <c r="B178" s="116">
        <v>170</v>
      </c>
      <c r="C178" s="124" t="s">
        <v>331</v>
      </c>
      <c r="D178" s="116" t="s">
        <v>86</v>
      </c>
      <c r="E178" s="125">
        <v>52</v>
      </c>
      <c r="F178" s="126">
        <v>52.2</v>
      </c>
      <c r="G178" s="126">
        <v>5</v>
      </c>
      <c r="I178" s="125">
        <f t="shared" si="2"/>
        <v>3</v>
      </c>
      <c r="J178" s="127">
        <v>1.0753200000000001</v>
      </c>
      <c r="M178" s="128"/>
    </row>
    <row r="179" spans="2:13">
      <c r="B179" s="116">
        <v>171</v>
      </c>
      <c r="C179" s="124" t="s">
        <v>332</v>
      </c>
      <c r="D179" s="116" t="s">
        <v>84</v>
      </c>
      <c r="E179" s="125">
        <v>62</v>
      </c>
      <c r="F179" s="126">
        <v>100.1</v>
      </c>
      <c r="G179" s="126">
        <v>18</v>
      </c>
      <c r="I179" s="125">
        <f t="shared" si="2"/>
        <v>4</v>
      </c>
      <c r="J179" s="127">
        <v>3.9339300000000001</v>
      </c>
      <c r="M179" s="128"/>
    </row>
    <row r="180" spans="2:13">
      <c r="B180" s="116">
        <v>172</v>
      </c>
      <c r="C180" s="124" t="s">
        <v>333</v>
      </c>
      <c r="D180" s="116" t="s">
        <v>86</v>
      </c>
      <c r="E180" s="125">
        <v>55</v>
      </c>
      <c r="F180" s="126">
        <v>108.7</v>
      </c>
      <c r="G180" s="126">
        <v>18</v>
      </c>
      <c r="I180" s="125">
        <f t="shared" si="2"/>
        <v>4</v>
      </c>
      <c r="J180" s="127">
        <v>3.5871000000000004</v>
      </c>
      <c r="M180" s="128"/>
    </row>
    <row r="181" spans="2:13">
      <c r="B181" s="116">
        <v>173</v>
      </c>
      <c r="C181" s="124" t="s">
        <v>334</v>
      </c>
      <c r="D181" s="116" t="s">
        <v>65</v>
      </c>
      <c r="E181" s="125">
        <v>58</v>
      </c>
      <c r="F181" s="126">
        <v>83.8</v>
      </c>
      <c r="G181" s="126">
        <v>12</v>
      </c>
      <c r="I181" s="125">
        <f t="shared" si="2"/>
        <v>3</v>
      </c>
      <c r="J181" s="127">
        <v>2.1871800000000001</v>
      </c>
      <c r="M181" s="128"/>
    </row>
    <row r="182" spans="2:13">
      <c r="B182" s="116">
        <v>174</v>
      </c>
      <c r="C182" s="124" t="s">
        <v>335</v>
      </c>
      <c r="D182" s="116" t="s">
        <v>84</v>
      </c>
      <c r="E182" s="125">
        <v>48</v>
      </c>
      <c r="F182" s="126">
        <v>81.599999999999994</v>
      </c>
      <c r="G182" s="126">
        <v>15</v>
      </c>
      <c r="I182" s="125">
        <f t="shared" si="2"/>
        <v>3</v>
      </c>
      <c r="J182" s="127">
        <v>2.0644799999999996</v>
      </c>
      <c r="M182" s="128"/>
    </row>
    <row r="183" spans="2:13">
      <c r="B183" s="116">
        <v>175</v>
      </c>
      <c r="C183" s="124" t="s">
        <v>336</v>
      </c>
      <c r="D183" s="116" t="s">
        <v>65</v>
      </c>
      <c r="E183" s="125">
        <v>89</v>
      </c>
      <c r="F183" s="126">
        <v>98.6</v>
      </c>
      <c r="G183" s="126">
        <v>19</v>
      </c>
      <c r="I183" s="125">
        <f t="shared" si="2"/>
        <v>3</v>
      </c>
      <c r="J183" s="127">
        <v>3.27352</v>
      </c>
      <c r="M183" s="128"/>
    </row>
    <row r="184" spans="2:13">
      <c r="B184" s="116">
        <v>176</v>
      </c>
      <c r="C184" s="124" t="s">
        <v>337</v>
      </c>
      <c r="D184" s="116" t="s">
        <v>88</v>
      </c>
      <c r="E184" s="125">
        <v>35</v>
      </c>
      <c r="F184" s="126">
        <v>41.6</v>
      </c>
      <c r="G184" s="126">
        <v>8</v>
      </c>
      <c r="I184" s="125">
        <f t="shared" si="2"/>
        <v>3</v>
      </c>
      <c r="J184" s="127">
        <v>1.3020800000000001</v>
      </c>
      <c r="M184" s="128"/>
    </row>
    <row r="185" spans="2:13">
      <c r="B185" s="116">
        <v>177</v>
      </c>
      <c r="C185" s="124" t="s">
        <v>338</v>
      </c>
      <c r="D185" s="116" t="s">
        <v>66</v>
      </c>
      <c r="E185" s="125">
        <v>37</v>
      </c>
      <c r="F185" s="126">
        <v>69</v>
      </c>
      <c r="G185" s="126">
        <v>7</v>
      </c>
      <c r="I185" s="125">
        <f t="shared" si="2"/>
        <v>3</v>
      </c>
      <c r="J185" s="127">
        <v>2.4081000000000001</v>
      </c>
      <c r="M185" s="128"/>
    </row>
    <row r="186" spans="2:13">
      <c r="B186" s="116">
        <v>178</v>
      </c>
      <c r="C186" s="124" t="s">
        <v>339</v>
      </c>
      <c r="D186" s="116" t="s">
        <v>92</v>
      </c>
      <c r="E186" s="125">
        <v>52</v>
      </c>
      <c r="F186" s="126">
        <v>69.599999999999994</v>
      </c>
      <c r="G186" s="126">
        <v>11</v>
      </c>
      <c r="I186" s="125">
        <f t="shared" si="2"/>
        <v>3</v>
      </c>
      <c r="J186" s="127">
        <v>1.4963999999999997</v>
      </c>
      <c r="M186" s="128"/>
    </row>
    <row r="187" spans="2:13">
      <c r="B187" s="116">
        <v>179</v>
      </c>
      <c r="C187" s="124" t="s">
        <v>340</v>
      </c>
      <c r="D187" s="116" t="s">
        <v>68</v>
      </c>
      <c r="E187" s="125">
        <v>93</v>
      </c>
      <c r="F187" s="126">
        <v>176.3</v>
      </c>
      <c r="G187" s="126">
        <v>32</v>
      </c>
      <c r="I187" s="125">
        <f t="shared" si="2"/>
        <v>6</v>
      </c>
      <c r="J187" s="127">
        <v>6.3644300000000005</v>
      </c>
      <c r="M187" s="128"/>
    </row>
    <row r="188" spans="2:13">
      <c r="B188" s="116">
        <v>180</v>
      </c>
      <c r="C188" s="124" t="s">
        <v>341</v>
      </c>
      <c r="D188" s="116" t="s">
        <v>86</v>
      </c>
      <c r="E188" s="125">
        <v>71</v>
      </c>
      <c r="F188" s="126">
        <v>125.8</v>
      </c>
      <c r="G188" s="126">
        <v>23</v>
      </c>
      <c r="I188" s="125">
        <f t="shared" si="2"/>
        <v>4</v>
      </c>
      <c r="J188" s="127">
        <v>3.5853000000000002</v>
      </c>
      <c r="M188" s="128"/>
    </row>
    <row r="189" spans="2:13">
      <c r="B189" s="116">
        <v>181</v>
      </c>
      <c r="C189" s="124" t="s">
        <v>342</v>
      </c>
      <c r="D189" s="116" t="s">
        <v>86</v>
      </c>
      <c r="E189" s="125">
        <v>58</v>
      </c>
      <c r="F189" s="126">
        <v>82.8</v>
      </c>
      <c r="G189" s="126">
        <v>15</v>
      </c>
      <c r="I189" s="125">
        <f t="shared" si="2"/>
        <v>3</v>
      </c>
      <c r="J189" s="127">
        <v>2.7489599999999998</v>
      </c>
      <c r="M189" s="128"/>
    </row>
    <row r="190" spans="2:13">
      <c r="B190" s="116">
        <v>182</v>
      </c>
      <c r="C190" s="124" t="s">
        <v>343</v>
      </c>
      <c r="D190" s="116" t="s">
        <v>92</v>
      </c>
      <c r="E190" s="125">
        <v>78</v>
      </c>
      <c r="F190" s="126">
        <v>114.7</v>
      </c>
      <c r="G190" s="126">
        <v>19</v>
      </c>
      <c r="I190" s="125">
        <f t="shared" si="2"/>
        <v>4</v>
      </c>
      <c r="J190" s="127">
        <v>4.1980200000000005</v>
      </c>
      <c r="M190" s="128"/>
    </row>
    <row r="191" spans="2:13">
      <c r="B191" s="116">
        <v>183</v>
      </c>
      <c r="C191" s="124" t="s">
        <v>344</v>
      </c>
      <c r="D191" s="116" t="s">
        <v>65</v>
      </c>
      <c r="E191" s="125">
        <v>40</v>
      </c>
      <c r="F191" s="126">
        <v>44.9</v>
      </c>
      <c r="G191" s="126">
        <v>5</v>
      </c>
      <c r="I191" s="125">
        <f t="shared" si="2"/>
        <v>3</v>
      </c>
      <c r="J191" s="127">
        <v>1.25271</v>
      </c>
      <c r="M191" s="128"/>
    </row>
    <row r="192" spans="2:13">
      <c r="B192" s="116">
        <v>184</v>
      </c>
      <c r="C192" s="124" t="s">
        <v>345</v>
      </c>
      <c r="D192" s="116" t="s">
        <v>65</v>
      </c>
      <c r="E192" s="125">
        <v>90</v>
      </c>
      <c r="F192" s="126">
        <v>94.9</v>
      </c>
      <c r="G192" s="126">
        <v>10</v>
      </c>
      <c r="I192" s="125">
        <f t="shared" si="2"/>
        <v>3</v>
      </c>
      <c r="J192" s="127">
        <v>2.95139</v>
      </c>
      <c r="M192" s="128"/>
    </row>
    <row r="193" spans="2:13">
      <c r="B193" s="116">
        <v>185</v>
      </c>
      <c r="C193" s="124" t="s">
        <v>346</v>
      </c>
      <c r="D193" s="116" t="s">
        <v>65</v>
      </c>
      <c r="E193" s="125">
        <v>82</v>
      </c>
      <c r="F193" s="126">
        <v>115.4</v>
      </c>
      <c r="G193" s="126">
        <v>13</v>
      </c>
      <c r="I193" s="125">
        <f t="shared" si="2"/>
        <v>4</v>
      </c>
      <c r="J193" s="127">
        <v>2.5388000000000002</v>
      </c>
      <c r="M193" s="128"/>
    </row>
    <row r="194" spans="2:13">
      <c r="B194" s="116">
        <v>186</v>
      </c>
      <c r="C194" s="124" t="s">
        <v>347</v>
      </c>
      <c r="D194" s="116" t="s">
        <v>65</v>
      </c>
      <c r="E194" s="125">
        <v>47</v>
      </c>
      <c r="F194" s="126">
        <v>60.6</v>
      </c>
      <c r="G194" s="126">
        <v>11</v>
      </c>
      <c r="I194" s="125">
        <f t="shared" si="2"/>
        <v>3</v>
      </c>
      <c r="J194" s="127">
        <v>1.2726000000000002</v>
      </c>
      <c r="M194" s="128"/>
    </row>
    <row r="195" spans="2:13">
      <c r="B195" s="116">
        <v>187</v>
      </c>
      <c r="C195" s="124" t="s">
        <v>348</v>
      </c>
      <c r="D195" s="116" t="s">
        <v>65</v>
      </c>
      <c r="E195" s="125">
        <v>95</v>
      </c>
      <c r="F195" s="126">
        <v>178.2</v>
      </c>
      <c r="G195" s="126">
        <v>20</v>
      </c>
      <c r="I195" s="125">
        <f t="shared" si="2"/>
        <v>6</v>
      </c>
      <c r="J195" s="127">
        <v>6.2013599999999993</v>
      </c>
      <c r="M195" s="128"/>
    </row>
    <row r="196" spans="2:13">
      <c r="B196" s="116">
        <v>188</v>
      </c>
      <c r="C196" s="124" t="s">
        <v>349</v>
      </c>
      <c r="D196" s="116" t="s">
        <v>78</v>
      </c>
      <c r="E196" s="125">
        <v>42</v>
      </c>
      <c r="F196" s="126">
        <v>73.900000000000006</v>
      </c>
      <c r="G196" s="126">
        <v>13</v>
      </c>
      <c r="I196" s="125">
        <f t="shared" si="2"/>
        <v>3</v>
      </c>
      <c r="J196" s="127">
        <v>1.5519000000000003</v>
      </c>
      <c r="M196" s="128"/>
    </row>
    <row r="197" spans="2:13">
      <c r="B197" s="116">
        <v>189</v>
      </c>
      <c r="C197" s="124" t="s">
        <v>350</v>
      </c>
      <c r="D197" s="116" t="s">
        <v>65</v>
      </c>
      <c r="E197" s="125">
        <v>44</v>
      </c>
      <c r="F197" s="126">
        <v>83.2</v>
      </c>
      <c r="G197" s="126">
        <v>13</v>
      </c>
      <c r="I197" s="125">
        <f t="shared" si="2"/>
        <v>3</v>
      </c>
      <c r="J197" s="127">
        <v>2.4377599999999999</v>
      </c>
      <c r="M197" s="128"/>
    </row>
    <row r="198" spans="2:13">
      <c r="B198" s="116">
        <v>190</v>
      </c>
      <c r="C198" s="124" t="s">
        <v>351</v>
      </c>
      <c r="D198" s="116" t="s">
        <v>78</v>
      </c>
      <c r="E198" s="125">
        <v>60</v>
      </c>
      <c r="F198" s="126">
        <v>94</v>
      </c>
      <c r="G198" s="126">
        <v>19</v>
      </c>
      <c r="I198" s="125">
        <f t="shared" si="2"/>
        <v>3</v>
      </c>
      <c r="J198" s="127">
        <v>2.5286</v>
      </c>
      <c r="M198" s="128"/>
    </row>
    <row r="199" spans="2:13">
      <c r="B199" s="116">
        <v>191</v>
      </c>
      <c r="C199" s="124" t="s">
        <v>352</v>
      </c>
      <c r="D199" s="116" t="s">
        <v>70</v>
      </c>
      <c r="E199" s="125">
        <v>76</v>
      </c>
      <c r="F199" s="126">
        <v>120.9</v>
      </c>
      <c r="G199" s="126">
        <v>21</v>
      </c>
      <c r="I199" s="125">
        <f t="shared" si="2"/>
        <v>4</v>
      </c>
      <c r="J199" s="127">
        <v>4.4249400000000003</v>
      </c>
      <c r="M199" s="128"/>
    </row>
    <row r="200" spans="2:13">
      <c r="B200" s="116">
        <v>192</v>
      </c>
      <c r="C200" s="124" t="s">
        <v>353</v>
      </c>
      <c r="D200" s="116" t="s">
        <v>93</v>
      </c>
      <c r="E200" s="125">
        <v>49</v>
      </c>
      <c r="F200" s="126">
        <v>82.9</v>
      </c>
      <c r="G200" s="126">
        <v>14</v>
      </c>
      <c r="I200" s="125">
        <f t="shared" si="2"/>
        <v>3</v>
      </c>
      <c r="J200" s="127">
        <v>2.7108300000000001</v>
      </c>
      <c r="M200" s="128"/>
    </row>
    <row r="201" spans="2:13">
      <c r="B201" s="116">
        <v>193</v>
      </c>
      <c r="C201" s="124" t="s">
        <v>354</v>
      </c>
      <c r="D201" s="116" t="s">
        <v>84</v>
      </c>
      <c r="E201" s="125">
        <v>46</v>
      </c>
      <c r="F201" s="126">
        <v>68.400000000000006</v>
      </c>
      <c r="G201" s="126">
        <v>10</v>
      </c>
      <c r="I201" s="125">
        <f t="shared" ref="I201:I264" si="3">IF(F201&lt;=100,3,IF(F201&lt;=140,4,IF(F201&lt;=175,5,6)))</f>
        <v>3</v>
      </c>
      <c r="J201" s="127">
        <v>1.4364000000000001</v>
      </c>
      <c r="M201" s="128"/>
    </row>
    <row r="202" spans="2:13">
      <c r="B202" s="116">
        <v>194</v>
      </c>
      <c r="C202" s="124" t="s">
        <v>355</v>
      </c>
      <c r="D202" s="116" t="s">
        <v>65</v>
      </c>
      <c r="E202" s="125">
        <v>81</v>
      </c>
      <c r="F202" s="126">
        <v>131.5</v>
      </c>
      <c r="G202" s="126">
        <v>16</v>
      </c>
      <c r="I202" s="125">
        <f t="shared" si="3"/>
        <v>4</v>
      </c>
      <c r="J202" s="127">
        <v>2.8666999999999998</v>
      </c>
      <c r="M202" s="128"/>
    </row>
    <row r="203" spans="2:13">
      <c r="B203" s="116">
        <v>195</v>
      </c>
      <c r="C203" s="124" t="s">
        <v>356</v>
      </c>
      <c r="D203" s="116" t="s">
        <v>65</v>
      </c>
      <c r="E203" s="125">
        <v>76</v>
      </c>
      <c r="F203" s="126">
        <v>108.1</v>
      </c>
      <c r="G203" s="126">
        <v>11</v>
      </c>
      <c r="I203" s="125">
        <f t="shared" si="3"/>
        <v>4</v>
      </c>
      <c r="J203" s="127">
        <v>3.1132799999999996</v>
      </c>
      <c r="M203" s="128"/>
    </row>
    <row r="204" spans="2:13">
      <c r="B204" s="116">
        <v>196</v>
      </c>
      <c r="C204" s="124" t="s">
        <v>357</v>
      </c>
      <c r="D204" s="116" t="s">
        <v>78</v>
      </c>
      <c r="E204" s="125">
        <v>84</v>
      </c>
      <c r="F204" s="126">
        <v>100.1</v>
      </c>
      <c r="G204" s="126">
        <v>20</v>
      </c>
      <c r="I204" s="125">
        <f t="shared" si="3"/>
        <v>4</v>
      </c>
      <c r="J204" s="127">
        <v>3.4634599999999995</v>
      </c>
      <c r="M204" s="128"/>
    </row>
    <row r="205" spans="2:13">
      <c r="B205" s="116">
        <v>197</v>
      </c>
      <c r="C205" s="124" t="s">
        <v>358</v>
      </c>
      <c r="D205" s="116" t="s">
        <v>65</v>
      </c>
      <c r="E205" s="125">
        <v>60</v>
      </c>
      <c r="F205" s="126">
        <v>64.7</v>
      </c>
      <c r="G205" s="126">
        <v>12</v>
      </c>
      <c r="I205" s="125">
        <f t="shared" si="3"/>
        <v>3</v>
      </c>
      <c r="J205" s="127">
        <v>2.2774400000000004</v>
      </c>
      <c r="M205" s="128"/>
    </row>
    <row r="206" spans="2:13">
      <c r="B206" s="116">
        <v>198</v>
      </c>
      <c r="C206" s="124" t="s">
        <v>359</v>
      </c>
      <c r="D206" s="116" t="s">
        <v>86</v>
      </c>
      <c r="E206" s="125">
        <v>49</v>
      </c>
      <c r="F206" s="126">
        <v>58.2</v>
      </c>
      <c r="G206" s="126">
        <v>7</v>
      </c>
      <c r="I206" s="125">
        <f t="shared" si="3"/>
        <v>3</v>
      </c>
      <c r="J206" s="127">
        <v>1.2454799999999999</v>
      </c>
      <c r="M206" s="128"/>
    </row>
    <row r="207" spans="2:13">
      <c r="B207" s="116">
        <v>199</v>
      </c>
      <c r="C207" s="124" t="s">
        <v>360</v>
      </c>
      <c r="D207" s="116" t="s">
        <v>84</v>
      </c>
      <c r="E207" s="125">
        <v>95</v>
      </c>
      <c r="F207" s="126">
        <v>141.9</v>
      </c>
      <c r="G207" s="126">
        <v>23</v>
      </c>
      <c r="I207" s="125">
        <f t="shared" si="3"/>
        <v>5</v>
      </c>
      <c r="J207" s="127">
        <v>5.2928700000000006</v>
      </c>
      <c r="M207" s="128"/>
    </row>
    <row r="208" spans="2:13">
      <c r="B208" s="116">
        <v>200</v>
      </c>
      <c r="C208" s="124" t="s">
        <v>361</v>
      </c>
      <c r="D208" s="116" t="s">
        <v>66</v>
      </c>
      <c r="E208" s="125">
        <v>86</v>
      </c>
      <c r="F208" s="126">
        <v>118.1</v>
      </c>
      <c r="G208" s="126">
        <v>12</v>
      </c>
      <c r="I208" s="125">
        <f t="shared" si="3"/>
        <v>4</v>
      </c>
      <c r="J208" s="127">
        <v>4.4405599999999996</v>
      </c>
      <c r="M208" s="128"/>
    </row>
    <row r="209" spans="2:13">
      <c r="B209" s="116">
        <v>201</v>
      </c>
      <c r="C209" s="124" t="s">
        <v>362</v>
      </c>
      <c r="D209" s="116" t="s">
        <v>84</v>
      </c>
      <c r="E209" s="125">
        <v>51</v>
      </c>
      <c r="F209" s="126">
        <v>91.6</v>
      </c>
      <c r="G209" s="126">
        <v>16</v>
      </c>
      <c r="I209" s="125">
        <f t="shared" si="3"/>
        <v>3</v>
      </c>
      <c r="J209" s="127">
        <v>2.5281599999999997</v>
      </c>
      <c r="M209" s="128"/>
    </row>
    <row r="210" spans="2:13">
      <c r="B210" s="116">
        <v>202</v>
      </c>
      <c r="C210" s="124" t="s">
        <v>363</v>
      </c>
      <c r="D210" s="116" t="s">
        <v>51</v>
      </c>
      <c r="E210" s="125">
        <v>50</v>
      </c>
      <c r="F210" s="126">
        <v>78.2</v>
      </c>
      <c r="G210" s="126">
        <v>9</v>
      </c>
      <c r="I210" s="125">
        <f t="shared" si="3"/>
        <v>3</v>
      </c>
      <c r="J210" s="127">
        <v>2.6275200000000001</v>
      </c>
      <c r="M210" s="128"/>
    </row>
    <row r="211" spans="2:13">
      <c r="B211" s="116">
        <v>203</v>
      </c>
      <c r="C211" s="124" t="s">
        <v>364</v>
      </c>
      <c r="D211" s="116" t="s">
        <v>55</v>
      </c>
      <c r="E211" s="125">
        <v>59</v>
      </c>
      <c r="F211" s="126">
        <v>66.3</v>
      </c>
      <c r="G211" s="126">
        <v>11</v>
      </c>
      <c r="I211" s="125">
        <f t="shared" si="3"/>
        <v>3</v>
      </c>
      <c r="J211" s="127">
        <v>1.7967299999999999</v>
      </c>
      <c r="M211" s="128"/>
    </row>
    <row r="212" spans="2:13">
      <c r="B212" s="116">
        <v>204</v>
      </c>
      <c r="C212" s="124" t="s">
        <v>365</v>
      </c>
      <c r="D212" s="116" t="s">
        <v>78</v>
      </c>
      <c r="E212" s="125">
        <v>60</v>
      </c>
      <c r="F212" s="126">
        <v>79.099999999999994</v>
      </c>
      <c r="G212" s="126">
        <v>14</v>
      </c>
      <c r="I212" s="125">
        <f t="shared" si="3"/>
        <v>3</v>
      </c>
      <c r="J212" s="127">
        <v>1.7401999999999997</v>
      </c>
      <c r="M212" s="128"/>
    </row>
    <row r="213" spans="2:13">
      <c r="B213" s="116">
        <v>205</v>
      </c>
      <c r="C213" s="124" t="s">
        <v>366</v>
      </c>
      <c r="D213" s="116" t="s">
        <v>84</v>
      </c>
      <c r="E213" s="125">
        <v>50</v>
      </c>
      <c r="F213" s="126">
        <v>89.8</v>
      </c>
      <c r="G213" s="126">
        <v>12</v>
      </c>
      <c r="I213" s="125">
        <f t="shared" si="3"/>
        <v>3</v>
      </c>
      <c r="J213" s="127">
        <v>2.9634</v>
      </c>
      <c r="M213" s="128"/>
    </row>
    <row r="214" spans="2:13">
      <c r="B214" s="116">
        <v>206</v>
      </c>
      <c r="C214" s="124" t="s">
        <v>367</v>
      </c>
      <c r="D214" s="116" t="s">
        <v>65</v>
      </c>
      <c r="E214" s="125">
        <v>68</v>
      </c>
      <c r="F214" s="126">
        <v>88.1</v>
      </c>
      <c r="G214" s="126">
        <v>17</v>
      </c>
      <c r="I214" s="125">
        <f t="shared" si="3"/>
        <v>3</v>
      </c>
      <c r="J214" s="127">
        <v>3.1715999999999998</v>
      </c>
      <c r="M214" s="128"/>
    </row>
    <row r="215" spans="2:13">
      <c r="B215" s="116">
        <v>207</v>
      </c>
      <c r="C215" s="124" t="s">
        <v>368</v>
      </c>
      <c r="D215" s="116" t="s">
        <v>65</v>
      </c>
      <c r="E215" s="125">
        <v>100</v>
      </c>
      <c r="F215" s="126">
        <v>158.69999999999999</v>
      </c>
      <c r="G215" s="126">
        <v>32</v>
      </c>
      <c r="I215" s="125">
        <f t="shared" si="3"/>
        <v>5</v>
      </c>
      <c r="J215" s="127">
        <v>3.3961799999999998</v>
      </c>
      <c r="M215" s="128"/>
    </row>
    <row r="216" spans="2:13">
      <c r="B216" s="116">
        <v>208</v>
      </c>
      <c r="C216" s="124" t="s">
        <v>369</v>
      </c>
      <c r="D216" s="116" t="s">
        <v>63</v>
      </c>
      <c r="E216" s="125">
        <v>49</v>
      </c>
      <c r="F216" s="126">
        <v>75.099999999999994</v>
      </c>
      <c r="G216" s="126">
        <v>14</v>
      </c>
      <c r="I216" s="125">
        <f t="shared" si="3"/>
        <v>3</v>
      </c>
      <c r="J216" s="127">
        <v>2.86131</v>
      </c>
      <c r="M216" s="128"/>
    </row>
    <row r="217" spans="2:13">
      <c r="B217" s="116">
        <v>209</v>
      </c>
      <c r="C217" s="124" t="s">
        <v>370</v>
      </c>
      <c r="D217" s="116" t="s">
        <v>86</v>
      </c>
      <c r="E217" s="125">
        <v>98</v>
      </c>
      <c r="F217" s="126">
        <v>123.7</v>
      </c>
      <c r="G217" s="126">
        <v>19</v>
      </c>
      <c r="I217" s="125">
        <f t="shared" si="3"/>
        <v>4</v>
      </c>
      <c r="J217" s="127">
        <v>4.3295000000000003</v>
      </c>
      <c r="M217" s="128"/>
    </row>
    <row r="218" spans="2:13">
      <c r="B218" s="116">
        <v>210</v>
      </c>
      <c r="C218" s="124" t="s">
        <v>371</v>
      </c>
      <c r="D218" s="116" t="s">
        <v>86</v>
      </c>
      <c r="E218" s="125">
        <v>56</v>
      </c>
      <c r="F218" s="126">
        <v>98.1</v>
      </c>
      <c r="G218" s="126">
        <v>11</v>
      </c>
      <c r="I218" s="125">
        <f t="shared" si="3"/>
        <v>3</v>
      </c>
      <c r="J218" s="127">
        <v>3.4923599999999997</v>
      </c>
      <c r="M218" s="128"/>
    </row>
    <row r="219" spans="2:13">
      <c r="B219" s="116">
        <v>211</v>
      </c>
      <c r="C219" s="124" t="s">
        <v>372</v>
      </c>
      <c r="D219" s="116" t="s">
        <v>65</v>
      </c>
      <c r="E219" s="125">
        <v>55</v>
      </c>
      <c r="F219" s="126">
        <v>94.7</v>
      </c>
      <c r="G219" s="126">
        <v>11</v>
      </c>
      <c r="I219" s="125">
        <f t="shared" si="3"/>
        <v>3</v>
      </c>
      <c r="J219" s="127">
        <v>3.1251000000000002</v>
      </c>
      <c r="M219" s="128"/>
    </row>
    <row r="220" spans="2:13">
      <c r="B220" s="116">
        <v>212</v>
      </c>
      <c r="C220" s="124" t="s">
        <v>373</v>
      </c>
      <c r="D220" s="116" t="s">
        <v>65</v>
      </c>
      <c r="E220" s="125">
        <v>44</v>
      </c>
      <c r="F220" s="126">
        <v>58.7</v>
      </c>
      <c r="G220" s="126">
        <v>10</v>
      </c>
      <c r="I220" s="125">
        <f t="shared" si="3"/>
        <v>3</v>
      </c>
      <c r="J220" s="127">
        <v>1.49098</v>
      </c>
      <c r="M220" s="128"/>
    </row>
    <row r="221" spans="2:13">
      <c r="B221" s="116">
        <v>213</v>
      </c>
      <c r="C221" s="124" t="s">
        <v>374</v>
      </c>
      <c r="D221" s="116" t="s">
        <v>78</v>
      </c>
      <c r="E221" s="125">
        <v>76</v>
      </c>
      <c r="F221" s="126">
        <v>149.30000000000001</v>
      </c>
      <c r="G221" s="126">
        <v>27</v>
      </c>
      <c r="I221" s="125">
        <f t="shared" si="3"/>
        <v>5</v>
      </c>
      <c r="J221" s="127">
        <v>4.8970400000000005</v>
      </c>
      <c r="M221" s="128"/>
    </row>
    <row r="222" spans="2:13">
      <c r="B222" s="116">
        <v>214</v>
      </c>
      <c r="C222" s="124" t="s">
        <v>375</v>
      </c>
      <c r="D222" s="116" t="s">
        <v>86</v>
      </c>
      <c r="E222" s="125">
        <v>60</v>
      </c>
      <c r="F222" s="126">
        <v>69.400000000000006</v>
      </c>
      <c r="G222" s="126">
        <v>12</v>
      </c>
      <c r="I222" s="125">
        <f t="shared" si="3"/>
        <v>3</v>
      </c>
      <c r="J222" s="127">
        <v>2.3249000000000004</v>
      </c>
      <c r="M222" s="128"/>
    </row>
    <row r="223" spans="2:13">
      <c r="B223" s="116">
        <v>215</v>
      </c>
      <c r="C223" s="124" t="s">
        <v>376</v>
      </c>
      <c r="D223" s="116" t="s">
        <v>65</v>
      </c>
      <c r="E223" s="125">
        <v>80</v>
      </c>
      <c r="F223" s="126">
        <v>126.8</v>
      </c>
      <c r="G223" s="126">
        <v>20</v>
      </c>
      <c r="I223" s="125">
        <f t="shared" si="3"/>
        <v>4</v>
      </c>
      <c r="J223" s="127">
        <v>4.3492399999999991</v>
      </c>
      <c r="M223" s="128"/>
    </row>
    <row r="224" spans="2:13">
      <c r="B224" s="116">
        <v>216</v>
      </c>
      <c r="C224" s="124" t="s">
        <v>377</v>
      </c>
      <c r="D224" s="116" t="s">
        <v>86</v>
      </c>
      <c r="E224" s="125">
        <v>58</v>
      </c>
      <c r="F224" s="126">
        <v>93.6</v>
      </c>
      <c r="G224" s="126">
        <v>10</v>
      </c>
      <c r="I224" s="125">
        <f t="shared" si="3"/>
        <v>3</v>
      </c>
      <c r="J224" s="127">
        <v>2.8828800000000001</v>
      </c>
      <c r="M224" s="128"/>
    </row>
    <row r="225" spans="2:13">
      <c r="B225" s="116">
        <v>217</v>
      </c>
      <c r="C225" s="124" t="s">
        <v>378</v>
      </c>
      <c r="D225" s="116" t="s">
        <v>65</v>
      </c>
      <c r="E225" s="125">
        <v>35</v>
      </c>
      <c r="F225" s="126">
        <v>49.3</v>
      </c>
      <c r="G225" s="126">
        <v>5</v>
      </c>
      <c r="I225" s="125">
        <f t="shared" si="3"/>
        <v>3</v>
      </c>
      <c r="J225" s="127">
        <v>1.02051</v>
      </c>
      <c r="M225" s="128"/>
    </row>
    <row r="226" spans="2:13">
      <c r="B226" s="116">
        <v>218</v>
      </c>
      <c r="C226" s="124" t="s">
        <v>379</v>
      </c>
      <c r="D226" s="116" t="s">
        <v>86</v>
      </c>
      <c r="E226" s="125">
        <v>43</v>
      </c>
      <c r="F226" s="126">
        <v>67.2</v>
      </c>
      <c r="G226" s="126">
        <v>7</v>
      </c>
      <c r="I226" s="125">
        <f t="shared" si="3"/>
        <v>3</v>
      </c>
      <c r="J226" s="127">
        <v>2.17056</v>
      </c>
      <c r="M226" s="128"/>
    </row>
    <row r="227" spans="2:13">
      <c r="B227" s="116">
        <v>219</v>
      </c>
      <c r="C227" s="124" t="s">
        <v>380</v>
      </c>
      <c r="D227" s="116" t="s">
        <v>65</v>
      </c>
      <c r="E227" s="125">
        <v>43</v>
      </c>
      <c r="F227" s="126">
        <v>54.6</v>
      </c>
      <c r="G227" s="126">
        <v>8</v>
      </c>
      <c r="I227" s="125">
        <f t="shared" si="3"/>
        <v>3</v>
      </c>
      <c r="J227" s="127">
        <v>1.4414400000000001</v>
      </c>
      <c r="M227" s="128"/>
    </row>
    <row r="228" spans="2:13">
      <c r="B228" s="116">
        <v>220</v>
      </c>
      <c r="C228" s="124" t="s">
        <v>381</v>
      </c>
      <c r="D228" s="116" t="s">
        <v>65</v>
      </c>
      <c r="E228" s="125">
        <v>62</v>
      </c>
      <c r="F228" s="126">
        <v>63.1</v>
      </c>
      <c r="G228" s="126">
        <v>11</v>
      </c>
      <c r="I228" s="125">
        <f t="shared" si="3"/>
        <v>3</v>
      </c>
      <c r="J228" s="127">
        <v>1.82359</v>
      </c>
      <c r="M228" s="128"/>
    </row>
    <row r="229" spans="2:13">
      <c r="B229" s="116">
        <v>221</v>
      </c>
      <c r="C229" s="124" t="s">
        <v>382</v>
      </c>
      <c r="D229" s="116" t="s">
        <v>78</v>
      </c>
      <c r="E229" s="125">
        <v>43</v>
      </c>
      <c r="F229" s="126">
        <v>76.099999999999994</v>
      </c>
      <c r="G229" s="126">
        <v>11</v>
      </c>
      <c r="I229" s="125">
        <f t="shared" si="3"/>
        <v>3</v>
      </c>
      <c r="J229" s="127">
        <v>2.9907300000000001</v>
      </c>
      <c r="M229" s="128"/>
    </row>
    <row r="230" spans="2:13">
      <c r="B230" s="116">
        <v>222</v>
      </c>
      <c r="C230" s="124" t="s">
        <v>383</v>
      </c>
      <c r="D230" s="116" t="s">
        <v>65</v>
      </c>
      <c r="E230" s="125">
        <v>60</v>
      </c>
      <c r="F230" s="126">
        <v>116.6</v>
      </c>
      <c r="G230" s="126">
        <v>16</v>
      </c>
      <c r="I230" s="125">
        <f t="shared" si="3"/>
        <v>4</v>
      </c>
      <c r="J230" s="127">
        <v>2.8567</v>
      </c>
      <c r="M230" s="128"/>
    </row>
    <row r="231" spans="2:13">
      <c r="B231" s="116">
        <v>223</v>
      </c>
      <c r="C231" s="124" t="s">
        <v>384</v>
      </c>
      <c r="D231" s="116" t="s">
        <v>84</v>
      </c>
      <c r="E231" s="125">
        <v>82</v>
      </c>
      <c r="F231" s="126">
        <v>86.9</v>
      </c>
      <c r="G231" s="126">
        <v>10</v>
      </c>
      <c r="I231" s="125">
        <f t="shared" si="3"/>
        <v>3</v>
      </c>
      <c r="J231" s="127">
        <v>2.3463000000000003</v>
      </c>
      <c r="M231" s="128"/>
    </row>
    <row r="232" spans="2:13">
      <c r="B232" s="116">
        <v>224</v>
      </c>
      <c r="C232" s="124" t="s">
        <v>385</v>
      </c>
      <c r="D232" s="116" t="s">
        <v>86</v>
      </c>
      <c r="E232" s="125">
        <v>74</v>
      </c>
      <c r="F232" s="126">
        <v>115.9</v>
      </c>
      <c r="G232" s="126">
        <v>19</v>
      </c>
      <c r="I232" s="125">
        <f t="shared" si="3"/>
        <v>4</v>
      </c>
      <c r="J232" s="127">
        <v>3.0597600000000003</v>
      </c>
      <c r="M232" s="128"/>
    </row>
    <row r="233" spans="2:13">
      <c r="B233" s="116">
        <v>225</v>
      </c>
      <c r="C233" s="124" t="s">
        <v>386</v>
      </c>
      <c r="D233" s="116" t="s">
        <v>55</v>
      </c>
      <c r="E233" s="125">
        <v>43</v>
      </c>
      <c r="F233" s="126">
        <v>49.1</v>
      </c>
      <c r="G233" s="126">
        <v>9</v>
      </c>
      <c r="I233" s="125">
        <f t="shared" si="3"/>
        <v>3</v>
      </c>
      <c r="J233" s="127">
        <v>1.6153899999999999</v>
      </c>
      <c r="M233" s="128"/>
    </row>
    <row r="234" spans="2:13">
      <c r="B234" s="116">
        <v>226</v>
      </c>
      <c r="C234" s="124" t="s">
        <v>387</v>
      </c>
      <c r="D234" s="116" t="s">
        <v>86</v>
      </c>
      <c r="E234" s="125">
        <v>41</v>
      </c>
      <c r="F234" s="126">
        <v>74</v>
      </c>
      <c r="G234" s="126">
        <v>15</v>
      </c>
      <c r="I234" s="125">
        <f t="shared" si="3"/>
        <v>3</v>
      </c>
      <c r="J234" s="127">
        <v>1.6354000000000002</v>
      </c>
      <c r="M234" s="128"/>
    </row>
    <row r="235" spans="2:13">
      <c r="B235" s="116">
        <v>227</v>
      </c>
      <c r="C235" s="124" t="s">
        <v>388</v>
      </c>
      <c r="D235" s="116" t="s">
        <v>68</v>
      </c>
      <c r="E235" s="125">
        <v>61</v>
      </c>
      <c r="F235" s="126">
        <v>111.6</v>
      </c>
      <c r="G235" s="126">
        <v>16</v>
      </c>
      <c r="I235" s="125">
        <f t="shared" si="3"/>
        <v>4</v>
      </c>
      <c r="J235" s="127">
        <v>4.0399200000000004</v>
      </c>
      <c r="M235" s="128"/>
    </row>
    <row r="236" spans="2:13">
      <c r="B236" s="116">
        <v>228</v>
      </c>
      <c r="C236" s="124" t="s">
        <v>389</v>
      </c>
      <c r="D236" s="116" t="s">
        <v>84</v>
      </c>
      <c r="E236" s="125">
        <v>61</v>
      </c>
      <c r="F236" s="126">
        <v>72</v>
      </c>
      <c r="G236" s="126">
        <v>12</v>
      </c>
      <c r="I236" s="125">
        <f t="shared" si="3"/>
        <v>3</v>
      </c>
      <c r="J236" s="127">
        <v>2.3687999999999998</v>
      </c>
      <c r="M236" s="128"/>
    </row>
    <row r="237" spans="2:13">
      <c r="B237" s="116">
        <v>229</v>
      </c>
      <c r="C237" s="124" t="s">
        <v>390</v>
      </c>
      <c r="D237" s="116" t="s">
        <v>65</v>
      </c>
      <c r="E237" s="125">
        <v>57</v>
      </c>
      <c r="F237" s="126">
        <v>88.8</v>
      </c>
      <c r="G237" s="126">
        <v>16</v>
      </c>
      <c r="I237" s="125">
        <f t="shared" si="3"/>
        <v>3</v>
      </c>
      <c r="J237" s="127">
        <v>1.9447199999999998</v>
      </c>
      <c r="M237" s="128"/>
    </row>
    <row r="238" spans="2:13">
      <c r="B238" s="116">
        <v>230</v>
      </c>
      <c r="C238" s="124" t="s">
        <v>391</v>
      </c>
      <c r="D238" s="116" t="s">
        <v>65</v>
      </c>
      <c r="E238" s="125">
        <v>64</v>
      </c>
      <c r="F238" s="126">
        <v>99.1</v>
      </c>
      <c r="G238" s="126">
        <v>12</v>
      </c>
      <c r="I238" s="125">
        <f t="shared" si="3"/>
        <v>3</v>
      </c>
      <c r="J238" s="127">
        <v>3.4189500000000002</v>
      </c>
      <c r="M238" s="128"/>
    </row>
    <row r="239" spans="2:13">
      <c r="B239" s="116">
        <v>231</v>
      </c>
      <c r="C239" s="124" t="s">
        <v>392</v>
      </c>
      <c r="D239" s="116" t="s">
        <v>65</v>
      </c>
      <c r="E239" s="125">
        <v>61</v>
      </c>
      <c r="F239" s="126">
        <v>116</v>
      </c>
      <c r="G239" s="126">
        <v>16</v>
      </c>
      <c r="I239" s="125">
        <f t="shared" si="3"/>
        <v>4</v>
      </c>
      <c r="J239" s="127">
        <v>2.9463999999999997</v>
      </c>
      <c r="M239" s="128"/>
    </row>
    <row r="240" spans="2:13">
      <c r="B240" s="116">
        <v>232</v>
      </c>
      <c r="C240" s="124" t="s">
        <v>393</v>
      </c>
      <c r="D240" s="116" t="s">
        <v>84</v>
      </c>
      <c r="E240" s="125">
        <v>41</v>
      </c>
      <c r="F240" s="126">
        <v>44.8</v>
      </c>
      <c r="G240" s="126">
        <v>8</v>
      </c>
      <c r="I240" s="125">
        <f t="shared" si="3"/>
        <v>3</v>
      </c>
      <c r="J240" s="127">
        <v>1.3036799999999999</v>
      </c>
      <c r="M240" s="128"/>
    </row>
    <row r="241" spans="2:13">
      <c r="B241" s="116">
        <v>233</v>
      </c>
      <c r="C241" s="124" t="s">
        <v>394</v>
      </c>
      <c r="D241" s="116" t="s">
        <v>86</v>
      </c>
      <c r="E241" s="125">
        <v>51</v>
      </c>
      <c r="F241" s="126">
        <v>94.6</v>
      </c>
      <c r="G241" s="126">
        <v>14</v>
      </c>
      <c r="I241" s="125">
        <f t="shared" si="3"/>
        <v>3</v>
      </c>
      <c r="J241" s="127">
        <v>1.9109199999999997</v>
      </c>
      <c r="M241" s="128"/>
    </row>
    <row r="242" spans="2:13">
      <c r="B242" s="116">
        <v>234</v>
      </c>
      <c r="C242" s="124" t="s">
        <v>395</v>
      </c>
      <c r="D242" s="116" t="s">
        <v>65</v>
      </c>
      <c r="E242" s="125">
        <v>61</v>
      </c>
      <c r="F242" s="126">
        <v>77.400000000000006</v>
      </c>
      <c r="G242" s="126">
        <v>10</v>
      </c>
      <c r="I242" s="125">
        <f t="shared" si="3"/>
        <v>3</v>
      </c>
      <c r="J242" s="127">
        <v>3.0805200000000004</v>
      </c>
      <c r="M242" s="128"/>
    </row>
    <row r="243" spans="2:13">
      <c r="B243" s="116">
        <v>235</v>
      </c>
      <c r="C243" s="124" t="s">
        <v>396</v>
      </c>
      <c r="D243" s="116" t="s">
        <v>88</v>
      </c>
      <c r="E243" s="125">
        <v>42</v>
      </c>
      <c r="F243" s="126">
        <v>67.900000000000006</v>
      </c>
      <c r="G243" s="126">
        <v>7</v>
      </c>
      <c r="I243" s="125">
        <f t="shared" si="3"/>
        <v>3</v>
      </c>
      <c r="J243" s="127">
        <v>1.6771300000000002</v>
      </c>
      <c r="M243" s="128"/>
    </row>
    <row r="244" spans="2:13">
      <c r="B244" s="116">
        <v>236</v>
      </c>
      <c r="C244" s="124" t="s">
        <v>397</v>
      </c>
      <c r="D244" s="116" t="s">
        <v>84</v>
      </c>
      <c r="E244" s="125">
        <v>55</v>
      </c>
      <c r="F244" s="126">
        <v>103.2</v>
      </c>
      <c r="G244" s="126">
        <v>18</v>
      </c>
      <c r="I244" s="125">
        <f t="shared" si="3"/>
        <v>4</v>
      </c>
      <c r="J244" s="127">
        <v>3.42624</v>
      </c>
      <c r="M244" s="128"/>
    </row>
    <row r="245" spans="2:13">
      <c r="B245" s="116">
        <v>237</v>
      </c>
      <c r="C245" s="124" t="s">
        <v>398</v>
      </c>
      <c r="D245" s="116" t="s">
        <v>65</v>
      </c>
      <c r="E245" s="125">
        <v>76</v>
      </c>
      <c r="F245" s="126">
        <v>108.3</v>
      </c>
      <c r="G245" s="126">
        <v>17</v>
      </c>
      <c r="I245" s="125">
        <f t="shared" si="3"/>
        <v>4</v>
      </c>
      <c r="J245" s="127">
        <v>2.5992000000000002</v>
      </c>
      <c r="M245" s="128"/>
    </row>
    <row r="246" spans="2:13">
      <c r="B246" s="116">
        <v>238</v>
      </c>
      <c r="C246" s="124" t="s">
        <v>399</v>
      </c>
      <c r="D246" s="116" t="s">
        <v>84</v>
      </c>
      <c r="E246" s="125">
        <v>73</v>
      </c>
      <c r="F246" s="126">
        <v>128.69999999999999</v>
      </c>
      <c r="G246" s="126">
        <v>14</v>
      </c>
      <c r="I246" s="125">
        <f t="shared" si="3"/>
        <v>4</v>
      </c>
      <c r="J246" s="127">
        <v>3.8352599999999999</v>
      </c>
      <c r="M246" s="128"/>
    </row>
    <row r="247" spans="2:13">
      <c r="B247" s="116">
        <v>239</v>
      </c>
      <c r="C247" s="124" t="s">
        <v>400</v>
      </c>
      <c r="D247" s="116" t="s">
        <v>65</v>
      </c>
      <c r="E247" s="125">
        <v>57</v>
      </c>
      <c r="F247" s="126">
        <v>61.7</v>
      </c>
      <c r="G247" s="126">
        <v>11</v>
      </c>
      <c r="I247" s="125">
        <f t="shared" si="3"/>
        <v>3</v>
      </c>
      <c r="J247" s="127">
        <v>1.4993099999999999</v>
      </c>
      <c r="M247" s="128"/>
    </row>
    <row r="248" spans="2:13">
      <c r="B248" s="116">
        <v>240</v>
      </c>
      <c r="C248" s="124" t="s">
        <v>401</v>
      </c>
      <c r="D248" s="116" t="s">
        <v>84</v>
      </c>
      <c r="E248" s="125">
        <v>63</v>
      </c>
      <c r="F248" s="126">
        <v>83</v>
      </c>
      <c r="G248" s="126">
        <v>8</v>
      </c>
      <c r="I248" s="125">
        <f t="shared" si="3"/>
        <v>3</v>
      </c>
      <c r="J248" s="127">
        <v>2.7224000000000004</v>
      </c>
      <c r="M248" s="128"/>
    </row>
    <row r="249" spans="2:13">
      <c r="B249" s="116">
        <v>241</v>
      </c>
      <c r="C249" s="124" t="s">
        <v>402</v>
      </c>
      <c r="D249" s="116" t="s">
        <v>84</v>
      </c>
      <c r="E249" s="125">
        <v>89</v>
      </c>
      <c r="F249" s="126">
        <v>122.2</v>
      </c>
      <c r="G249" s="126">
        <v>15</v>
      </c>
      <c r="I249" s="125">
        <f t="shared" si="3"/>
        <v>4</v>
      </c>
      <c r="J249" s="127">
        <v>3.0305599999999999</v>
      </c>
      <c r="M249" s="128"/>
    </row>
    <row r="250" spans="2:13">
      <c r="B250" s="116">
        <v>242</v>
      </c>
      <c r="C250" s="124" t="s">
        <v>403</v>
      </c>
      <c r="D250" s="116" t="s">
        <v>84</v>
      </c>
      <c r="E250" s="125">
        <v>69</v>
      </c>
      <c r="F250" s="126">
        <v>103.6</v>
      </c>
      <c r="G250" s="126">
        <v>11</v>
      </c>
      <c r="I250" s="125">
        <f t="shared" si="3"/>
        <v>4</v>
      </c>
      <c r="J250" s="127">
        <v>2.1548799999999999</v>
      </c>
      <c r="M250" s="128"/>
    </row>
    <row r="251" spans="2:13">
      <c r="B251" s="116">
        <v>243</v>
      </c>
      <c r="C251" s="124" t="s">
        <v>404</v>
      </c>
      <c r="D251" s="116" t="s">
        <v>65</v>
      </c>
      <c r="E251" s="125">
        <v>97</v>
      </c>
      <c r="F251" s="126">
        <v>142.69999999999999</v>
      </c>
      <c r="G251" s="126">
        <v>26</v>
      </c>
      <c r="I251" s="125">
        <f t="shared" si="3"/>
        <v>5</v>
      </c>
      <c r="J251" s="127">
        <v>5.0943899999999998</v>
      </c>
      <c r="M251" s="128"/>
    </row>
    <row r="252" spans="2:13">
      <c r="B252" s="116">
        <v>244</v>
      </c>
      <c r="C252" s="124" t="s">
        <v>405</v>
      </c>
      <c r="D252" s="116" t="s">
        <v>65</v>
      </c>
      <c r="E252" s="125">
        <v>79</v>
      </c>
      <c r="F252" s="126">
        <v>139.30000000000001</v>
      </c>
      <c r="G252" s="126">
        <v>24</v>
      </c>
      <c r="I252" s="125">
        <f t="shared" si="3"/>
        <v>4</v>
      </c>
      <c r="J252" s="127">
        <v>3.9979100000000005</v>
      </c>
      <c r="M252" s="128"/>
    </row>
    <row r="253" spans="2:13">
      <c r="B253" s="116">
        <v>245</v>
      </c>
      <c r="C253" s="124" t="s">
        <v>406</v>
      </c>
      <c r="D253" s="116" t="s">
        <v>86</v>
      </c>
      <c r="E253" s="125">
        <v>49</v>
      </c>
      <c r="F253" s="126">
        <v>71.099999999999994</v>
      </c>
      <c r="G253" s="126">
        <v>9</v>
      </c>
      <c r="I253" s="125">
        <f t="shared" si="3"/>
        <v>3</v>
      </c>
      <c r="J253" s="127">
        <v>2.07612</v>
      </c>
      <c r="M253" s="128"/>
    </row>
    <row r="254" spans="2:13">
      <c r="B254" s="116">
        <v>246</v>
      </c>
      <c r="C254" s="124" t="s">
        <v>407</v>
      </c>
      <c r="D254" s="116" t="s">
        <v>63</v>
      </c>
      <c r="E254" s="125">
        <v>63</v>
      </c>
      <c r="F254" s="126">
        <v>80.599999999999994</v>
      </c>
      <c r="G254" s="126">
        <v>12</v>
      </c>
      <c r="I254" s="125">
        <f t="shared" si="3"/>
        <v>3</v>
      </c>
      <c r="J254" s="127">
        <v>2.3454600000000001</v>
      </c>
      <c r="M254" s="128"/>
    </row>
    <row r="255" spans="2:13">
      <c r="B255" s="116">
        <v>247</v>
      </c>
      <c r="C255" s="124" t="s">
        <v>408</v>
      </c>
      <c r="D255" s="116" t="s">
        <v>70</v>
      </c>
      <c r="E255" s="125">
        <v>78</v>
      </c>
      <c r="F255" s="126">
        <v>109.2</v>
      </c>
      <c r="G255" s="126">
        <v>17</v>
      </c>
      <c r="I255" s="125">
        <f t="shared" si="3"/>
        <v>4</v>
      </c>
      <c r="J255" s="127">
        <v>3.1340400000000002</v>
      </c>
      <c r="M255" s="128"/>
    </row>
    <row r="256" spans="2:13">
      <c r="B256" s="116">
        <v>248</v>
      </c>
      <c r="C256" s="124" t="s">
        <v>409</v>
      </c>
      <c r="D256" s="116" t="s">
        <v>65</v>
      </c>
      <c r="E256" s="125">
        <v>43</v>
      </c>
      <c r="F256" s="126">
        <v>68.7</v>
      </c>
      <c r="G256" s="126">
        <v>14</v>
      </c>
      <c r="I256" s="125">
        <f t="shared" si="3"/>
        <v>3</v>
      </c>
      <c r="J256" s="127">
        <v>1.6900200000000001</v>
      </c>
      <c r="M256" s="128"/>
    </row>
    <row r="257" spans="2:13">
      <c r="B257" s="116">
        <v>249</v>
      </c>
      <c r="C257" s="124" t="s">
        <v>410</v>
      </c>
      <c r="D257" s="116" t="s">
        <v>84</v>
      </c>
      <c r="E257" s="125">
        <v>45</v>
      </c>
      <c r="F257" s="126">
        <v>46</v>
      </c>
      <c r="G257" s="126">
        <v>8</v>
      </c>
      <c r="I257" s="125">
        <f t="shared" si="3"/>
        <v>3</v>
      </c>
      <c r="J257" s="127">
        <v>1.3937999999999999</v>
      </c>
      <c r="M257" s="128"/>
    </row>
    <row r="258" spans="2:13">
      <c r="B258" s="116">
        <v>250</v>
      </c>
      <c r="C258" s="124" t="s">
        <v>411</v>
      </c>
      <c r="D258" s="116" t="s">
        <v>65</v>
      </c>
      <c r="E258" s="125">
        <v>58</v>
      </c>
      <c r="F258" s="126">
        <v>84</v>
      </c>
      <c r="G258" s="126">
        <v>13</v>
      </c>
      <c r="I258" s="125">
        <f t="shared" si="3"/>
        <v>3</v>
      </c>
      <c r="J258" s="127">
        <v>1.7303999999999999</v>
      </c>
      <c r="M258" s="128"/>
    </row>
    <row r="259" spans="2:13">
      <c r="B259" s="116">
        <v>251</v>
      </c>
      <c r="C259" s="124" t="s">
        <v>412</v>
      </c>
      <c r="D259" s="116" t="s">
        <v>84</v>
      </c>
      <c r="E259" s="125">
        <v>53</v>
      </c>
      <c r="F259" s="126">
        <v>73.7</v>
      </c>
      <c r="G259" s="126">
        <v>12</v>
      </c>
      <c r="I259" s="125">
        <f t="shared" si="3"/>
        <v>3</v>
      </c>
      <c r="J259" s="127">
        <v>1.70984</v>
      </c>
      <c r="M259" s="128"/>
    </row>
    <row r="260" spans="2:13">
      <c r="B260" s="116">
        <v>252</v>
      </c>
      <c r="C260" s="124" t="s">
        <v>413</v>
      </c>
      <c r="D260" s="116" t="s">
        <v>78</v>
      </c>
      <c r="E260" s="125">
        <v>73</v>
      </c>
      <c r="F260" s="126">
        <v>130.6</v>
      </c>
      <c r="G260" s="126">
        <v>25</v>
      </c>
      <c r="I260" s="125">
        <f t="shared" si="3"/>
        <v>4</v>
      </c>
      <c r="J260" s="127">
        <v>2.8078999999999996</v>
      </c>
      <c r="M260" s="128"/>
    </row>
    <row r="261" spans="2:13">
      <c r="B261" s="116">
        <v>253</v>
      </c>
      <c r="C261" s="124" t="s">
        <v>414</v>
      </c>
      <c r="D261" s="116" t="s">
        <v>92</v>
      </c>
      <c r="E261" s="125">
        <v>63</v>
      </c>
      <c r="F261" s="126">
        <v>109.4</v>
      </c>
      <c r="G261" s="126">
        <v>15</v>
      </c>
      <c r="I261" s="125">
        <f t="shared" si="3"/>
        <v>4</v>
      </c>
      <c r="J261" s="127">
        <v>4.1243799999999995</v>
      </c>
      <c r="M261" s="128"/>
    </row>
    <row r="262" spans="2:13">
      <c r="B262" s="116">
        <v>254</v>
      </c>
      <c r="C262" s="124" t="s">
        <v>415</v>
      </c>
      <c r="D262" s="116" t="s">
        <v>51</v>
      </c>
      <c r="E262" s="125">
        <v>90</v>
      </c>
      <c r="F262" s="126">
        <v>110.8</v>
      </c>
      <c r="G262" s="126">
        <v>20</v>
      </c>
      <c r="I262" s="125">
        <f t="shared" si="3"/>
        <v>4</v>
      </c>
      <c r="J262" s="127">
        <v>3.4348000000000001</v>
      </c>
      <c r="M262" s="128"/>
    </row>
    <row r="263" spans="2:13">
      <c r="B263" s="116">
        <v>255</v>
      </c>
      <c r="C263" s="124" t="s">
        <v>416</v>
      </c>
      <c r="D263" s="116" t="s">
        <v>92</v>
      </c>
      <c r="E263" s="125">
        <v>83</v>
      </c>
      <c r="F263" s="126">
        <v>92.3</v>
      </c>
      <c r="G263" s="126">
        <v>16</v>
      </c>
      <c r="I263" s="125">
        <f t="shared" si="3"/>
        <v>3</v>
      </c>
      <c r="J263" s="127">
        <v>3.3043399999999998</v>
      </c>
      <c r="M263" s="128"/>
    </row>
    <row r="264" spans="2:13">
      <c r="B264" s="116">
        <v>256</v>
      </c>
      <c r="C264" s="124" t="s">
        <v>417</v>
      </c>
      <c r="D264" s="116" t="s">
        <v>86</v>
      </c>
      <c r="E264" s="125">
        <v>46</v>
      </c>
      <c r="F264" s="126">
        <v>53.4</v>
      </c>
      <c r="G264" s="126">
        <v>10</v>
      </c>
      <c r="I264" s="125">
        <f t="shared" si="3"/>
        <v>3</v>
      </c>
      <c r="J264" s="127">
        <v>1.16412</v>
      </c>
      <c r="M264" s="128"/>
    </row>
    <row r="265" spans="2:13">
      <c r="B265" s="116">
        <v>257</v>
      </c>
      <c r="C265" s="124" t="s">
        <v>418</v>
      </c>
      <c r="D265" s="116" t="s">
        <v>84</v>
      </c>
      <c r="E265" s="125">
        <v>41</v>
      </c>
      <c r="F265" s="126">
        <v>69.5</v>
      </c>
      <c r="G265" s="126">
        <v>8</v>
      </c>
      <c r="I265" s="125">
        <f t="shared" ref="I265:I328" si="4">IF(F265&lt;=100,3,IF(F265&lt;=140,4,IF(F265&lt;=175,5,6)))</f>
        <v>3</v>
      </c>
      <c r="J265" s="127">
        <v>1.8069999999999999</v>
      </c>
      <c r="M265" s="128"/>
    </row>
    <row r="266" spans="2:13">
      <c r="B266" s="116">
        <v>258</v>
      </c>
      <c r="C266" s="124" t="s">
        <v>419</v>
      </c>
      <c r="D266" s="116" t="s">
        <v>63</v>
      </c>
      <c r="E266" s="125">
        <v>83</v>
      </c>
      <c r="F266" s="126">
        <v>87.3</v>
      </c>
      <c r="G266" s="126">
        <v>10</v>
      </c>
      <c r="I266" s="125">
        <f t="shared" si="4"/>
        <v>3</v>
      </c>
      <c r="J266" s="127">
        <v>3.3435899999999998</v>
      </c>
      <c r="M266" s="128"/>
    </row>
    <row r="267" spans="2:13">
      <c r="B267" s="116">
        <v>259</v>
      </c>
      <c r="C267" s="124" t="s">
        <v>420</v>
      </c>
      <c r="D267" s="116" t="s">
        <v>86</v>
      </c>
      <c r="E267" s="125">
        <v>53</v>
      </c>
      <c r="F267" s="126">
        <v>84.9</v>
      </c>
      <c r="G267" s="126">
        <v>8</v>
      </c>
      <c r="I267" s="125">
        <f t="shared" si="4"/>
        <v>3</v>
      </c>
      <c r="J267" s="127">
        <v>2.8781099999999999</v>
      </c>
      <c r="M267" s="128"/>
    </row>
    <row r="268" spans="2:13">
      <c r="B268" s="116">
        <v>260</v>
      </c>
      <c r="C268" s="124" t="s">
        <v>421</v>
      </c>
      <c r="D268" s="116" t="s">
        <v>92</v>
      </c>
      <c r="E268" s="125">
        <v>91</v>
      </c>
      <c r="F268" s="126">
        <v>168.4</v>
      </c>
      <c r="G268" s="126">
        <v>22</v>
      </c>
      <c r="I268" s="125">
        <f t="shared" si="4"/>
        <v>5</v>
      </c>
      <c r="J268" s="127">
        <v>3.77216</v>
      </c>
      <c r="M268" s="128"/>
    </row>
    <row r="269" spans="2:13">
      <c r="B269" s="116">
        <v>261</v>
      </c>
      <c r="C269" s="124" t="s">
        <v>422</v>
      </c>
      <c r="D269" s="116" t="s">
        <v>65</v>
      </c>
      <c r="E269" s="125">
        <v>58</v>
      </c>
      <c r="F269" s="126">
        <v>98.8</v>
      </c>
      <c r="G269" s="126">
        <v>16</v>
      </c>
      <c r="I269" s="125">
        <f t="shared" si="4"/>
        <v>3</v>
      </c>
      <c r="J269" s="127">
        <v>3.63584</v>
      </c>
      <c r="M269" s="128"/>
    </row>
    <row r="270" spans="2:13">
      <c r="B270" s="116">
        <v>262</v>
      </c>
      <c r="C270" s="124" t="s">
        <v>423</v>
      </c>
      <c r="D270" s="116" t="s">
        <v>86</v>
      </c>
      <c r="E270" s="125">
        <v>95</v>
      </c>
      <c r="F270" s="126">
        <v>177.7</v>
      </c>
      <c r="G270" s="126">
        <v>27</v>
      </c>
      <c r="I270" s="125">
        <f t="shared" si="4"/>
        <v>6</v>
      </c>
      <c r="J270" s="127">
        <v>4.5313499999999998</v>
      </c>
      <c r="M270" s="128"/>
    </row>
    <row r="271" spans="2:13">
      <c r="B271" s="116">
        <v>263</v>
      </c>
      <c r="C271" s="124" t="s">
        <v>424</v>
      </c>
      <c r="D271" s="116" t="s">
        <v>84</v>
      </c>
      <c r="E271" s="125">
        <v>64</v>
      </c>
      <c r="F271" s="126">
        <v>97</v>
      </c>
      <c r="G271" s="126">
        <v>15</v>
      </c>
      <c r="I271" s="125">
        <f t="shared" si="4"/>
        <v>3</v>
      </c>
      <c r="J271" s="127">
        <v>3.6763000000000003</v>
      </c>
      <c r="M271" s="128"/>
    </row>
    <row r="272" spans="2:13">
      <c r="B272" s="116">
        <v>264</v>
      </c>
      <c r="C272" s="124" t="s">
        <v>425</v>
      </c>
      <c r="D272" s="116" t="s">
        <v>55</v>
      </c>
      <c r="E272" s="125">
        <v>65</v>
      </c>
      <c r="F272" s="126">
        <v>96.3</v>
      </c>
      <c r="G272" s="126">
        <v>11</v>
      </c>
      <c r="I272" s="125">
        <f t="shared" si="4"/>
        <v>3</v>
      </c>
      <c r="J272" s="127">
        <v>2.48454</v>
      </c>
      <c r="M272" s="128"/>
    </row>
    <row r="273" spans="2:13">
      <c r="B273" s="116">
        <v>265</v>
      </c>
      <c r="C273" s="124" t="s">
        <v>426</v>
      </c>
      <c r="D273" s="116" t="s">
        <v>65</v>
      </c>
      <c r="E273" s="125">
        <v>52</v>
      </c>
      <c r="F273" s="126">
        <v>103.5</v>
      </c>
      <c r="G273" s="126">
        <v>11</v>
      </c>
      <c r="I273" s="125">
        <f t="shared" si="4"/>
        <v>4</v>
      </c>
      <c r="J273" s="127">
        <v>2.1941999999999999</v>
      </c>
      <c r="M273" s="128"/>
    </row>
    <row r="274" spans="2:13">
      <c r="B274" s="116">
        <v>266</v>
      </c>
      <c r="C274" s="124" t="s">
        <v>427</v>
      </c>
      <c r="D274" s="116" t="s">
        <v>65</v>
      </c>
      <c r="E274" s="125">
        <v>37</v>
      </c>
      <c r="F274" s="126">
        <v>41.2</v>
      </c>
      <c r="G274" s="126">
        <v>5</v>
      </c>
      <c r="I274" s="125">
        <f t="shared" si="4"/>
        <v>3</v>
      </c>
      <c r="J274" s="127">
        <v>1.5985600000000002</v>
      </c>
      <c r="M274" s="128"/>
    </row>
    <row r="275" spans="2:13">
      <c r="B275" s="116">
        <v>267</v>
      </c>
      <c r="C275" s="124" t="s">
        <v>428</v>
      </c>
      <c r="D275" s="116" t="s">
        <v>84</v>
      </c>
      <c r="E275" s="125">
        <v>66</v>
      </c>
      <c r="F275" s="126">
        <v>66.7</v>
      </c>
      <c r="G275" s="126">
        <v>9</v>
      </c>
      <c r="I275" s="125">
        <f t="shared" si="4"/>
        <v>3</v>
      </c>
      <c r="J275" s="127">
        <v>2.1944300000000001</v>
      </c>
      <c r="M275" s="128"/>
    </row>
    <row r="276" spans="2:13">
      <c r="B276" s="116">
        <v>268</v>
      </c>
      <c r="C276" s="124" t="s">
        <v>429</v>
      </c>
      <c r="D276" s="116" t="s">
        <v>65</v>
      </c>
      <c r="E276" s="125">
        <v>52</v>
      </c>
      <c r="F276" s="126">
        <v>78.400000000000006</v>
      </c>
      <c r="G276" s="126">
        <v>15</v>
      </c>
      <c r="I276" s="125">
        <f t="shared" si="4"/>
        <v>3</v>
      </c>
      <c r="J276" s="127">
        <v>2.9556800000000001</v>
      </c>
      <c r="M276" s="128"/>
    </row>
    <row r="277" spans="2:13">
      <c r="B277" s="116">
        <v>269</v>
      </c>
      <c r="C277" s="124" t="s">
        <v>430</v>
      </c>
      <c r="D277" s="116" t="s">
        <v>78</v>
      </c>
      <c r="E277" s="125">
        <v>57</v>
      </c>
      <c r="F277" s="126">
        <v>83.6</v>
      </c>
      <c r="G277" s="126">
        <v>17</v>
      </c>
      <c r="I277" s="125">
        <f t="shared" si="4"/>
        <v>3</v>
      </c>
      <c r="J277" s="127">
        <v>2.58324</v>
      </c>
      <c r="M277" s="128"/>
    </row>
    <row r="278" spans="2:13">
      <c r="B278" s="116">
        <v>270</v>
      </c>
      <c r="C278" s="124" t="s">
        <v>431</v>
      </c>
      <c r="D278" s="116" t="s">
        <v>92</v>
      </c>
      <c r="E278" s="125">
        <v>92</v>
      </c>
      <c r="F278" s="126">
        <v>115.7</v>
      </c>
      <c r="G278" s="126">
        <v>19</v>
      </c>
      <c r="I278" s="125">
        <f t="shared" si="4"/>
        <v>4</v>
      </c>
      <c r="J278" s="127">
        <v>3.8528100000000003</v>
      </c>
      <c r="M278" s="128"/>
    </row>
    <row r="279" spans="2:13">
      <c r="B279" s="116">
        <v>271</v>
      </c>
      <c r="C279" s="124" t="s">
        <v>432</v>
      </c>
      <c r="D279" s="116" t="s">
        <v>84</v>
      </c>
      <c r="E279" s="125">
        <v>88</v>
      </c>
      <c r="F279" s="126">
        <v>115.9</v>
      </c>
      <c r="G279" s="126">
        <v>14</v>
      </c>
      <c r="I279" s="125">
        <f t="shared" si="4"/>
        <v>4</v>
      </c>
      <c r="J279" s="127">
        <v>3.0481700000000003</v>
      </c>
      <c r="M279" s="128"/>
    </row>
    <row r="280" spans="2:13">
      <c r="B280" s="116">
        <v>272</v>
      </c>
      <c r="C280" s="124" t="s">
        <v>433</v>
      </c>
      <c r="D280" s="116" t="s">
        <v>86</v>
      </c>
      <c r="E280" s="125">
        <v>61</v>
      </c>
      <c r="F280" s="126">
        <v>100.2</v>
      </c>
      <c r="G280" s="126">
        <v>19</v>
      </c>
      <c r="I280" s="125">
        <f t="shared" si="4"/>
        <v>4</v>
      </c>
      <c r="J280" s="127">
        <v>2.9659200000000001</v>
      </c>
      <c r="M280" s="128"/>
    </row>
    <row r="281" spans="2:13">
      <c r="B281" s="116">
        <v>273</v>
      </c>
      <c r="C281" s="124" t="s">
        <v>434</v>
      </c>
      <c r="D281" s="116" t="s">
        <v>84</v>
      </c>
      <c r="E281" s="125">
        <v>99</v>
      </c>
      <c r="F281" s="126">
        <v>139.5</v>
      </c>
      <c r="G281" s="126">
        <v>27</v>
      </c>
      <c r="I281" s="125">
        <f t="shared" si="4"/>
        <v>4</v>
      </c>
      <c r="J281" s="127">
        <v>5.0359499999999997</v>
      </c>
      <c r="M281" s="128"/>
    </row>
    <row r="282" spans="2:13">
      <c r="B282" s="116">
        <v>274</v>
      </c>
      <c r="C282" s="124" t="s">
        <v>435</v>
      </c>
      <c r="D282" s="116" t="s">
        <v>86</v>
      </c>
      <c r="E282" s="125">
        <v>57</v>
      </c>
      <c r="F282" s="126">
        <v>71.7</v>
      </c>
      <c r="G282" s="126">
        <v>11</v>
      </c>
      <c r="I282" s="125">
        <f t="shared" si="4"/>
        <v>3</v>
      </c>
      <c r="J282" s="127">
        <v>2.0076000000000001</v>
      </c>
      <c r="M282" s="128"/>
    </row>
    <row r="283" spans="2:13">
      <c r="B283" s="116">
        <v>275</v>
      </c>
      <c r="C283" s="124" t="s">
        <v>436</v>
      </c>
      <c r="D283" s="116" t="s">
        <v>65</v>
      </c>
      <c r="E283" s="125">
        <v>83</v>
      </c>
      <c r="F283" s="126">
        <v>111.7</v>
      </c>
      <c r="G283" s="126">
        <v>11</v>
      </c>
      <c r="I283" s="125">
        <f t="shared" si="4"/>
        <v>4</v>
      </c>
      <c r="J283" s="127">
        <v>2.4573999999999998</v>
      </c>
      <c r="M283" s="128"/>
    </row>
    <row r="284" spans="2:13">
      <c r="B284" s="116">
        <v>276</v>
      </c>
      <c r="C284" s="124" t="s">
        <v>437</v>
      </c>
      <c r="D284" s="116" t="s">
        <v>65</v>
      </c>
      <c r="E284" s="125">
        <v>51</v>
      </c>
      <c r="F284" s="126">
        <v>96.9</v>
      </c>
      <c r="G284" s="126">
        <v>16</v>
      </c>
      <c r="I284" s="125">
        <f t="shared" si="4"/>
        <v>3</v>
      </c>
      <c r="J284" s="127">
        <v>2.4903300000000002</v>
      </c>
      <c r="M284" s="128"/>
    </row>
    <row r="285" spans="2:13">
      <c r="B285" s="116">
        <v>277</v>
      </c>
      <c r="C285" s="124" t="s">
        <v>438</v>
      </c>
      <c r="D285" s="116" t="s">
        <v>86</v>
      </c>
      <c r="E285" s="125">
        <v>45</v>
      </c>
      <c r="F285" s="126">
        <v>76</v>
      </c>
      <c r="G285" s="126">
        <v>10</v>
      </c>
      <c r="I285" s="125">
        <f t="shared" si="4"/>
        <v>3</v>
      </c>
      <c r="J285" s="127">
        <v>2.5460000000000003</v>
      </c>
      <c r="M285" s="128"/>
    </row>
    <row r="286" spans="2:13">
      <c r="B286" s="116">
        <v>278</v>
      </c>
      <c r="C286" s="124" t="s">
        <v>439</v>
      </c>
      <c r="D286" s="116" t="s">
        <v>84</v>
      </c>
      <c r="E286" s="125">
        <v>79</v>
      </c>
      <c r="F286" s="126">
        <v>108.9</v>
      </c>
      <c r="G286" s="126">
        <v>15</v>
      </c>
      <c r="I286" s="125">
        <f t="shared" si="4"/>
        <v>4</v>
      </c>
      <c r="J286" s="127">
        <v>2.8096200000000002</v>
      </c>
      <c r="M286" s="128"/>
    </row>
    <row r="287" spans="2:13">
      <c r="B287" s="116">
        <v>279</v>
      </c>
      <c r="C287" s="124" t="s">
        <v>440</v>
      </c>
      <c r="D287" s="116" t="s">
        <v>65</v>
      </c>
      <c r="E287" s="125">
        <v>63</v>
      </c>
      <c r="F287" s="126">
        <v>82.3</v>
      </c>
      <c r="G287" s="126">
        <v>12</v>
      </c>
      <c r="I287" s="125">
        <f t="shared" si="4"/>
        <v>3</v>
      </c>
      <c r="J287" s="127">
        <v>1.67892</v>
      </c>
      <c r="M287" s="128"/>
    </row>
    <row r="288" spans="2:13">
      <c r="B288" s="116">
        <v>280</v>
      </c>
      <c r="C288" s="124" t="s">
        <v>441</v>
      </c>
      <c r="D288" s="116" t="s">
        <v>63</v>
      </c>
      <c r="E288" s="125">
        <v>68</v>
      </c>
      <c r="F288" s="126">
        <v>125.5</v>
      </c>
      <c r="G288" s="126">
        <v>16</v>
      </c>
      <c r="I288" s="125">
        <f t="shared" si="4"/>
        <v>4</v>
      </c>
      <c r="J288" s="127">
        <v>2.5853000000000002</v>
      </c>
      <c r="M288" s="128"/>
    </row>
    <row r="289" spans="2:13">
      <c r="B289" s="116">
        <v>281</v>
      </c>
      <c r="C289" s="124" t="s">
        <v>442</v>
      </c>
      <c r="D289" s="116" t="s">
        <v>86</v>
      </c>
      <c r="E289" s="125">
        <v>86</v>
      </c>
      <c r="F289" s="126">
        <v>159.4</v>
      </c>
      <c r="G289" s="126">
        <v>27</v>
      </c>
      <c r="I289" s="125">
        <f t="shared" si="4"/>
        <v>5</v>
      </c>
      <c r="J289" s="127">
        <v>6.2644200000000003</v>
      </c>
      <c r="M289" s="128"/>
    </row>
    <row r="290" spans="2:13">
      <c r="B290" s="116">
        <v>282</v>
      </c>
      <c r="C290" s="124" t="s">
        <v>443</v>
      </c>
      <c r="D290" s="116" t="s">
        <v>84</v>
      </c>
      <c r="E290" s="125">
        <v>90</v>
      </c>
      <c r="F290" s="126">
        <v>150.80000000000001</v>
      </c>
      <c r="G290" s="126">
        <v>17</v>
      </c>
      <c r="I290" s="125">
        <f t="shared" si="4"/>
        <v>5</v>
      </c>
      <c r="J290" s="127">
        <v>4.7200400000000009</v>
      </c>
      <c r="M290" s="128"/>
    </row>
    <row r="291" spans="2:13">
      <c r="B291" s="116">
        <v>283</v>
      </c>
      <c r="C291" s="124" t="s">
        <v>444</v>
      </c>
      <c r="D291" s="116" t="s">
        <v>86</v>
      </c>
      <c r="E291" s="125">
        <v>57</v>
      </c>
      <c r="F291" s="126">
        <v>63.2</v>
      </c>
      <c r="G291" s="126">
        <v>11</v>
      </c>
      <c r="I291" s="125">
        <f t="shared" si="4"/>
        <v>3</v>
      </c>
      <c r="J291" s="127">
        <v>1.6748000000000001</v>
      </c>
      <c r="M291" s="128"/>
    </row>
    <row r="292" spans="2:13">
      <c r="B292" s="116">
        <v>284</v>
      </c>
      <c r="C292" s="124" t="s">
        <v>445</v>
      </c>
      <c r="D292" s="116" t="s">
        <v>65</v>
      </c>
      <c r="E292" s="125">
        <v>76</v>
      </c>
      <c r="F292" s="126">
        <v>139.6</v>
      </c>
      <c r="G292" s="126">
        <v>21</v>
      </c>
      <c r="I292" s="125">
        <f t="shared" si="4"/>
        <v>4</v>
      </c>
      <c r="J292" s="127">
        <v>3.4341599999999999</v>
      </c>
      <c r="M292" s="128"/>
    </row>
    <row r="293" spans="2:13">
      <c r="B293" s="116">
        <v>285</v>
      </c>
      <c r="C293" s="124" t="s">
        <v>446</v>
      </c>
      <c r="D293" s="116" t="s">
        <v>65</v>
      </c>
      <c r="E293" s="125">
        <v>77</v>
      </c>
      <c r="F293" s="126">
        <v>124</v>
      </c>
      <c r="G293" s="126">
        <v>22</v>
      </c>
      <c r="I293" s="125">
        <f t="shared" si="4"/>
        <v>4</v>
      </c>
      <c r="J293" s="127">
        <v>3.8439999999999999</v>
      </c>
      <c r="M293" s="128"/>
    </row>
    <row r="294" spans="2:13">
      <c r="B294" s="116">
        <v>286</v>
      </c>
      <c r="C294" s="124" t="s">
        <v>447</v>
      </c>
      <c r="D294" s="116" t="s">
        <v>92</v>
      </c>
      <c r="E294" s="125">
        <v>67</v>
      </c>
      <c r="F294" s="126">
        <v>126.2</v>
      </c>
      <c r="G294" s="126">
        <v>21</v>
      </c>
      <c r="I294" s="125">
        <f t="shared" si="4"/>
        <v>4</v>
      </c>
      <c r="J294" s="127">
        <v>4.7324999999999999</v>
      </c>
      <c r="M294" s="128"/>
    </row>
    <row r="295" spans="2:13">
      <c r="B295" s="116">
        <v>287</v>
      </c>
      <c r="C295" s="124" t="s">
        <v>448</v>
      </c>
      <c r="D295" s="116" t="s">
        <v>55</v>
      </c>
      <c r="E295" s="125">
        <v>71</v>
      </c>
      <c r="F295" s="126">
        <v>98.7</v>
      </c>
      <c r="G295" s="126">
        <v>17</v>
      </c>
      <c r="I295" s="125">
        <f t="shared" si="4"/>
        <v>3</v>
      </c>
      <c r="J295" s="127">
        <v>3.1584000000000003</v>
      </c>
      <c r="M295" s="128"/>
    </row>
    <row r="296" spans="2:13">
      <c r="B296" s="116">
        <v>288</v>
      </c>
      <c r="C296" s="124" t="s">
        <v>449</v>
      </c>
      <c r="D296" s="116" t="s">
        <v>78</v>
      </c>
      <c r="E296" s="125">
        <v>62</v>
      </c>
      <c r="F296" s="126">
        <v>96.4</v>
      </c>
      <c r="G296" s="126">
        <v>15</v>
      </c>
      <c r="I296" s="125">
        <f t="shared" si="4"/>
        <v>3</v>
      </c>
      <c r="J296" s="127">
        <v>3.8560000000000003</v>
      </c>
      <c r="M296" s="128"/>
    </row>
    <row r="297" spans="2:13">
      <c r="B297" s="116">
        <v>289</v>
      </c>
      <c r="C297" s="124" t="s">
        <v>450</v>
      </c>
      <c r="D297" s="116" t="s">
        <v>65</v>
      </c>
      <c r="E297" s="125">
        <v>70</v>
      </c>
      <c r="F297" s="126">
        <v>135</v>
      </c>
      <c r="G297" s="126">
        <v>22</v>
      </c>
      <c r="I297" s="125">
        <f t="shared" si="4"/>
        <v>4</v>
      </c>
      <c r="J297" s="127">
        <v>4.3605</v>
      </c>
      <c r="M297" s="128"/>
    </row>
    <row r="298" spans="2:13">
      <c r="B298" s="116">
        <v>290</v>
      </c>
      <c r="C298" s="124" t="s">
        <v>451</v>
      </c>
      <c r="D298" s="116" t="s">
        <v>55</v>
      </c>
      <c r="E298" s="125">
        <v>85</v>
      </c>
      <c r="F298" s="126">
        <v>131.4</v>
      </c>
      <c r="G298" s="126">
        <v>14</v>
      </c>
      <c r="I298" s="125">
        <f t="shared" si="4"/>
        <v>4</v>
      </c>
      <c r="J298" s="127">
        <v>4.4676000000000009</v>
      </c>
      <c r="M298" s="128"/>
    </row>
    <row r="299" spans="2:13">
      <c r="B299" s="116">
        <v>291</v>
      </c>
      <c r="C299" s="124" t="s">
        <v>452</v>
      </c>
      <c r="D299" s="116" t="s">
        <v>98</v>
      </c>
      <c r="E299" s="125">
        <v>70</v>
      </c>
      <c r="F299" s="126">
        <v>86.9</v>
      </c>
      <c r="G299" s="126">
        <v>14</v>
      </c>
      <c r="I299" s="125">
        <f t="shared" si="4"/>
        <v>3</v>
      </c>
      <c r="J299" s="127">
        <v>2.3897500000000003</v>
      </c>
      <c r="M299" s="128"/>
    </row>
    <row r="300" spans="2:13">
      <c r="B300" s="116">
        <v>292</v>
      </c>
      <c r="C300" s="124" t="s">
        <v>453</v>
      </c>
      <c r="D300" s="116" t="s">
        <v>65</v>
      </c>
      <c r="E300" s="125">
        <v>74</v>
      </c>
      <c r="F300" s="126">
        <v>109.4</v>
      </c>
      <c r="G300" s="126">
        <v>14</v>
      </c>
      <c r="I300" s="125">
        <f t="shared" si="4"/>
        <v>4</v>
      </c>
      <c r="J300" s="127">
        <v>2.3083400000000003</v>
      </c>
      <c r="M300" s="128"/>
    </row>
    <row r="301" spans="2:13">
      <c r="B301" s="116">
        <v>293</v>
      </c>
      <c r="C301" s="124" t="s">
        <v>454</v>
      </c>
      <c r="D301" s="116" t="s">
        <v>65</v>
      </c>
      <c r="E301" s="125">
        <v>38</v>
      </c>
      <c r="F301" s="126">
        <v>57.8</v>
      </c>
      <c r="G301" s="126">
        <v>8</v>
      </c>
      <c r="I301" s="125">
        <f t="shared" si="4"/>
        <v>3</v>
      </c>
      <c r="J301" s="127">
        <v>1.9767600000000001</v>
      </c>
      <c r="M301" s="128"/>
    </row>
    <row r="302" spans="2:13">
      <c r="B302" s="116">
        <v>294</v>
      </c>
      <c r="C302" s="124" t="s">
        <v>455</v>
      </c>
      <c r="D302" s="116" t="s">
        <v>86</v>
      </c>
      <c r="E302" s="125">
        <v>50</v>
      </c>
      <c r="F302" s="126">
        <v>64.2</v>
      </c>
      <c r="G302" s="126">
        <v>10</v>
      </c>
      <c r="I302" s="125">
        <f t="shared" si="4"/>
        <v>3</v>
      </c>
      <c r="J302" s="127">
        <v>1.5536400000000001</v>
      </c>
      <c r="M302" s="128"/>
    </row>
    <row r="303" spans="2:13">
      <c r="B303" s="116">
        <v>295</v>
      </c>
      <c r="C303" s="124" t="s">
        <v>456</v>
      </c>
      <c r="D303" s="116" t="s">
        <v>88</v>
      </c>
      <c r="E303" s="125">
        <v>50</v>
      </c>
      <c r="F303" s="126">
        <v>72.599999999999994</v>
      </c>
      <c r="G303" s="126">
        <v>12</v>
      </c>
      <c r="I303" s="125">
        <f t="shared" si="4"/>
        <v>3</v>
      </c>
      <c r="J303" s="127">
        <v>2.7442799999999998</v>
      </c>
      <c r="M303" s="128"/>
    </row>
    <row r="304" spans="2:13">
      <c r="B304" s="116">
        <v>296</v>
      </c>
      <c r="C304" s="124" t="s">
        <v>457</v>
      </c>
      <c r="D304" s="116" t="s">
        <v>65</v>
      </c>
      <c r="E304" s="125">
        <v>52</v>
      </c>
      <c r="F304" s="126">
        <v>84.2</v>
      </c>
      <c r="G304" s="126">
        <v>12</v>
      </c>
      <c r="I304" s="125">
        <f t="shared" si="4"/>
        <v>3</v>
      </c>
      <c r="J304" s="127">
        <v>2.7533400000000001</v>
      </c>
      <c r="M304" s="128"/>
    </row>
    <row r="305" spans="2:13">
      <c r="B305" s="116">
        <v>297</v>
      </c>
      <c r="C305" s="124" t="s">
        <v>458</v>
      </c>
      <c r="D305" s="116" t="s">
        <v>86</v>
      </c>
      <c r="E305" s="125">
        <v>76</v>
      </c>
      <c r="F305" s="126">
        <v>85.5</v>
      </c>
      <c r="G305" s="126">
        <v>10</v>
      </c>
      <c r="I305" s="125">
        <f t="shared" si="4"/>
        <v>3</v>
      </c>
      <c r="J305" s="127">
        <v>2.8044000000000002</v>
      </c>
      <c r="M305" s="128"/>
    </row>
    <row r="306" spans="2:13">
      <c r="B306" s="116">
        <v>298</v>
      </c>
      <c r="C306" s="124" t="s">
        <v>459</v>
      </c>
      <c r="D306" s="116" t="s">
        <v>86</v>
      </c>
      <c r="E306" s="125">
        <v>93</v>
      </c>
      <c r="F306" s="126">
        <v>95.8</v>
      </c>
      <c r="G306" s="126">
        <v>13</v>
      </c>
      <c r="I306" s="125">
        <f t="shared" si="4"/>
        <v>3</v>
      </c>
      <c r="J306" s="127">
        <v>2.69198</v>
      </c>
      <c r="M306" s="128"/>
    </row>
    <row r="307" spans="2:13">
      <c r="B307" s="116">
        <v>299</v>
      </c>
      <c r="C307" s="124" t="s">
        <v>460</v>
      </c>
      <c r="D307" s="116" t="s">
        <v>88</v>
      </c>
      <c r="E307" s="125">
        <v>62</v>
      </c>
      <c r="F307" s="126">
        <v>68</v>
      </c>
      <c r="G307" s="126">
        <v>13</v>
      </c>
      <c r="I307" s="125">
        <f t="shared" si="4"/>
        <v>3</v>
      </c>
      <c r="J307" s="127">
        <v>2.4819999999999998</v>
      </c>
      <c r="M307" s="128"/>
    </row>
    <row r="308" spans="2:13">
      <c r="B308" s="116">
        <v>300</v>
      </c>
      <c r="C308" s="124" t="s">
        <v>461</v>
      </c>
      <c r="D308" s="116" t="s">
        <v>66</v>
      </c>
      <c r="E308" s="125">
        <v>85</v>
      </c>
      <c r="F308" s="126">
        <v>88.9</v>
      </c>
      <c r="G308" s="126">
        <v>12</v>
      </c>
      <c r="I308" s="125">
        <f t="shared" si="4"/>
        <v>3</v>
      </c>
      <c r="J308" s="127">
        <v>2.9070300000000002</v>
      </c>
      <c r="M308" s="128"/>
    </row>
    <row r="309" spans="2:13">
      <c r="B309" s="116">
        <v>301</v>
      </c>
      <c r="C309" s="124" t="s">
        <v>462</v>
      </c>
      <c r="D309" s="116" t="s">
        <v>65</v>
      </c>
      <c r="E309" s="125">
        <v>46</v>
      </c>
      <c r="F309" s="126">
        <v>81</v>
      </c>
      <c r="G309" s="126">
        <v>9</v>
      </c>
      <c r="I309" s="125">
        <f t="shared" si="4"/>
        <v>3</v>
      </c>
      <c r="J309" s="127">
        <v>3.1185</v>
      </c>
      <c r="M309" s="128"/>
    </row>
    <row r="310" spans="2:13">
      <c r="B310" s="116">
        <v>302</v>
      </c>
      <c r="C310" s="124" t="s">
        <v>463</v>
      </c>
      <c r="D310" s="116" t="s">
        <v>65</v>
      </c>
      <c r="E310" s="125">
        <v>59</v>
      </c>
      <c r="F310" s="126">
        <v>117.6</v>
      </c>
      <c r="G310" s="126">
        <v>16</v>
      </c>
      <c r="I310" s="125">
        <f t="shared" si="4"/>
        <v>4</v>
      </c>
      <c r="J310" s="127">
        <v>3.0223200000000001</v>
      </c>
      <c r="M310" s="128"/>
    </row>
    <row r="311" spans="2:13">
      <c r="B311" s="116">
        <v>303</v>
      </c>
      <c r="C311" s="124" t="s">
        <v>464</v>
      </c>
      <c r="D311" s="116" t="s">
        <v>88</v>
      </c>
      <c r="E311" s="125">
        <v>68</v>
      </c>
      <c r="F311" s="126">
        <v>73.099999999999994</v>
      </c>
      <c r="G311" s="126">
        <v>11</v>
      </c>
      <c r="I311" s="125">
        <f t="shared" si="4"/>
        <v>3</v>
      </c>
      <c r="J311" s="127">
        <v>1.5131699999999999</v>
      </c>
      <c r="M311" s="128"/>
    </row>
    <row r="312" spans="2:13">
      <c r="B312" s="116">
        <v>304</v>
      </c>
      <c r="C312" s="124" t="s">
        <v>465</v>
      </c>
      <c r="D312" s="116" t="s">
        <v>65</v>
      </c>
      <c r="E312" s="125">
        <v>41</v>
      </c>
      <c r="F312" s="126">
        <v>74.5</v>
      </c>
      <c r="G312" s="126">
        <v>13</v>
      </c>
      <c r="I312" s="125">
        <f t="shared" si="4"/>
        <v>3</v>
      </c>
      <c r="J312" s="127">
        <v>2.4957500000000001</v>
      </c>
      <c r="M312" s="128"/>
    </row>
    <row r="313" spans="2:13">
      <c r="B313" s="116">
        <v>305</v>
      </c>
      <c r="C313" s="124" t="s">
        <v>466</v>
      </c>
      <c r="D313" s="116" t="s">
        <v>65</v>
      </c>
      <c r="E313" s="125">
        <v>66</v>
      </c>
      <c r="F313" s="126">
        <v>104.4</v>
      </c>
      <c r="G313" s="126">
        <v>18</v>
      </c>
      <c r="I313" s="125">
        <f t="shared" si="4"/>
        <v>4</v>
      </c>
      <c r="J313" s="127">
        <v>3.1842000000000001</v>
      </c>
      <c r="M313" s="128"/>
    </row>
    <row r="314" spans="2:13">
      <c r="B314" s="116">
        <v>306</v>
      </c>
      <c r="C314" s="124" t="s">
        <v>467</v>
      </c>
      <c r="D314" s="116" t="s">
        <v>65</v>
      </c>
      <c r="E314" s="125">
        <v>64</v>
      </c>
      <c r="F314" s="126">
        <v>66</v>
      </c>
      <c r="G314" s="126">
        <v>13</v>
      </c>
      <c r="I314" s="125">
        <f t="shared" si="4"/>
        <v>3</v>
      </c>
      <c r="J314" s="127">
        <v>2.0790000000000002</v>
      </c>
      <c r="M314" s="128"/>
    </row>
    <row r="315" spans="2:13">
      <c r="B315" s="116">
        <v>307</v>
      </c>
      <c r="C315" s="124" t="s">
        <v>468</v>
      </c>
      <c r="D315" s="116" t="s">
        <v>65</v>
      </c>
      <c r="E315" s="125">
        <v>84</v>
      </c>
      <c r="F315" s="126">
        <v>90.3</v>
      </c>
      <c r="G315" s="126">
        <v>9</v>
      </c>
      <c r="I315" s="125">
        <f t="shared" si="4"/>
        <v>3</v>
      </c>
      <c r="J315" s="127">
        <v>2.6728800000000001</v>
      </c>
      <c r="M315" s="128"/>
    </row>
    <row r="316" spans="2:13">
      <c r="B316" s="116">
        <v>308</v>
      </c>
      <c r="C316" s="124" t="s">
        <v>469</v>
      </c>
      <c r="D316" s="116" t="s">
        <v>78</v>
      </c>
      <c r="E316" s="125">
        <v>48</v>
      </c>
      <c r="F316" s="126">
        <v>67.599999999999994</v>
      </c>
      <c r="G316" s="126">
        <v>12</v>
      </c>
      <c r="I316" s="125">
        <f t="shared" si="4"/>
        <v>3</v>
      </c>
      <c r="J316" s="127">
        <v>2.3727599999999995</v>
      </c>
      <c r="M316" s="128"/>
    </row>
    <row r="317" spans="2:13">
      <c r="B317" s="116">
        <v>309</v>
      </c>
      <c r="C317" s="124" t="s">
        <v>470</v>
      </c>
      <c r="D317" s="116" t="s">
        <v>86</v>
      </c>
      <c r="E317" s="125">
        <v>92</v>
      </c>
      <c r="F317" s="126">
        <v>107.5</v>
      </c>
      <c r="G317" s="126">
        <v>13</v>
      </c>
      <c r="I317" s="125">
        <f t="shared" si="4"/>
        <v>4</v>
      </c>
      <c r="J317" s="127">
        <v>3.0530000000000004</v>
      </c>
      <c r="M317" s="128"/>
    </row>
    <row r="318" spans="2:13">
      <c r="B318" s="116">
        <v>310</v>
      </c>
      <c r="C318" s="124" t="s">
        <v>471</v>
      </c>
      <c r="D318" s="116" t="s">
        <v>63</v>
      </c>
      <c r="E318" s="125">
        <v>47</v>
      </c>
      <c r="F318" s="126">
        <v>58.8</v>
      </c>
      <c r="G318" s="126">
        <v>10</v>
      </c>
      <c r="I318" s="125">
        <f t="shared" si="4"/>
        <v>3</v>
      </c>
      <c r="J318" s="127">
        <v>1.2583199999999999</v>
      </c>
      <c r="M318" s="128"/>
    </row>
    <row r="319" spans="2:13">
      <c r="B319" s="116">
        <v>311</v>
      </c>
      <c r="C319" s="124" t="s">
        <v>472</v>
      </c>
      <c r="D319" s="116" t="s">
        <v>86</v>
      </c>
      <c r="E319" s="125">
        <v>42</v>
      </c>
      <c r="F319" s="126">
        <v>61.3</v>
      </c>
      <c r="G319" s="126">
        <v>6</v>
      </c>
      <c r="I319" s="125">
        <f t="shared" si="4"/>
        <v>3</v>
      </c>
      <c r="J319" s="127">
        <v>1.226</v>
      </c>
      <c r="M319" s="128"/>
    </row>
    <row r="320" spans="2:13">
      <c r="B320" s="116">
        <v>312</v>
      </c>
      <c r="C320" s="124" t="s">
        <v>473</v>
      </c>
      <c r="D320" s="116" t="s">
        <v>66</v>
      </c>
      <c r="E320" s="125">
        <v>79</v>
      </c>
      <c r="F320" s="126">
        <v>96.2</v>
      </c>
      <c r="G320" s="126">
        <v>17</v>
      </c>
      <c r="I320" s="125">
        <f t="shared" si="4"/>
        <v>3</v>
      </c>
      <c r="J320" s="127">
        <v>2.7128399999999999</v>
      </c>
      <c r="M320" s="128"/>
    </row>
    <row r="321" spans="2:13">
      <c r="B321" s="116">
        <v>313</v>
      </c>
      <c r="C321" s="124" t="s">
        <v>474</v>
      </c>
      <c r="D321" s="116" t="s">
        <v>51</v>
      </c>
      <c r="E321" s="125">
        <v>73</v>
      </c>
      <c r="F321" s="126">
        <v>144</v>
      </c>
      <c r="G321" s="126">
        <v>20</v>
      </c>
      <c r="I321" s="125">
        <f t="shared" si="4"/>
        <v>5</v>
      </c>
      <c r="J321" s="127">
        <v>4.6512000000000002</v>
      </c>
      <c r="M321" s="128"/>
    </row>
    <row r="322" spans="2:13">
      <c r="B322" s="116">
        <v>314</v>
      </c>
      <c r="C322" s="124" t="s">
        <v>475</v>
      </c>
      <c r="D322" s="116" t="s">
        <v>84</v>
      </c>
      <c r="E322" s="125">
        <v>47</v>
      </c>
      <c r="F322" s="126">
        <v>84.2</v>
      </c>
      <c r="G322" s="126">
        <v>13</v>
      </c>
      <c r="I322" s="125">
        <f t="shared" si="4"/>
        <v>3</v>
      </c>
      <c r="J322" s="127">
        <v>1.7429399999999999</v>
      </c>
      <c r="M322" s="128"/>
    </row>
    <row r="323" spans="2:13">
      <c r="B323" s="116">
        <v>315</v>
      </c>
      <c r="C323" s="124" t="s">
        <v>476</v>
      </c>
      <c r="D323" s="116" t="s">
        <v>65</v>
      </c>
      <c r="E323" s="125">
        <v>53</v>
      </c>
      <c r="F323" s="126">
        <v>102.3</v>
      </c>
      <c r="G323" s="126">
        <v>19</v>
      </c>
      <c r="I323" s="125">
        <f t="shared" si="4"/>
        <v>4</v>
      </c>
      <c r="J323" s="127">
        <v>2.83371</v>
      </c>
      <c r="M323" s="128"/>
    </row>
    <row r="324" spans="2:13">
      <c r="B324" s="116">
        <v>316</v>
      </c>
      <c r="C324" s="124" t="s">
        <v>477</v>
      </c>
      <c r="D324" s="116" t="s">
        <v>86</v>
      </c>
      <c r="E324" s="125">
        <v>78</v>
      </c>
      <c r="F324" s="126">
        <v>130.69999999999999</v>
      </c>
      <c r="G324" s="126">
        <v>24</v>
      </c>
      <c r="I324" s="125">
        <f t="shared" si="4"/>
        <v>4</v>
      </c>
      <c r="J324" s="127">
        <v>3.0845199999999995</v>
      </c>
      <c r="M324" s="128"/>
    </row>
    <row r="325" spans="2:13">
      <c r="B325" s="116">
        <v>317</v>
      </c>
      <c r="C325" s="124" t="s">
        <v>478</v>
      </c>
      <c r="D325" s="116" t="s">
        <v>84</v>
      </c>
      <c r="E325" s="125">
        <v>82</v>
      </c>
      <c r="F325" s="126">
        <v>148.1</v>
      </c>
      <c r="G325" s="126">
        <v>18</v>
      </c>
      <c r="I325" s="125">
        <f t="shared" si="4"/>
        <v>5</v>
      </c>
      <c r="J325" s="127">
        <v>5.0502099999999999</v>
      </c>
      <c r="M325" s="128"/>
    </row>
    <row r="326" spans="2:13">
      <c r="B326" s="116">
        <v>318</v>
      </c>
      <c r="C326" s="124" t="s">
        <v>479</v>
      </c>
      <c r="D326" s="116" t="s">
        <v>65</v>
      </c>
      <c r="E326" s="125">
        <v>50</v>
      </c>
      <c r="F326" s="126">
        <v>85.7</v>
      </c>
      <c r="G326" s="126">
        <v>15</v>
      </c>
      <c r="I326" s="125">
        <f t="shared" si="4"/>
        <v>3</v>
      </c>
      <c r="J326" s="127">
        <v>2.26248</v>
      </c>
      <c r="M326" s="128"/>
    </row>
    <row r="327" spans="2:13">
      <c r="B327" s="116">
        <v>319</v>
      </c>
      <c r="C327" s="124" t="s">
        <v>480</v>
      </c>
      <c r="D327" s="116" t="s">
        <v>65</v>
      </c>
      <c r="E327" s="125">
        <v>77</v>
      </c>
      <c r="F327" s="126">
        <v>124.3</v>
      </c>
      <c r="G327" s="126">
        <v>22</v>
      </c>
      <c r="I327" s="125">
        <f t="shared" si="4"/>
        <v>4</v>
      </c>
      <c r="J327" s="127">
        <v>3.9651699999999996</v>
      </c>
      <c r="M327" s="128"/>
    </row>
    <row r="328" spans="2:13">
      <c r="B328" s="116">
        <v>320</v>
      </c>
      <c r="C328" s="124" t="s">
        <v>481</v>
      </c>
      <c r="D328" s="116" t="s">
        <v>84</v>
      </c>
      <c r="E328" s="125">
        <v>45</v>
      </c>
      <c r="F328" s="126">
        <v>61</v>
      </c>
      <c r="G328" s="126">
        <v>12</v>
      </c>
      <c r="I328" s="125">
        <f t="shared" si="4"/>
        <v>3</v>
      </c>
      <c r="J328" s="127">
        <v>2.1899000000000002</v>
      </c>
      <c r="M328" s="128"/>
    </row>
    <row r="329" spans="2:13">
      <c r="B329" s="116">
        <v>321</v>
      </c>
      <c r="C329" s="124" t="s">
        <v>482</v>
      </c>
      <c r="D329" s="116" t="s">
        <v>84</v>
      </c>
      <c r="E329" s="125">
        <v>64</v>
      </c>
      <c r="F329" s="126">
        <v>90.9</v>
      </c>
      <c r="G329" s="126">
        <v>10</v>
      </c>
      <c r="I329" s="125">
        <f t="shared" ref="I329:I392" si="5">IF(F329&lt;=100,3,IF(F329&lt;=140,4,IF(F329&lt;=175,5,6)))</f>
        <v>3</v>
      </c>
      <c r="J329" s="127">
        <v>2.85426</v>
      </c>
      <c r="M329" s="128"/>
    </row>
    <row r="330" spans="2:13">
      <c r="B330" s="116">
        <v>322</v>
      </c>
      <c r="C330" s="124" t="s">
        <v>483</v>
      </c>
      <c r="D330" s="116" t="s">
        <v>86</v>
      </c>
      <c r="E330" s="125">
        <v>75</v>
      </c>
      <c r="F330" s="126">
        <v>146.6</v>
      </c>
      <c r="G330" s="126">
        <v>23</v>
      </c>
      <c r="I330" s="125">
        <f t="shared" si="5"/>
        <v>5</v>
      </c>
      <c r="J330" s="127">
        <v>3.48908</v>
      </c>
      <c r="M330" s="128"/>
    </row>
    <row r="331" spans="2:13">
      <c r="B331" s="116">
        <v>323</v>
      </c>
      <c r="C331" s="124" t="s">
        <v>484</v>
      </c>
      <c r="D331" s="116" t="s">
        <v>63</v>
      </c>
      <c r="E331" s="125">
        <v>44</v>
      </c>
      <c r="F331" s="126">
        <v>68.900000000000006</v>
      </c>
      <c r="G331" s="126">
        <v>8</v>
      </c>
      <c r="I331" s="125">
        <f t="shared" si="5"/>
        <v>3</v>
      </c>
      <c r="J331" s="127">
        <v>2.6388700000000003</v>
      </c>
      <c r="M331" s="128"/>
    </row>
    <row r="332" spans="2:13">
      <c r="B332" s="116">
        <v>324</v>
      </c>
      <c r="C332" s="124" t="s">
        <v>485</v>
      </c>
      <c r="D332" s="116" t="s">
        <v>51</v>
      </c>
      <c r="E332" s="125">
        <v>39</v>
      </c>
      <c r="F332" s="126">
        <v>49</v>
      </c>
      <c r="G332" s="126">
        <v>9</v>
      </c>
      <c r="I332" s="125">
        <f t="shared" si="5"/>
        <v>3</v>
      </c>
      <c r="J332" s="127">
        <v>1.6806999999999999</v>
      </c>
      <c r="M332" s="128"/>
    </row>
    <row r="333" spans="2:13">
      <c r="B333" s="116">
        <v>325</v>
      </c>
      <c r="C333" s="124" t="s">
        <v>486</v>
      </c>
      <c r="D333" s="116" t="s">
        <v>51</v>
      </c>
      <c r="E333" s="125">
        <v>53</v>
      </c>
      <c r="F333" s="126">
        <v>63.5</v>
      </c>
      <c r="G333" s="126">
        <v>11</v>
      </c>
      <c r="I333" s="125">
        <f t="shared" si="5"/>
        <v>3</v>
      </c>
      <c r="J333" s="127">
        <v>1.55575</v>
      </c>
      <c r="M333" s="128"/>
    </row>
    <row r="334" spans="2:13">
      <c r="B334" s="116">
        <v>326</v>
      </c>
      <c r="C334" s="124" t="s">
        <v>487</v>
      </c>
      <c r="D334" s="116" t="s">
        <v>86</v>
      </c>
      <c r="E334" s="125">
        <v>77</v>
      </c>
      <c r="F334" s="126">
        <v>131.1</v>
      </c>
      <c r="G334" s="126">
        <v>22</v>
      </c>
      <c r="I334" s="125">
        <f t="shared" si="5"/>
        <v>4</v>
      </c>
      <c r="J334" s="127">
        <v>4.92936</v>
      </c>
      <c r="M334" s="128"/>
    </row>
    <row r="335" spans="2:13">
      <c r="B335" s="116">
        <v>327</v>
      </c>
      <c r="C335" s="124" t="s">
        <v>488</v>
      </c>
      <c r="D335" s="116" t="s">
        <v>86</v>
      </c>
      <c r="E335" s="125">
        <v>73</v>
      </c>
      <c r="F335" s="126">
        <v>124.9</v>
      </c>
      <c r="G335" s="126">
        <v>21</v>
      </c>
      <c r="I335" s="125">
        <f t="shared" si="5"/>
        <v>4</v>
      </c>
      <c r="J335" s="127">
        <v>4.9210599999999998</v>
      </c>
      <c r="M335" s="128"/>
    </row>
    <row r="336" spans="2:13">
      <c r="B336" s="116">
        <v>328</v>
      </c>
      <c r="C336" s="124" t="s">
        <v>489</v>
      </c>
      <c r="D336" s="116" t="s">
        <v>65</v>
      </c>
      <c r="E336" s="125">
        <v>79</v>
      </c>
      <c r="F336" s="126">
        <v>141.4</v>
      </c>
      <c r="G336" s="126">
        <v>23</v>
      </c>
      <c r="I336" s="125">
        <f t="shared" si="5"/>
        <v>5</v>
      </c>
      <c r="J336" s="127">
        <v>4.76518</v>
      </c>
      <c r="M336" s="128"/>
    </row>
    <row r="337" spans="2:13">
      <c r="B337" s="116">
        <v>329</v>
      </c>
      <c r="C337" s="124" t="s">
        <v>490</v>
      </c>
      <c r="D337" s="116" t="s">
        <v>65</v>
      </c>
      <c r="E337" s="125">
        <v>65</v>
      </c>
      <c r="F337" s="126">
        <v>104.1</v>
      </c>
      <c r="G337" s="126">
        <v>10</v>
      </c>
      <c r="I337" s="125">
        <f t="shared" si="5"/>
        <v>4</v>
      </c>
      <c r="J337" s="127">
        <v>4.0182599999999997</v>
      </c>
      <c r="M337" s="128"/>
    </row>
    <row r="338" spans="2:13">
      <c r="B338" s="116">
        <v>330</v>
      </c>
      <c r="C338" s="124" t="s">
        <v>491</v>
      </c>
      <c r="D338" s="116" t="s">
        <v>51</v>
      </c>
      <c r="E338" s="125">
        <v>49</v>
      </c>
      <c r="F338" s="126">
        <v>82.2</v>
      </c>
      <c r="G338" s="126">
        <v>8</v>
      </c>
      <c r="I338" s="125">
        <f t="shared" si="5"/>
        <v>3</v>
      </c>
      <c r="J338" s="127">
        <v>2.8770000000000002</v>
      </c>
      <c r="M338" s="128"/>
    </row>
    <row r="339" spans="2:13">
      <c r="B339" s="116">
        <v>331</v>
      </c>
      <c r="C339" s="124" t="s">
        <v>492</v>
      </c>
      <c r="D339" s="116" t="s">
        <v>65</v>
      </c>
      <c r="E339" s="125">
        <v>58</v>
      </c>
      <c r="F339" s="126">
        <v>73.3</v>
      </c>
      <c r="G339" s="126">
        <v>15</v>
      </c>
      <c r="I339" s="125">
        <f t="shared" si="5"/>
        <v>3</v>
      </c>
      <c r="J339" s="127">
        <v>1.5319699999999998</v>
      </c>
      <c r="M339" s="128"/>
    </row>
    <row r="340" spans="2:13">
      <c r="B340" s="116">
        <v>332</v>
      </c>
      <c r="C340" s="124" t="s">
        <v>493</v>
      </c>
      <c r="D340" s="116" t="s">
        <v>78</v>
      </c>
      <c r="E340" s="125">
        <v>70</v>
      </c>
      <c r="F340" s="126">
        <v>73.599999999999994</v>
      </c>
      <c r="G340" s="126">
        <v>12</v>
      </c>
      <c r="I340" s="125">
        <f t="shared" si="5"/>
        <v>3</v>
      </c>
      <c r="J340" s="127">
        <v>2.2521599999999999</v>
      </c>
      <c r="M340" s="128"/>
    </row>
    <row r="341" spans="2:13">
      <c r="B341" s="116">
        <v>333</v>
      </c>
      <c r="C341" s="124" t="s">
        <v>494</v>
      </c>
      <c r="D341" s="116" t="s">
        <v>76</v>
      </c>
      <c r="E341" s="125">
        <v>41</v>
      </c>
      <c r="F341" s="126">
        <v>80.2</v>
      </c>
      <c r="G341" s="126">
        <v>15</v>
      </c>
      <c r="I341" s="125">
        <f t="shared" si="5"/>
        <v>3</v>
      </c>
      <c r="J341" s="127">
        <v>2.4701600000000004</v>
      </c>
      <c r="M341" s="128"/>
    </row>
    <row r="342" spans="2:13">
      <c r="B342" s="116">
        <v>334</v>
      </c>
      <c r="C342" s="124" t="s">
        <v>495</v>
      </c>
      <c r="D342" s="116" t="s">
        <v>84</v>
      </c>
      <c r="E342" s="125">
        <v>70</v>
      </c>
      <c r="F342" s="126">
        <v>74.3</v>
      </c>
      <c r="G342" s="126">
        <v>10</v>
      </c>
      <c r="I342" s="125">
        <f t="shared" si="5"/>
        <v>3</v>
      </c>
      <c r="J342" s="127">
        <v>2.7862499999999999</v>
      </c>
      <c r="M342" s="128"/>
    </row>
    <row r="343" spans="2:13">
      <c r="B343" s="116">
        <v>335</v>
      </c>
      <c r="C343" s="124" t="s">
        <v>496</v>
      </c>
      <c r="D343" s="116" t="s">
        <v>86</v>
      </c>
      <c r="E343" s="125">
        <v>49</v>
      </c>
      <c r="F343" s="126">
        <v>61.9</v>
      </c>
      <c r="G343" s="126">
        <v>9</v>
      </c>
      <c r="I343" s="125">
        <f t="shared" si="5"/>
        <v>3</v>
      </c>
      <c r="J343" s="127">
        <v>1.9003300000000001</v>
      </c>
      <c r="M343" s="128"/>
    </row>
    <row r="344" spans="2:13">
      <c r="B344" s="116">
        <v>336</v>
      </c>
      <c r="C344" s="124" t="s">
        <v>497</v>
      </c>
      <c r="D344" s="116" t="s">
        <v>86</v>
      </c>
      <c r="E344" s="125">
        <v>48</v>
      </c>
      <c r="F344" s="126">
        <v>77.7</v>
      </c>
      <c r="G344" s="126">
        <v>8</v>
      </c>
      <c r="I344" s="125">
        <f t="shared" si="5"/>
        <v>3</v>
      </c>
      <c r="J344" s="127">
        <v>1.9658100000000001</v>
      </c>
      <c r="M344" s="128"/>
    </row>
    <row r="345" spans="2:13">
      <c r="B345" s="116">
        <v>337</v>
      </c>
      <c r="C345" s="124" t="s">
        <v>498</v>
      </c>
      <c r="D345" s="116" t="s">
        <v>63</v>
      </c>
      <c r="E345" s="125">
        <v>43</v>
      </c>
      <c r="F345" s="126">
        <v>75.099999999999994</v>
      </c>
      <c r="G345" s="126">
        <v>12</v>
      </c>
      <c r="I345" s="125">
        <f t="shared" si="5"/>
        <v>3</v>
      </c>
      <c r="J345" s="127">
        <v>2.0276999999999998</v>
      </c>
      <c r="M345" s="128"/>
    </row>
    <row r="346" spans="2:13">
      <c r="B346" s="116">
        <v>338</v>
      </c>
      <c r="C346" s="124" t="s">
        <v>499</v>
      </c>
      <c r="D346" s="116" t="s">
        <v>66</v>
      </c>
      <c r="E346" s="125">
        <v>50</v>
      </c>
      <c r="F346" s="126">
        <v>95.2</v>
      </c>
      <c r="G346" s="126">
        <v>14</v>
      </c>
      <c r="I346" s="125">
        <f t="shared" si="5"/>
        <v>3</v>
      </c>
      <c r="J346" s="127">
        <v>2.25624</v>
      </c>
      <c r="M346" s="128"/>
    </row>
    <row r="347" spans="2:13">
      <c r="B347" s="116">
        <v>339</v>
      </c>
      <c r="C347" s="124" t="s">
        <v>500</v>
      </c>
      <c r="D347" s="116" t="s">
        <v>86</v>
      </c>
      <c r="E347" s="125">
        <v>36</v>
      </c>
      <c r="F347" s="126">
        <v>49.6</v>
      </c>
      <c r="G347" s="126">
        <v>10</v>
      </c>
      <c r="I347" s="125">
        <f t="shared" si="5"/>
        <v>3</v>
      </c>
      <c r="J347" s="127">
        <v>1.1606400000000001</v>
      </c>
      <c r="M347" s="128"/>
    </row>
    <row r="348" spans="2:13">
      <c r="B348" s="116">
        <v>340</v>
      </c>
      <c r="C348" s="124" t="s">
        <v>501</v>
      </c>
      <c r="D348" s="116" t="s">
        <v>80</v>
      </c>
      <c r="E348" s="125">
        <v>66</v>
      </c>
      <c r="F348" s="126">
        <v>114.6</v>
      </c>
      <c r="G348" s="126">
        <v>16</v>
      </c>
      <c r="I348" s="125">
        <f t="shared" si="5"/>
        <v>4</v>
      </c>
      <c r="J348" s="127">
        <v>4.2745799999999994</v>
      </c>
      <c r="M348" s="128"/>
    </row>
    <row r="349" spans="2:13">
      <c r="B349" s="116">
        <v>341</v>
      </c>
      <c r="C349" s="124" t="s">
        <v>502</v>
      </c>
      <c r="D349" s="116" t="s">
        <v>65</v>
      </c>
      <c r="E349" s="125">
        <v>97</v>
      </c>
      <c r="F349" s="126">
        <v>111.5</v>
      </c>
      <c r="G349" s="126">
        <v>11</v>
      </c>
      <c r="I349" s="125">
        <f t="shared" si="5"/>
        <v>4</v>
      </c>
      <c r="J349" s="127">
        <v>3.8021499999999997</v>
      </c>
      <c r="M349" s="128"/>
    </row>
    <row r="350" spans="2:13">
      <c r="B350" s="116">
        <v>342</v>
      </c>
      <c r="C350" s="124" t="s">
        <v>503</v>
      </c>
      <c r="D350" s="116" t="s">
        <v>55</v>
      </c>
      <c r="E350" s="125">
        <v>96</v>
      </c>
      <c r="F350" s="126">
        <v>101.3</v>
      </c>
      <c r="G350" s="126">
        <v>16</v>
      </c>
      <c r="I350" s="125">
        <f t="shared" si="5"/>
        <v>4</v>
      </c>
      <c r="J350" s="127">
        <v>3.8899199999999996</v>
      </c>
      <c r="M350" s="128"/>
    </row>
    <row r="351" spans="2:13">
      <c r="B351" s="116">
        <v>343</v>
      </c>
      <c r="C351" s="124" t="s">
        <v>504</v>
      </c>
      <c r="D351" s="116" t="s">
        <v>84</v>
      </c>
      <c r="E351" s="125">
        <v>54</v>
      </c>
      <c r="F351" s="126">
        <v>101.7</v>
      </c>
      <c r="G351" s="126">
        <v>14</v>
      </c>
      <c r="I351" s="125">
        <f t="shared" si="5"/>
        <v>4</v>
      </c>
      <c r="J351" s="127">
        <v>3.7629000000000001</v>
      </c>
      <c r="M351" s="128"/>
    </row>
    <row r="352" spans="2:13">
      <c r="B352" s="116">
        <v>344</v>
      </c>
      <c r="C352" s="124" t="s">
        <v>505</v>
      </c>
      <c r="D352" s="116" t="s">
        <v>86</v>
      </c>
      <c r="E352" s="125">
        <v>63</v>
      </c>
      <c r="F352" s="126">
        <v>122.5</v>
      </c>
      <c r="G352" s="126">
        <v>17</v>
      </c>
      <c r="I352" s="125">
        <f t="shared" si="5"/>
        <v>4</v>
      </c>
      <c r="J352" s="127">
        <v>2.6949999999999998</v>
      </c>
      <c r="M352" s="128"/>
    </row>
    <row r="353" spans="2:13">
      <c r="B353" s="116">
        <v>345</v>
      </c>
      <c r="C353" s="124" t="s">
        <v>506</v>
      </c>
      <c r="D353" s="116" t="s">
        <v>54</v>
      </c>
      <c r="E353" s="125">
        <v>79</v>
      </c>
      <c r="F353" s="126">
        <v>151.19999999999999</v>
      </c>
      <c r="G353" s="126">
        <v>29</v>
      </c>
      <c r="I353" s="125">
        <f t="shared" si="5"/>
        <v>5</v>
      </c>
      <c r="J353" s="127">
        <v>4.9139999999999997</v>
      </c>
      <c r="M353" s="128"/>
    </row>
    <row r="354" spans="2:13">
      <c r="B354" s="116">
        <v>346</v>
      </c>
      <c r="C354" s="124" t="s">
        <v>507</v>
      </c>
      <c r="D354" s="116" t="s">
        <v>86</v>
      </c>
      <c r="E354" s="125">
        <v>61</v>
      </c>
      <c r="F354" s="126">
        <v>92.8</v>
      </c>
      <c r="G354" s="126">
        <v>15</v>
      </c>
      <c r="I354" s="125">
        <f t="shared" si="5"/>
        <v>3</v>
      </c>
      <c r="J354" s="127">
        <v>2.6726399999999999</v>
      </c>
      <c r="M354" s="128"/>
    </row>
    <row r="355" spans="2:13">
      <c r="B355" s="116">
        <v>347</v>
      </c>
      <c r="C355" s="124" t="s">
        <v>508</v>
      </c>
      <c r="D355" s="116" t="s">
        <v>65</v>
      </c>
      <c r="E355" s="125">
        <v>91</v>
      </c>
      <c r="F355" s="126">
        <v>141.19999999999999</v>
      </c>
      <c r="G355" s="126">
        <v>27</v>
      </c>
      <c r="I355" s="125">
        <f t="shared" si="5"/>
        <v>5</v>
      </c>
      <c r="J355" s="127">
        <v>2.9228399999999999</v>
      </c>
      <c r="M355" s="128"/>
    </row>
    <row r="356" spans="2:13">
      <c r="B356" s="116">
        <v>348</v>
      </c>
      <c r="C356" s="124" t="s">
        <v>509</v>
      </c>
      <c r="D356" s="116" t="s">
        <v>82</v>
      </c>
      <c r="E356" s="125">
        <v>74</v>
      </c>
      <c r="F356" s="126">
        <v>91.5</v>
      </c>
      <c r="G356" s="126">
        <v>15</v>
      </c>
      <c r="I356" s="125">
        <f t="shared" si="5"/>
        <v>3</v>
      </c>
      <c r="J356" s="127">
        <v>1.8574499999999998</v>
      </c>
      <c r="M356" s="128"/>
    </row>
    <row r="357" spans="2:13">
      <c r="B357" s="116">
        <v>349</v>
      </c>
      <c r="C357" s="124" t="s">
        <v>510</v>
      </c>
      <c r="D357" s="116" t="s">
        <v>65</v>
      </c>
      <c r="E357" s="125">
        <v>45</v>
      </c>
      <c r="F357" s="126">
        <v>71.7</v>
      </c>
      <c r="G357" s="126">
        <v>13</v>
      </c>
      <c r="I357" s="125">
        <f t="shared" si="5"/>
        <v>3</v>
      </c>
      <c r="J357" s="127">
        <v>1.6562699999999999</v>
      </c>
      <c r="M357" s="128"/>
    </row>
    <row r="358" spans="2:13">
      <c r="B358" s="116">
        <v>350</v>
      </c>
      <c r="C358" s="124" t="s">
        <v>511</v>
      </c>
      <c r="D358" s="116" t="s">
        <v>65</v>
      </c>
      <c r="E358" s="125">
        <v>44</v>
      </c>
      <c r="F358" s="126">
        <v>61.6</v>
      </c>
      <c r="G358" s="126">
        <v>10</v>
      </c>
      <c r="I358" s="125">
        <f t="shared" si="5"/>
        <v>3</v>
      </c>
      <c r="J358" s="127">
        <v>2.1128800000000001</v>
      </c>
      <c r="M358" s="128"/>
    </row>
    <row r="359" spans="2:13">
      <c r="B359" s="116">
        <v>351</v>
      </c>
      <c r="C359" s="124" t="s">
        <v>512</v>
      </c>
      <c r="D359" s="116" t="s">
        <v>29</v>
      </c>
      <c r="E359" s="125">
        <v>67</v>
      </c>
      <c r="F359" s="126">
        <v>101.8</v>
      </c>
      <c r="G359" s="126">
        <v>16</v>
      </c>
      <c r="I359" s="125">
        <f t="shared" si="5"/>
        <v>4</v>
      </c>
      <c r="J359" s="127">
        <v>2.72824</v>
      </c>
      <c r="M359" s="128"/>
    </row>
    <row r="360" spans="2:13">
      <c r="B360" s="116">
        <v>352</v>
      </c>
      <c r="C360" s="124" t="s">
        <v>513</v>
      </c>
      <c r="D360" s="116" t="s">
        <v>65</v>
      </c>
      <c r="E360" s="125">
        <v>69</v>
      </c>
      <c r="F360" s="126">
        <v>100.4</v>
      </c>
      <c r="G360" s="126">
        <v>20</v>
      </c>
      <c r="I360" s="125">
        <f t="shared" si="5"/>
        <v>4</v>
      </c>
      <c r="J360" s="127">
        <v>2.4798800000000001</v>
      </c>
      <c r="M360" s="128"/>
    </row>
    <row r="361" spans="2:13">
      <c r="B361" s="116">
        <v>353</v>
      </c>
      <c r="C361" s="124" t="s">
        <v>514</v>
      </c>
      <c r="D361" s="116" t="s">
        <v>65</v>
      </c>
      <c r="E361" s="125">
        <v>36</v>
      </c>
      <c r="F361" s="126">
        <v>46.9</v>
      </c>
      <c r="G361" s="126">
        <v>7</v>
      </c>
      <c r="I361" s="125">
        <f t="shared" si="5"/>
        <v>3</v>
      </c>
      <c r="J361" s="127">
        <v>1.7118499999999999</v>
      </c>
      <c r="M361" s="128"/>
    </row>
    <row r="362" spans="2:13">
      <c r="B362" s="116">
        <v>354</v>
      </c>
      <c r="C362" s="124" t="s">
        <v>515</v>
      </c>
      <c r="D362" s="116" t="s">
        <v>84</v>
      </c>
      <c r="E362" s="125">
        <v>42</v>
      </c>
      <c r="F362" s="126">
        <v>59.8</v>
      </c>
      <c r="G362" s="126">
        <v>10</v>
      </c>
      <c r="I362" s="125">
        <f t="shared" si="5"/>
        <v>3</v>
      </c>
      <c r="J362" s="127">
        <v>2.0870199999999999</v>
      </c>
      <c r="M362" s="128"/>
    </row>
    <row r="363" spans="2:13">
      <c r="B363" s="116">
        <v>355</v>
      </c>
      <c r="C363" s="124" t="s">
        <v>516</v>
      </c>
      <c r="D363" s="116" t="s">
        <v>65</v>
      </c>
      <c r="E363" s="125">
        <v>56</v>
      </c>
      <c r="F363" s="126">
        <v>82.1</v>
      </c>
      <c r="G363" s="126">
        <v>11</v>
      </c>
      <c r="I363" s="125">
        <f t="shared" si="5"/>
        <v>3</v>
      </c>
      <c r="J363" s="127">
        <v>2.1345999999999998</v>
      </c>
      <c r="M363" s="128"/>
    </row>
    <row r="364" spans="2:13">
      <c r="B364" s="116">
        <v>356</v>
      </c>
      <c r="C364" s="124" t="s">
        <v>517</v>
      </c>
      <c r="D364" s="116" t="s">
        <v>65</v>
      </c>
      <c r="E364" s="125">
        <v>68</v>
      </c>
      <c r="F364" s="126">
        <v>76.2</v>
      </c>
      <c r="G364" s="126">
        <v>11</v>
      </c>
      <c r="I364" s="125">
        <f t="shared" si="5"/>
        <v>3</v>
      </c>
      <c r="J364" s="127">
        <v>2.3164799999999999</v>
      </c>
      <c r="M364" s="128"/>
    </row>
    <row r="365" spans="2:13">
      <c r="B365" s="116">
        <v>357</v>
      </c>
      <c r="C365" s="124" t="s">
        <v>518</v>
      </c>
      <c r="D365" s="116" t="s">
        <v>65</v>
      </c>
      <c r="E365" s="125">
        <v>51</v>
      </c>
      <c r="F365" s="126">
        <v>71.400000000000006</v>
      </c>
      <c r="G365" s="126">
        <v>8</v>
      </c>
      <c r="I365" s="125">
        <f t="shared" si="5"/>
        <v>3</v>
      </c>
      <c r="J365" s="127">
        <v>1.8349800000000003</v>
      </c>
      <c r="M365" s="128"/>
    </row>
    <row r="366" spans="2:13">
      <c r="B366" s="116">
        <v>358</v>
      </c>
      <c r="C366" s="124" t="s">
        <v>519</v>
      </c>
      <c r="D366" s="116" t="s">
        <v>95</v>
      </c>
      <c r="E366" s="125">
        <v>88</v>
      </c>
      <c r="F366" s="126">
        <v>166.6</v>
      </c>
      <c r="G366" s="126">
        <v>28</v>
      </c>
      <c r="I366" s="125">
        <f t="shared" si="5"/>
        <v>5</v>
      </c>
      <c r="J366" s="127">
        <v>4.3649199999999997</v>
      </c>
      <c r="M366" s="128"/>
    </row>
    <row r="367" spans="2:13">
      <c r="B367" s="116">
        <v>359</v>
      </c>
      <c r="C367" s="124" t="s">
        <v>520</v>
      </c>
      <c r="D367" s="116" t="s">
        <v>65</v>
      </c>
      <c r="E367" s="125">
        <v>38</v>
      </c>
      <c r="F367" s="126">
        <v>46.7</v>
      </c>
      <c r="G367" s="126">
        <v>5</v>
      </c>
      <c r="I367" s="125">
        <f t="shared" si="5"/>
        <v>3</v>
      </c>
      <c r="J367" s="127">
        <v>1.3683100000000001</v>
      </c>
      <c r="M367" s="128"/>
    </row>
    <row r="368" spans="2:13">
      <c r="B368" s="116">
        <v>360</v>
      </c>
      <c r="C368" s="124" t="s">
        <v>521</v>
      </c>
      <c r="D368" s="116" t="s">
        <v>93</v>
      </c>
      <c r="E368" s="125">
        <v>99</v>
      </c>
      <c r="F368" s="126">
        <v>156.4</v>
      </c>
      <c r="G368" s="126">
        <v>16</v>
      </c>
      <c r="I368" s="125">
        <f t="shared" si="5"/>
        <v>5</v>
      </c>
      <c r="J368" s="127">
        <v>3.3938800000000002</v>
      </c>
      <c r="M368" s="128"/>
    </row>
    <row r="369" spans="2:13">
      <c r="B369" s="116">
        <v>361</v>
      </c>
      <c r="C369" s="124" t="s">
        <v>522</v>
      </c>
      <c r="D369" s="116" t="s">
        <v>65</v>
      </c>
      <c r="E369" s="125">
        <v>65</v>
      </c>
      <c r="F369" s="126">
        <v>108.7</v>
      </c>
      <c r="G369" s="126">
        <v>11</v>
      </c>
      <c r="I369" s="125">
        <f t="shared" si="5"/>
        <v>4</v>
      </c>
      <c r="J369" s="127">
        <v>4.3045200000000001</v>
      </c>
      <c r="M369" s="128"/>
    </row>
    <row r="370" spans="2:13">
      <c r="B370" s="116">
        <v>362</v>
      </c>
      <c r="C370" s="124" t="s">
        <v>523</v>
      </c>
      <c r="D370" s="116" t="s">
        <v>65</v>
      </c>
      <c r="E370" s="125">
        <v>46</v>
      </c>
      <c r="F370" s="126">
        <v>56.9</v>
      </c>
      <c r="G370" s="126">
        <v>7</v>
      </c>
      <c r="I370" s="125">
        <f t="shared" si="5"/>
        <v>3</v>
      </c>
      <c r="J370" s="127">
        <v>2.1166799999999997</v>
      </c>
      <c r="M370" s="128"/>
    </row>
    <row r="371" spans="2:13">
      <c r="B371" s="116">
        <v>363</v>
      </c>
      <c r="C371" s="124" t="s">
        <v>524</v>
      </c>
      <c r="D371" s="116" t="s">
        <v>92</v>
      </c>
      <c r="E371" s="125">
        <v>73</v>
      </c>
      <c r="F371" s="126">
        <v>82.1</v>
      </c>
      <c r="G371" s="126">
        <v>13</v>
      </c>
      <c r="I371" s="125">
        <f t="shared" si="5"/>
        <v>3</v>
      </c>
      <c r="J371" s="127">
        <v>2.3562699999999999</v>
      </c>
      <c r="M371" s="128"/>
    </row>
    <row r="372" spans="2:13">
      <c r="B372" s="116">
        <v>364</v>
      </c>
      <c r="C372" s="124" t="s">
        <v>525</v>
      </c>
      <c r="D372" s="116" t="s">
        <v>65</v>
      </c>
      <c r="E372" s="125">
        <v>59</v>
      </c>
      <c r="F372" s="126">
        <v>94.8</v>
      </c>
      <c r="G372" s="126">
        <v>11</v>
      </c>
      <c r="I372" s="125">
        <f t="shared" si="5"/>
        <v>3</v>
      </c>
      <c r="J372" s="127">
        <v>2.0287199999999999</v>
      </c>
      <c r="M372" s="128"/>
    </row>
    <row r="373" spans="2:13">
      <c r="B373" s="116">
        <v>365</v>
      </c>
      <c r="C373" s="124" t="s">
        <v>526</v>
      </c>
      <c r="D373" s="116" t="s">
        <v>65</v>
      </c>
      <c r="E373" s="125">
        <v>46</v>
      </c>
      <c r="F373" s="126">
        <v>87.4</v>
      </c>
      <c r="G373" s="126">
        <v>9</v>
      </c>
      <c r="I373" s="125">
        <f t="shared" si="5"/>
        <v>3</v>
      </c>
      <c r="J373" s="127">
        <v>2.6919200000000001</v>
      </c>
      <c r="M373" s="128"/>
    </row>
    <row r="374" spans="2:13">
      <c r="B374" s="116">
        <v>366</v>
      </c>
      <c r="C374" s="124" t="s">
        <v>527</v>
      </c>
      <c r="D374" s="116" t="s">
        <v>65</v>
      </c>
      <c r="E374" s="125">
        <v>84</v>
      </c>
      <c r="F374" s="126">
        <v>167.3</v>
      </c>
      <c r="G374" s="126">
        <v>22</v>
      </c>
      <c r="I374" s="125">
        <f t="shared" si="5"/>
        <v>5</v>
      </c>
      <c r="J374" s="127">
        <v>4.6844000000000001</v>
      </c>
      <c r="M374" s="128"/>
    </row>
    <row r="375" spans="2:13">
      <c r="B375" s="116">
        <v>367</v>
      </c>
      <c r="C375" s="124" t="s">
        <v>528</v>
      </c>
      <c r="D375" s="116" t="s">
        <v>65</v>
      </c>
      <c r="E375" s="125">
        <v>48</v>
      </c>
      <c r="F375" s="126">
        <v>93.3</v>
      </c>
      <c r="G375" s="126">
        <v>12</v>
      </c>
      <c r="I375" s="125">
        <f t="shared" si="5"/>
        <v>3</v>
      </c>
      <c r="J375" s="127">
        <v>2.1179100000000002</v>
      </c>
      <c r="M375" s="128"/>
    </row>
    <row r="376" spans="2:13">
      <c r="B376" s="116">
        <v>368</v>
      </c>
      <c r="C376" s="124" t="s">
        <v>529</v>
      </c>
      <c r="D376" s="116" t="s">
        <v>78</v>
      </c>
      <c r="E376" s="125">
        <v>52</v>
      </c>
      <c r="F376" s="126">
        <v>74.900000000000006</v>
      </c>
      <c r="G376" s="126">
        <v>9</v>
      </c>
      <c r="I376" s="125">
        <f t="shared" si="5"/>
        <v>3</v>
      </c>
      <c r="J376" s="127">
        <v>2.6364800000000002</v>
      </c>
      <c r="M376" s="128"/>
    </row>
    <row r="377" spans="2:13">
      <c r="B377" s="116">
        <v>369</v>
      </c>
      <c r="C377" s="124" t="s">
        <v>530</v>
      </c>
      <c r="D377" s="116" t="s">
        <v>65</v>
      </c>
      <c r="E377" s="125">
        <v>92</v>
      </c>
      <c r="F377" s="126">
        <v>137</v>
      </c>
      <c r="G377" s="126">
        <v>25</v>
      </c>
      <c r="I377" s="125">
        <f t="shared" si="5"/>
        <v>4</v>
      </c>
      <c r="J377" s="127">
        <v>3.9455999999999998</v>
      </c>
      <c r="M377" s="128"/>
    </row>
    <row r="378" spans="2:13">
      <c r="B378" s="116">
        <v>370</v>
      </c>
      <c r="C378" s="124" t="s">
        <v>531</v>
      </c>
      <c r="D378" s="116" t="s">
        <v>84</v>
      </c>
      <c r="E378" s="125">
        <v>50</v>
      </c>
      <c r="F378" s="126">
        <v>67.2</v>
      </c>
      <c r="G378" s="126">
        <v>12</v>
      </c>
      <c r="I378" s="125">
        <f t="shared" si="5"/>
        <v>3</v>
      </c>
      <c r="J378" s="127">
        <v>2.3788800000000001</v>
      </c>
      <c r="M378" s="128"/>
    </row>
    <row r="379" spans="2:13">
      <c r="B379" s="116">
        <v>371</v>
      </c>
      <c r="C379" s="124" t="s">
        <v>532</v>
      </c>
      <c r="D379" s="116" t="s">
        <v>78</v>
      </c>
      <c r="E379" s="125">
        <v>47</v>
      </c>
      <c r="F379" s="126">
        <v>69</v>
      </c>
      <c r="G379" s="126">
        <v>12</v>
      </c>
      <c r="I379" s="125">
        <f t="shared" si="5"/>
        <v>3</v>
      </c>
      <c r="J379" s="127">
        <v>2.2770000000000001</v>
      </c>
      <c r="M379" s="128"/>
    </row>
    <row r="380" spans="2:13">
      <c r="B380" s="116">
        <v>372</v>
      </c>
      <c r="C380" s="124" t="s">
        <v>533</v>
      </c>
      <c r="D380" s="116" t="s">
        <v>86</v>
      </c>
      <c r="E380" s="125">
        <v>54</v>
      </c>
      <c r="F380" s="126">
        <v>86.2</v>
      </c>
      <c r="G380" s="126">
        <v>9</v>
      </c>
      <c r="I380" s="125">
        <f t="shared" si="5"/>
        <v>3</v>
      </c>
      <c r="J380" s="127">
        <v>2.9394200000000001</v>
      </c>
      <c r="M380" s="128"/>
    </row>
    <row r="381" spans="2:13">
      <c r="B381" s="116">
        <v>373</v>
      </c>
      <c r="C381" s="124" t="s">
        <v>534</v>
      </c>
      <c r="D381" s="116" t="s">
        <v>86</v>
      </c>
      <c r="E381" s="125">
        <v>56</v>
      </c>
      <c r="F381" s="126">
        <v>71.2</v>
      </c>
      <c r="G381" s="126">
        <v>14</v>
      </c>
      <c r="I381" s="125">
        <f t="shared" si="5"/>
        <v>3</v>
      </c>
      <c r="J381" s="127">
        <v>1.96512</v>
      </c>
      <c r="M381" s="128"/>
    </row>
    <row r="382" spans="2:13">
      <c r="B382" s="116">
        <v>374</v>
      </c>
      <c r="C382" s="124" t="s">
        <v>535</v>
      </c>
      <c r="D382" s="116" t="s">
        <v>65</v>
      </c>
      <c r="E382" s="125">
        <v>64</v>
      </c>
      <c r="F382" s="126">
        <v>99.3</v>
      </c>
      <c r="G382" s="126">
        <v>14</v>
      </c>
      <c r="I382" s="125">
        <f t="shared" si="5"/>
        <v>3</v>
      </c>
      <c r="J382" s="127">
        <v>3.1080900000000002</v>
      </c>
      <c r="M382" s="128"/>
    </row>
    <row r="383" spans="2:13">
      <c r="B383" s="116">
        <v>375</v>
      </c>
      <c r="C383" s="124" t="s">
        <v>536</v>
      </c>
      <c r="D383" s="116" t="s">
        <v>84</v>
      </c>
      <c r="E383" s="125">
        <v>67</v>
      </c>
      <c r="F383" s="126">
        <v>127</v>
      </c>
      <c r="G383" s="126">
        <v>24</v>
      </c>
      <c r="I383" s="125">
        <f t="shared" si="5"/>
        <v>4</v>
      </c>
      <c r="J383" s="127">
        <v>3.3781999999999996</v>
      </c>
      <c r="M383" s="128"/>
    </row>
    <row r="384" spans="2:13">
      <c r="B384" s="116">
        <v>376</v>
      </c>
      <c r="C384" s="124" t="s">
        <v>537</v>
      </c>
      <c r="D384" s="116" t="s">
        <v>57</v>
      </c>
      <c r="E384" s="125">
        <v>54</v>
      </c>
      <c r="F384" s="126">
        <v>91.3</v>
      </c>
      <c r="G384" s="126">
        <v>16</v>
      </c>
      <c r="I384" s="125">
        <f t="shared" si="5"/>
        <v>3</v>
      </c>
      <c r="J384" s="127">
        <v>2.9855100000000001</v>
      </c>
      <c r="M384" s="128"/>
    </row>
    <row r="385" spans="2:13">
      <c r="B385" s="116">
        <v>377</v>
      </c>
      <c r="C385" s="124" t="s">
        <v>538</v>
      </c>
      <c r="D385" s="116" t="s">
        <v>92</v>
      </c>
      <c r="E385" s="125">
        <v>56</v>
      </c>
      <c r="F385" s="126">
        <v>56.6</v>
      </c>
      <c r="G385" s="126">
        <v>7</v>
      </c>
      <c r="I385" s="125">
        <f t="shared" si="5"/>
        <v>3</v>
      </c>
      <c r="J385" s="127">
        <v>1.8847800000000001</v>
      </c>
      <c r="M385" s="128"/>
    </row>
    <row r="386" spans="2:13">
      <c r="B386" s="116">
        <v>378</v>
      </c>
      <c r="C386" s="124" t="s">
        <v>539</v>
      </c>
      <c r="D386" s="116" t="s">
        <v>84</v>
      </c>
      <c r="E386" s="125">
        <v>52</v>
      </c>
      <c r="F386" s="126">
        <v>101.5</v>
      </c>
      <c r="G386" s="126">
        <v>10</v>
      </c>
      <c r="I386" s="125">
        <f t="shared" si="5"/>
        <v>4</v>
      </c>
      <c r="J386" s="127">
        <v>2.9029000000000003</v>
      </c>
      <c r="M386" s="128"/>
    </row>
    <row r="387" spans="2:13">
      <c r="B387" s="116">
        <v>379</v>
      </c>
      <c r="C387" s="124" t="s">
        <v>540</v>
      </c>
      <c r="D387" s="116" t="s">
        <v>84</v>
      </c>
      <c r="E387" s="125">
        <v>75</v>
      </c>
      <c r="F387" s="126">
        <v>129</v>
      </c>
      <c r="G387" s="126">
        <v>14</v>
      </c>
      <c r="I387" s="125">
        <f t="shared" si="5"/>
        <v>4</v>
      </c>
      <c r="J387" s="127">
        <v>4.6439999999999992</v>
      </c>
      <c r="M387" s="128"/>
    </row>
    <row r="388" spans="2:13">
      <c r="B388" s="116">
        <v>380</v>
      </c>
      <c r="C388" s="124" t="s">
        <v>541</v>
      </c>
      <c r="D388" s="116" t="s">
        <v>84</v>
      </c>
      <c r="E388" s="125">
        <v>40</v>
      </c>
      <c r="F388" s="126">
        <v>60.1</v>
      </c>
      <c r="G388" s="126">
        <v>11</v>
      </c>
      <c r="I388" s="125">
        <f t="shared" si="5"/>
        <v>3</v>
      </c>
      <c r="J388" s="127">
        <v>1.90517</v>
      </c>
      <c r="M388" s="128"/>
    </row>
    <row r="389" spans="2:13">
      <c r="B389" s="116">
        <v>381</v>
      </c>
      <c r="C389" s="124" t="s">
        <v>542</v>
      </c>
      <c r="D389" s="116" t="s">
        <v>65</v>
      </c>
      <c r="E389" s="125">
        <v>44</v>
      </c>
      <c r="F389" s="126">
        <v>80.8</v>
      </c>
      <c r="G389" s="126">
        <v>13</v>
      </c>
      <c r="I389" s="125">
        <f t="shared" si="5"/>
        <v>3</v>
      </c>
      <c r="J389" s="127">
        <v>1.8826400000000001</v>
      </c>
      <c r="M389" s="128"/>
    </row>
    <row r="390" spans="2:13">
      <c r="B390" s="116">
        <v>382</v>
      </c>
      <c r="C390" s="124" t="s">
        <v>543</v>
      </c>
      <c r="D390" s="116" t="s">
        <v>92</v>
      </c>
      <c r="E390" s="125">
        <v>93</v>
      </c>
      <c r="F390" s="126">
        <v>110.4</v>
      </c>
      <c r="G390" s="126">
        <v>18</v>
      </c>
      <c r="I390" s="125">
        <f t="shared" si="5"/>
        <v>4</v>
      </c>
      <c r="J390" s="127">
        <v>4.1399999999999997</v>
      </c>
      <c r="M390" s="128"/>
    </row>
    <row r="391" spans="2:13">
      <c r="B391" s="116">
        <v>383</v>
      </c>
      <c r="C391" s="124" t="s">
        <v>544</v>
      </c>
      <c r="D391" s="116" t="s">
        <v>65</v>
      </c>
      <c r="E391" s="125">
        <v>37</v>
      </c>
      <c r="F391" s="126">
        <v>51.1</v>
      </c>
      <c r="G391" s="126">
        <v>9</v>
      </c>
      <c r="I391" s="125">
        <f t="shared" si="5"/>
        <v>3</v>
      </c>
      <c r="J391" s="127">
        <v>1.09354</v>
      </c>
      <c r="M391" s="128"/>
    </row>
    <row r="392" spans="2:13">
      <c r="B392" s="116">
        <v>384</v>
      </c>
      <c r="C392" s="124" t="s">
        <v>545</v>
      </c>
      <c r="D392" s="116" t="s">
        <v>65</v>
      </c>
      <c r="E392" s="125">
        <v>58</v>
      </c>
      <c r="F392" s="126">
        <v>93.7</v>
      </c>
      <c r="G392" s="126">
        <v>10</v>
      </c>
      <c r="I392" s="125">
        <f t="shared" si="5"/>
        <v>3</v>
      </c>
      <c r="J392" s="127">
        <v>3.06399</v>
      </c>
      <c r="M392" s="128"/>
    </row>
    <row r="393" spans="2:13">
      <c r="B393" s="116">
        <v>385</v>
      </c>
      <c r="C393" s="124" t="s">
        <v>546</v>
      </c>
      <c r="D393" s="116" t="s">
        <v>88</v>
      </c>
      <c r="E393" s="125">
        <v>70</v>
      </c>
      <c r="F393" s="126">
        <v>76.3</v>
      </c>
      <c r="G393" s="126">
        <v>12</v>
      </c>
      <c r="I393" s="125">
        <f t="shared" ref="I393:I456" si="6">IF(F393&lt;=100,3,IF(F393&lt;=140,4,IF(F393&lt;=175,5,6)))</f>
        <v>3</v>
      </c>
      <c r="J393" s="127">
        <v>2.0219499999999999</v>
      </c>
      <c r="M393" s="128"/>
    </row>
    <row r="394" spans="2:13">
      <c r="B394" s="116">
        <v>386</v>
      </c>
      <c r="C394" s="124" t="s">
        <v>547</v>
      </c>
      <c r="D394" s="116" t="s">
        <v>84</v>
      </c>
      <c r="E394" s="125">
        <v>97</v>
      </c>
      <c r="F394" s="126">
        <v>115</v>
      </c>
      <c r="G394" s="126">
        <v>17</v>
      </c>
      <c r="I394" s="125">
        <f t="shared" si="6"/>
        <v>4</v>
      </c>
      <c r="J394" s="127">
        <v>3.1854999999999998</v>
      </c>
      <c r="M394" s="128"/>
    </row>
    <row r="395" spans="2:13">
      <c r="B395" s="116">
        <v>387</v>
      </c>
      <c r="C395" s="124" t="s">
        <v>548</v>
      </c>
      <c r="D395" s="116" t="s">
        <v>84</v>
      </c>
      <c r="E395" s="125">
        <v>93</v>
      </c>
      <c r="F395" s="126">
        <v>113.8</v>
      </c>
      <c r="G395" s="126">
        <v>20</v>
      </c>
      <c r="I395" s="125">
        <f t="shared" si="6"/>
        <v>4</v>
      </c>
      <c r="J395" s="127">
        <v>2.9018999999999999</v>
      </c>
      <c r="M395" s="128"/>
    </row>
    <row r="396" spans="2:13">
      <c r="B396" s="116">
        <v>388</v>
      </c>
      <c r="C396" s="124" t="s">
        <v>549</v>
      </c>
      <c r="D396" s="116" t="s">
        <v>29</v>
      </c>
      <c r="E396" s="125">
        <v>84</v>
      </c>
      <c r="F396" s="126">
        <v>157.80000000000001</v>
      </c>
      <c r="G396" s="126">
        <v>25</v>
      </c>
      <c r="I396" s="125">
        <f t="shared" si="6"/>
        <v>5</v>
      </c>
      <c r="J396" s="127">
        <v>5.6650200000000011</v>
      </c>
      <c r="M396" s="128"/>
    </row>
    <row r="397" spans="2:13">
      <c r="B397" s="116">
        <v>389</v>
      </c>
      <c r="C397" s="124" t="s">
        <v>550</v>
      </c>
      <c r="D397" s="116" t="s">
        <v>84</v>
      </c>
      <c r="E397" s="125">
        <v>66</v>
      </c>
      <c r="F397" s="126">
        <v>72.3</v>
      </c>
      <c r="G397" s="126">
        <v>14</v>
      </c>
      <c r="I397" s="125">
        <f t="shared" si="6"/>
        <v>3</v>
      </c>
      <c r="J397" s="127">
        <v>2.8630800000000001</v>
      </c>
      <c r="M397" s="128"/>
    </row>
    <row r="398" spans="2:13">
      <c r="B398" s="116">
        <v>390</v>
      </c>
      <c r="C398" s="124" t="s">
        <v>551</v>
      </c>
      <c r="D398" s="116" t="s">
        <v>51</v>
      </c>
      <c r="E398" s="125">
        <v>75</v>
      </c>
      <c r="F398" s="126">
        <v>143.30000000000001</v>
      </c>
      <c r="G398" s="126">
        <v>16</v>
      </c>
      <c r="I398" s="125">
        <f t="shared" si="6"/>
        <v>5</v>
      </c>
      <c r="J398" s="127">
        <v>4.19869</v>
      </c>
      <c r="M398" s="128"/>
    </row>
    <row r="399" spans="2:13">
      <c r="B399" s="116">
        <v>391</v>
      </c>
      <c r="C399" s="124" t="s">
        <v>552</v>
      </c>
      <c r="D399" s="116" t="s">
        <v>72</v>
      </c>
      <c r="E399" s="125">
        <v>70</v>
      </c>
      <c r="F399" s="126">
        <v>103.7</v>
      </c>
      <c r="G399" s="126">
        <v>12</v>
      </c>
      <c r="I399" s="125">
        <f t="shared" si="6"/>
        <v>4</v>
      </c>
      <c r="J399" s="127">
        <v>3.9820799999999998</v>
      </c>
      <c r="M399" s="128"/>
    </row>
    <row r="400" spans="2:13">
      <c r="B400" s="116">
        <v>392</v>
      </c>
      <c r="C400" s="124" t="s">
        <v>553</v>
      </c>
      <c r="D400" s="116" t="s">
        <v>93</v>
      </c>
      <c r="E400" s="125">
        <v>71</v>
      </c>
      <c r="F400" s="126">
        <v>80.400000000000006</v>
      </c>
      <c r="G400" s="126">
        <v>10</v>
      </c>
      <c r="I400" s="125">
        <f t="shared" si="6"/>
        <v>3</v>
      </c>
      <c r="J400" s="127">
        <v>2.8542000000000001</v>
      </c>
      <c r="M400" s="128"/>
    </row>
    <row r="401" spans="2:13">
      <c r="B401" s="116">
        <v>393</v>
      </c>
      <c r="C401" s="124" t="s">
        <v>554</v>
      </c>
      <c r="D401" s="116" t="s">
        <v>65</v>
      </c>
      <c r="E401" s="125">
        <v>53</v>
      </c>
      <c r="F401" s="126">
        <v>93</v>
      </c>
      <c r="G401" s="126">
        <v>10</v>
      </c>
      <c r="I401" s="125">
        <f t="shared" si="6"/>
        <v>3</v>
      </c>
      <c r="J401" s="127">
        <v>3.0876000000000001</v>
      </c>
      <c r="M401" s="128"/>
    </row>
    <row r="402" spans="2:13">
      <c r="B402" s="116">
        <v>394</v>
      </c>
      <c r="C402" s="124" t="s">
        <v>555</v>
      </c>
      <c r="D402" s="116" t="s">
        <v>88</v>
      </c>
      <c r="E402" s="125">
        <v>67</v>
      </c>
      <c r="F402" s="126">
        <v>125.7</v>
      </c>
      <c r="G402" s="126">
        <v>21</v>
      </c>
      <c r="I402" s="125">
        <f t="shared" si="6"/>
        <v>4</v>
      </c>
      <c r="J402" s="127">
        <v>2.6774100000000001</v>
      </c>
      <c r="M402" s="128"/>
    </row>
    <row r="403" spans="2:13">
      <c r="B403" s="116">
        <v>395</v>
      </c>
      <c r="C403" s="124" t="s">
        <v>556</v>
      </c>
      <c r="D403" s="116" t="s">
        <v>65</v>
      </c>
      <c r="E403" s="125">
        <v>79</v>
      </c>
      <c r="F403" s="126">
        <v>110.2</v>
      </c>
      <c r="G403" s="126">
        <v>13</v>
      </c>
      <c r="I403" s="125">
        <f t="shared" si="6"/>
        <v>4</v>
      </c>
      <c r="J403" s="127">
        <v>2.9643800000000002</v>
      </c>
      <c r="M403" s="128"/>
    </row>
    <row r="404" spans="2:13">
      <c r="B404" s="116">
        <v>396</v>
      </c>
      <c r="C404" s="124" t="s">
        <v>557</v>
      </c>
      <c r="D404" s="116" t="s">
        <v>86</v>
      </c>
      <c r="E404" s="125">
        <v>45</v>
      </c>
      <c r="F404" s="126">
        <v>68.5</v>
      </c>
      <c r="G404" s="126">
        <v>8</v>
      </c>
      <c r="I404" s="125">
        <f t="shared" si="6"/>
        <v>3</v>
      </c>
      <c r="J404" s="127">
        <v>2.4865499999999998</v>
      </c>
      <c r="M404" s="128"/>
    </row>
    <row r="405" spans="2:13">
      <c r="B405" s="116">
        <v>397</v>
      </c>
      <c r="C405" s="124" t="s">
        <v>558</v>
      </c>
      <c r="D405" s="116" t="s">
        <v>63</v>
      </c>
      <c r="E405" s="125">
        <v>64</v>
      </c>
      <c r="F405" s="126">
        <v>112.8</v>
      </c>
      <c r="G405" s="126">
        <v>15</v>
      </c>
      <c r="I405" s="125">
        <f t="shared" si="6"/>
        <v>4</v>
      </c>
      <c r="J405" s="127">
        <v>2.2898399999999999</v>
      </c>
      <c r="M405" s="128"/>
    </row>
    <row r="406" spans="2:13">
      <c r="B406" s="116">
        <v>398</v>
      </c>
      <c r="C406" s="124" t="s">
        <v>559</v>
      </c>
      <c r="D406" s="116" t="s">
        <v>84</v>
      </c>
      <c r="E406" s="125">
        <v>91</v>
      </c>
      <c r="F406" s="126">
        <v>173.4</v>
      </c>
      <c r="G406" s="126">
        <v>24</v>
      </c>
      <c r="I406" s="125">
        <f t="shared" si="6"/>
        <v>5</v>
      </c>
      <c r="J406" s="127">
        <v>5.3233800000000002</v>
      </c>
      <c r="M406" s="128"/>
    </row>
    <row r="407" spans="2:13">
      <c r="B407" s="116">
        <v>399</v>
      </c>
      <c r="C407" s="124" t="s">
        <v>560</v>
      </c>
      <c r="D407" s="116" t="s">
        <v>84</v>
      </c>
      <c r="E407" s="125">
        <v>48</v>
      </c>
      <c r="F407" s="126">
        <v>78.8</v>
      </c>
      <c r="G407" s="126">
        <v>13</v>
      </c>
      <c r="I407" s="125">
        <f t="shared" si="6"/>
        <v>3</v>
      </c>
      <c r="J407" s="127">
        <v>2.9234800000000001</v>
      </c>
      <c r="M407" s="128"/>
    </row>
    <row r="408" spans="2:13">
      <c r="B408" s="116">
        <v>400</v>
      </c>
      <c r="C408" s="124" t="s">
        <v>561</v>
      </c>
      <c r="D408" s="116" t="s">
        <v>86</v>
      </c>
      <c r="E408" s="125">
        <v>100</v>
      </c>
      <c r="F408" s="126">
        <v>135</v>
      </c>
      <c r="G408" s="126">
        <v>23</v>
      </c>
      <c r="I408" s="125">
        <f t="shared" si="6"/>
        <v>4</v>
      </c>
      <c r="J408" s="127">
        <v>4.6844999999999999</v>
      </c>
      <c r="M408" s="128"/>
    </row>
    <row r="409" spans="2:13">
      <c r="B409" s="116">
        <v>401</v>
      </c>
      <c r="C409" s="124" t="s">
        <v>562</v>
      </c>
      <c r="D409" s="116" t="s">
        <v>65</v>
      </c>
      <c r="E409" s="125">
        <v>94</v>
      </c>
      <c r="F409" s="126">
        <v>188</v>
      </c>
      <c r="G409" s="126">
        <v>26</v>
      </c>
      <c r="I409" s="125">
        <f t="shared" si="6"/>
        <v>6</v>
      </c>
      <c r="J409" s="127">
        <v>4.8503999999999996</v>
      </c>
      <c r="M409" s="128"/>
    </row>
    <row r="410" spans="2:13">
      <c r="B410" s="116">
        <v>402</v>
      </c>
      <c r="C410" s="124" t="s">
        <v>563</v>
      </c>
      <c r="D410" s="116" t="s">
        <v>88</v>
      </c>
      <c r="E410" s="125">
        <v>43</v>
      </c>
      <c r="F410" s="126">
        <v>45.2</v>
      </c>
      <c r="G410" s="126">
        <v>9</v>
      </c>
      <c r="I410" s="125">
        <f t="shared" si="6"/>
        <v>3</v>
      </c>
      <c r="J410" s="127">
        <v>1.3786</v>
      </c>
      <c r="M410" s="128"/>
    </row>
    <row r="411" spans="2:13">
      <c r="B411" s="116">
        <v>403</v>
      </c>
      <c r="C411" s="124" t="s">
        <v>564</v>
      </c>
      <c r="D411" s="116" t="s">
        <v>86</v>
      </c>
      <c r="E411" s="125">
        <v>69</v>
      </c>
      <c r="F411" s="126">
        <v>96.5</v>
      </c>
      <c r="G411" s="126">
        <v>11</v>
      </c>
      <c r="I411" s="125">
        <f t="shared" si="6"/>
        <v>3</v>
      </c>
      <c r="J411" s="127">
        <v>2.1229999999999998</v>
      </c>
      <c r="M411" s="128"/>
    </row>
    <row r="412" spans="2:13">
      <c r="B412" s="116">
        <v>404</v>
      </c>
      <c r="C412" s="124" t="s">
        <v>565</v>
      </c>
      <c r="D412" s="116" t="s">
        <v>55</v>
      </c>
      <c r="E412" s="125">
        <v>97</v>
      </c>
      <c r="F412" s="126">
        <v>137.4</v>
      </c>
      <c r="G412" s="126">
        <v>21</v>
      </c>
      <c r="I412" s="125">
        <f t="shared" si="6"/>
        <v>4</v>
      </c>
      <c r="J412" s="127">
        <v>3.3800400000000002</v>
      </c>
      <c r="M412" s="128"/>
    </row>
    <row r="413" spans="2:13">
      <c r="B413" s="116">
        <v>405</v>
      </c>
      <c r="C413" s="124" t="s">
        <v>566</v>
      </c>
      <c r="D413" s="116" t="s">
        <v>65</v>
      </c>
      <c r="E413" s="125">
        <v>46</v>
      </c>
      <c r="F413" s="126">
        <v>83.8</v>
      </c>
      <c r="G413" s="126">
        <v>14</v>
      </c>
      <c r="I413" s="125">
        <f t="shared" si="6"/>
        <v>3</v>
      </c>
      <c r="J413" s="127">
        <v>2.9581399999999998</v>
      </c>
      <c r="M413" s="128"/>
    </row>
    <row r="414" spans="2:13">
      <c r="B414" s="116">
        <v>406</v>
      </c>
      <c r="C414" s="124" t="s">
        <v>567</v>
      </c>
      <c r="D414" s="116" t="s">
        <v>95</v>
      </c>
      <c r="E414" s="125">
        <v>84</v>
      </c>
      <c r="F414" s="126">
        <v>108.8</v>
      </c>
      <c r="G414" s="126">
        <v>22</v>
      </c>
      <c r="I414" s="125">
        <f t="shared" si="6"/>
        <v>4</v>
      </c>
      <c r="J414" s="127">
        <v>3.7318399999999996</v>
      </c>
      <c r="M414" s="128"/>
    </row>
    <row r="415" spans="2:13">
      <c r="B415" s="116">
        <v>407</v>
      </c>
      <c r="C415" s="124" t="s">
        <v>568</v>
      </c>
      <c r="D415" s="116" t="s">
        <v>65</v>
      </c>
      <c r="E415" s="125">
        <v>41</v>
      </c>
      <c r="F415" s="126">
        <v>72.5</v>
      </c>
      <c r="G415" s="126">
        <v>13</v>
      </c>
      <c r="I415" s="125">
        <f t="shared" si="6"/>
        <v>3</v>
      </c>
      <c r="J415" s="127">
        <v>2.0372499999999998</v>
      </c>
      <c r="M415" s="128"/>
    </row>
    <row r="416" spans="2:13">
      <c r="B416" s="116">
        <v>408</v>
      </c>
      <c r="C416" s="124" t="s">
        <v>569</v>
      </c>
      <c r="D416" s="116" t="s">
        <v>84</v>
      </c>
      <c r="E416" s="125">
        <v>52</v>
      </c>
      <c r="F416" s="126">
        <v>92.2</v>
      </c>
      <c r="G416" s="126">
        <v>15</v>
      </c>
      <c r="I416" s="125">
        <f t="shared" si="6"/>
        <v>3</v>
      </c>
      <c r="J416" s="127">
        <v>1.9546400000000002</v>
      </c>
      <c r="M416" s="128"/>
    </row>
    <row r="417" spans="2:13">
      <c r="B417" s="116">
        <v>409</v>
      </c>
      <c r="C417" s="124" t="s">
        <v>570</v>
      </c>
      <c r="D417" s="116" t="s">
        <v>86</v>
      </c>
      <c r="E417" s="125">
        <v>59</v>
      </c>
      <c r="F417" s="126">
        <v>79.8</v>
      </c>
      <c r="G417" s="126">
        <v>10</v>
      </c>
      <c r="I417" s="125">
        <f t="shared" si="6"/>
        <v>3</v>
      </c>
      <c r="J417" s="127">
        <v>2.8249200000000001</v>
      </c>
      <c r="M417" s="128"/>
    </row>
    <row r="418" spans="2:13">
      <c r="B418" s="116">
        <v>410</v>
      </c>
      <c r="C418" s="124" t="s">
        <v>571</v>
      </c>
      <c r="D418" s="116" t="s">
        <v>84</v>
      </c>
      <c r="E418" s="125">
        <v>40</v>
      </c>
      <c r="F418" s="126">
        <v>56</v>
      </c>
      <c r="G418" s="126">
        <v>10</v>
      </c>
      <c r="I418" s="125">
        <f t="shared" si="6"/>
        <v>3</v>
      </c>
      <c r="J418" s="127">
        <v>2.0944000000000003</v>
      </c>
      <c r="M418" s="128"/>
    </row>
    <row r="419" spans="2:13">
      <c r="B419" s="116">
        <v>411</v>
      </c>
      <c r="C419" s="124" t="s">
        <v>572</v>
      </c>
      <c r="D419" s="116" t="s">
        <v>86</v>
      </c>
      <c r="E419" s="125">
        <v>42</v>
      </c>
      <c r="F419" s="126">
        <v>73.7</v>
      </c>
      <c r="G419" s="126">
        <v>12</v>
      </c>
      <c r="I419" s="125">
        <f t="shared" si="6"/>
        <v>3</v>
      </c>
      <c r="J419" s="127">
        <v>2.7563800000000005</v>
      </c>
      <c r="M419" s="128"/>
    </row>
    <row r="420" spans="2:13">
      <c r="B420" s="116">
        <v>412</v>
      </c>
      <c r="C420" s="124" t="s">
        <v>573</v>
      </c>
      <c r="D420" s="116" t="s">
        <v>88</v>
      </c>
      <c r="E420" s="125">
        <v>44</v>
      </c>
      <c r="F420" s="126">
        <v>75.900000000000006</v>
      </c>
      <c r="G420" s="126">
        <v>15</v>
      </c>
      <c r="I420" s="125">
        <f t="shared" si="6"/>
        <v>3</v>
      </c>
      <c r="J420" s="127">
        <v>2.8083</v>
      </c>
      <c r="M420" s="128"/>
    </row>
    <row r="421" spans="2:13">
      <c r="B421" s="116">
        <v>413</v>
      </c>
      <c r="C421" s="124" t="s">
        <v>574</v>
      </c>
      <c r="D421" s="116" t="s">
        <v>84</v>
      </c>
      <c r="E421" s="125">
        <v>48</v>
      </c>
      <c r="F421" s="126">
        <v>58.6</v>
      </c>
      <c r="G421" s="126">
        <v>8</v>
      </c>
      <c r="I421" s="125">
        <f t="shared" si="6"/>
        <v>3</v>
      </c>
      <c r="J421" s="127">
        <v>1.26576</v>
      </c>
      <c r="M421" s="128"/>
    </row>
    <row r="422" spans="2:13">
      <c r="B422" s="116">
        <v>414</v>
      </c>
      <c r="C422" s="124" t="s">
        <v>575</v>
      </c>
      <c r="D422" s="116" t="s">
        <v>84</v>
      </c>
      <c r="E422" s="125">
        <v>94</v>
      </c>
      <c r="F422" s="126">
        <v>106.5</v>
      </c>
      <c r="G422" s="126">
        <v>16</v>
      </c>
      <c r="I422" s="125">
        <f t="shared" si="6"/>
        <v>4</v>
      </c>
      <c r="J422" s="127">
        <v>3.6955500000000003</v>
      </c>
      <c r="M422" s="128"/>
    </row>
    <row r="423" spans="2:13">
      <c r="B423" s="116">
        <v>415</v>
      </c>
      <c r="C423" s="124" t="s">
        <v>576</v>
      </c>
      <c r="D423" s="116" t="s">
        <v>86</v>
      </c>
      <c r="E423" s="125">
        <v>44</v>
      </c>
      <c r="F423" s="126">
        <v>83.3</v>
      </c>
      <c r="G423" s="126">
        <v>12</v>
      </c>
      <c r="I423" s="125">
        <f t="shared" si="6"/>
        <v>3</v>
      </c>
      <c r="J423" s="127">
        <v>2.5323199999999999</v>
      </c>
      <c r="M423" s="128"/>
    </row>
    <row r="424" spans="2:13">
      <c r="B424" s="116">
        <v>416</v>
      </c>
      <c r="C424" s="124" t="s">
        <v>577</v>
      </c>
      <c r="D424" s="116" t="s">
        <v>65</v>
      </c>
      <c r="E424" s="125">
        <v>52</v>
      </c>
      <c r="F424" s="126">
        <v>94.4</v>
      </c>
      <c r="G424" s="126">
        <v>19</v>
      </c>
      <c r="I424" s="125">
        <f t="shared" si="6"/>
        <v>3</v>
      </c>
      <c r="J424" s="127">
        <v>3.6721599999999999</v>
      </c>
      <c r="M424" s="128"/>
    </row>
    <row r="425" spans="2:13">
      <c r="B425" s="116">
        <v>417</v>
      </c>
      <c r="C425" s="124" t="s">
        <v>578</v>
      </c>
      <c r="D425" s="116" t="s">
        <v>86</v>
      </c>
      <c r="E425" s="125">
        <v>56</v>
      </c>
      <c r="F425" s="126">
        <v>107.8</v>
      </c>
      <c r="G425" s="126">
        <v>17</v>
      </c>
      <c r="I425" s="125">
        <f t="shared" si="6"/>
        <v>4</v>
      </c>
      <c r="J425" s="127">
        <v>3.0076200000000002</v>
      </c>
      <c r="M425" s="128"/>
    </row>
    <row r="426" spans="2:13">
      <c r="B426" s="116">
        <v>418</v>
      </c>
      <c r="C426" s="124" t="s">
        <v>579</v>
      </c>
      <c r="D426" s="116" t="s">
        <v>88</v>
      </c>
      <c r="E426" s="125">
        <v>63</v>
      </c>
      <c r="F426" s="126">
        <v>113.6</v>
      </c>
      <c r="G426" s="126">
        <v>23</v>
      </c>
      <c r="I426" s="125">
        <f t="shared" si="6"/>
        <v>4</v>
      </c>
      <c r="J426" s="127">
        <v>3.0103999999999997</v>
      </c>
      <c r="M426" s="128"/>
    </row>
    <row r="427" spans="2:13">
      <c r="B427" s="116">
        <v>419</v>
      </c>
      <c r="C427" s="124" t="s">
        <v>580</v>
      </c>
      <c r="D427" s="116" t="s">
        <v>65</v>
      </c>
      <c r="E427" s="125">
        <v>55</v>
      </c>
      <c r="F427" s="126">
        <v>103.9</v>
      </c>
      <c r="G427" s="126">
        <v>20</v>
      </c>
      <c r="I427" s="125">
        <f t="shared" si="6"/>
        <v>4</v>
      </c>
      <c r="J427" s="127">
        <v>4.1456099999999996</v>
      </c>
      <c r="M427" s="128"/>
    </row>
    <row r="428" spans="2:13">
      <c r="B428" s="116">
        <v>420</v>
      </c>
      <c r="C428" s="124" t="s">
        <v>581</v>
      </c>
      <c r="D428" s="116" t="s">
        <v>86</v>
      </c>
      <c r="E428" s="125">
        <v>93</v>
      </c>
      <c r="F428" s="126">
        <v>136</v>
      </c>
      <c r="G428" s="126">
        <v>24</v>
      </c>
      <c r="I428" s="125">
        <f t="shared" si="6"/>
        <v>4</v>
      </c>
      <c r="J428" s="127">
        <v>2.7471999999999999</v>
      </c>
      <c r="M428" s="128"/>
    </row>
    <row r="429" spans="2:13">
      <c r="B429" s="116">
        <v>421</v>
      </c>
      <c r="C429" s="124" t="s">
        <v>582</v>
      </c>
      <c r="D429" s="116" t="s">
        <v>65</v>
      </c>
      <c r="E429" s="125">
        <v>97</v>
      </c>
      <c r="F429" s="126">
        <v>187.2</v>
      </c>
      <c r="G429" s="126">
        <v>37</v>
      </c>
      <c r="I429" s="125">
        <f t="shared" si="6"/>
        <v>6</v>
      </c>
      <c r="J429" s="127">
        <v>6.7766400000000004</v>
      </c>
      <c r="M429" s="128"/>
    </row>
    <row r="430" spans="2:13">
      <c r="B430" s="116">
        <v>422</v>
      </c>
      <c r="C430" s="124" t="s">
        <v>583</v>
      </c>
      <c r="D430" s="116" t="s">
        <v>65</v>
      </c>
      <c r="E430" s="125">
        <v>37</v>
      </c>
      <c r="F430" s="126">
        <v>56.5</v>
      </c>
      <c r="G430" s="126">
        <v>10</v>
      </c>
      <c r="I430" s="125">
        <f t="shared" si="6"/>
        <v>3</v>
      </c>
      <c r="J430" s="127">
        <v>1.30515</v>
      </c>
      <c r="M430" s="128"/>
    </row>
    <row r="431" spans="2:13">
      <c r="B431" s="116">
        <v>423</v>
      </c>
      <c r="C431" s="124" t="s">
        <v>584</v>
      </c>
      <c r="D431" s="116" t="s">
        <v>65</v>
      </c>
      <c r="E431" s="125">
        <v>53</v>
      </c>
      <c r="F431" s="126">
        <v>55.1</v>
      </c>
      <c r="G431" s="126">
        <v>11</v>
      </c>
      <c r="I431" s="125">
        <f t="shared" si="6"/>
        <v>3</v>
      </c>
      <c r="J431" s="127">
        <v>2.1654300000000002</v>
      </c>
      <c r="M431" s="128"/>
    </row>
    <row r="432" spans="2:13">
      <c r="B432" s="116">
        <v>424</v>
      </c>
      <c r="C432" s="124" t="s">
        <v>585</v>
      </c>
      <c r="D432" s="116" t="s">
        <v>86</v>
      </c>
      <c r="E432" s="125">
        <v>83</v>
      </c>
      <c r="F432" s="126">
        <v>166</v>
      </c>
      <c r="G432" s="126">
        <v>20</v>
      </c>
      <c r="I432" s="125">
        <f t="shared" si="6"/>
        <v>5</v>
      </c>
      <c r="J432" s="127">
        <v>6.4740000000000002</v>
      </c>
      <c r="M432" s="128"/>
    </row>
    <row r="433" spans="2:13">
      <c r="B433" s="116">
        <v>425</v>
      </c>
      <c r="C433" s="124" t="s">
        <v>586</v>
      </c>
      <c r="D433" s="116" t="s">
        <v>65</v>
      </c>
      <c r="E433" s="125">
        <v>88</v>
      </c>
      <c r="F433" s="126">
        <v>170.7</v>
      </c>
      <c r="G433" s="126">
        <v>27</v>
      </c>
      <c r="I433" s="125">
        <f t="shared" si="6"/>
        <v>5</v>
      </c>
      <c r="J433" s="127">
        <v>4.9161599999999996</v>
      </c>
      <c r="M433" s="128"/>
    </row>
    <row r="434" spans="2:13">
      <c r="B434" s="116">
        <v>426</v>
      </c>
      <c r="C434" s="124" t="s">
        <v>587</v>
      </c>
      <c r="D434" s="116" t="s">
        <v>65</v>
      </c>
      <c r="E434" s="125">
        <v>70</v>
      </c>
      <c r="F434" s="126">
        <v>78.5</v>
      </c>
      <c r="G434" s="126">
        <v>15</v>
      </c>
      <c r="I434" s="125">
        <f t="shared" si="6"/>
        <v>3</v>
      </c>
      <c r="J434" s="127">
        <v>2.8417000000000003</v>
      </c>
      <c r="M434" s="128"/>
    </row>
    <row r="435" spans="2:13">
      <c r="B435" s="116">
        <v>427</v>
      </c>
      <c r="C435" s="124" t="s">
        <v>588</v>
      </c>
      <c r="D435" s="116" t="s">
        <v>86</v>
      </c>
      <c r="E435" s="125">
        <v>69</v>
      </c>
      <c r="F435" s="126">
        <v>92.7</v>
      </c>
      <c r="G435" s="126">
        <v>18</v>
      </c>
      <c r="I435" s="125">
        <f t="shared" si="6"/>
        <v>3</v>
      </c>
      <c r="J435" s="127">
        <v>2.6234099999999998</v>
      </c>
      <c r="M435" s="128"/>
    </row>
    <row r="436" spans="2:13">
      <c r="B436" s="116">
        <v>428</v>
      </c>
      <c r="C436" s="124" t="s">
        <v>589</v>
      </c>
      <c r="D436" s="116" t="s">
        <v>86</v>
      </c>
      <c r="E436" s="125">
        <v>52</v>
      </c>
      <c r="F436" s="126">
        <v>68.3</v>
      </c>
      <c r="G436" s="126">
        <v>12</v>
      </c>
      <c r="I436" s="125">
        <f t="shared" si="6"/>
        <v>3</v>
      </c>
      <c r="J436" s="127">
        <v>2.13096</v>
      </c>
      <c r="M436" s="128"/>
    </row>
    <row r="437" spans="2:13">
      <c r="B437" s="116">
        <v>429</v>
      </c>
      <c r="C437" s="124" t="s">
        <v>590</v>
      </c>
      <c r="D437" s="116" t="s">
        <v>63</v>
      </c>
      <c r="E437" s="125">
        <v>42</v>
      </c>
      <c r="F437" s="126">
        <v>76.2</v>
      </c>
      <c r="G437" s="126">
        <v>8</v>
      </c>
      <c r="I437" s="125">
        <f t="shared" si="6"/>
        <v>3</v>
      </c>
      <c r="J437" s="127">
        <v>1.7221199999999999</v>
      </c>
      <c r="M437" s="128"/>
    </row>
    <row r="438" spans="2:13">
      <c r="B438" s="116">
        <v>430</v>
      </c>
      <c r="C438" s="124" t="s">
        <v>591</v>
      </c>
      <c r="D438" s="116" t="s">
        <v>65</v>
      </c>
      <c r="E438" s="125">
        <v>49</v>
      </c>
      <c r="F438" s="126">
        <v>82.6</v>
      </c>
      <c r="G438" s="126">
        <v>14</v>
      </c>
      <c r="I438" s="125">
        <f t="shared" si="6"/>
        <v>3</v>
      </c>
      <c r="J438" s="127">
        <v>1.8171999999999997</v>
      </c>
      <c r="M438" s="128"/>
    </row>
    <row r="439" spans="2:13">
      <c r="B439" s="116">
        <v>431</v>
      </c>
      <c r="C439" s="124" t="s">
        <v>592</v>
      </c>
      <c r="D439" s="116" t="s">
        <v>78</v>
      </c>
      <c r="E439" s="125">
        <v>45</v>
      </c>
      <c r="F439" s="126">
        <v>54</v>
      </c>
      <c r="G439" s="126">
        <v>9</v>
      </c>
      <c r="I439" s="125">
        <f t="shared" si="6"/>
        <v>3</v>
      </c>
      <c r="J439" s="127">
        <v>1.998</v>
      </c>
      <c r="M439" s="128"/>
    </row>
    <row r="440" spans="2:13">
      <c r="B440" s="116">
        <v>432</v>
      </c>
      <c r="C440" s="124" t="s">
        <v>593</v>
      </c>
      <c r="D440" s="116" t="s">
        <v>84</v>
      </c>
      <c r="E440" s="125">
        <v>81</v>
      </c>
      <c r="F440" s="126">
        <v>116.6</v>
      </c>
      <c r="G440" s="126">
        <v>23</v>
      </c>
      <c r="I440" s="125">
        <f t="shared" si="6"/>
        <v>4</v>
      </c>
      <c r="J440" s="127">
        <v>4.2792200000000005</v>
      </c>
      <c r="M440" s="128"/>
    </row>
    <row r="441" spans="2:13">
      <c r="B441" s="116">
        <v>433</v>
      </c>
      <c r="C441" s="124" t="s">
        <v>594</v>
      </c>
      <c r="D441" s="116" t="s">
        <v>86</v>
      </c>
      <c r="E441" s="125">
        <v>65</v>
      </c>
      <c r="F441" s="126">
        <v>118.6</v>
      </c>
      <c r="G441" s="126">
        <v>23</v>
      </c>
      <c r="I441" s="125">
        <f t="shared" si="6"/>
        <v>4</v>
      </c>
      <c r="J441" s="127">
        <v>3.0835999999999997</v>
      </c>
      <c r="M441" s="128"/>
    </row>
    <row r="442" spans="2:13">
      <c r="B442" s="116">
        <v>434</v>
      </c>
      <c r="C442" s="124" t="s">
        <v>595</v>
      </c>
      <c r="D442" s="116" t="s">
        <v>66</v>
      </c>
      <c r="E442" s="125">
        <v>50</v>
      </c>
      <c r="F442" s="126">
        <v>68.099999999999994</v>
      </c>
      <c r="G442" s="126">
        <v>14</v>
      </c>
      <c r="I442" s="125">
        <f t="shared" si="6"/>
        <v>3</v>
      </c>
      <c r="J442" s="127">
        <v>2.4447899999999998</v>
      </c>
      <c r="M442" s="128"/>
    </row>
    <row r="443" spans="2:13">
      <c r="B443" s="116">
        <v>435</v>
      </c>
      <c r="C443" s="124" t="s">
        <v>596</v>
      </c>
      <c r="D443" s="116" t="s">
        <v>86</v>
      </c>
      <c r="E443" s="125">
        <v>58</v>
      </c>
      <c r="F443" s="126">
        <v>76.400000000000006</v>
      </c>
      <c r="G443" s="126">
        <v>13</v>
      </c>
      <c r="I443" s="125">
        <f t="shared" si="6"/>
        <v>3</v>
      </c>
      <c r="J443" s="127">
        <v>2.6740000000000004</v>
      </c>
      <c r="M443" s="128"/>
    </row>
    <row r="444" spans="2:13">
      <c r="B444" s="116">
        <v>436</v>
      </c>
      <c r="C444" s="124" t="s">
        <v>597</v>
      </c>
      <c r="D444" s="116" t="s">
        <v>78</v>
      </c>
      <c r="E444" s="125">
        <v>78</v>
      </c>
      <c r="F444" s="126">
        <v>139.9</v>
      </c>
      <c r="G444" s="126">
        <v>27</v>
      </c>
      <c r="I444" s="125">
        <f t="shared" si="6"/>
        <v>4</v>
      </c>
      <c r="J444" s="127">
        <v>4.5467500000000003</v>
      </c>
      <c r="M444" s="128"/>
    </row>
    <row r="445" spans="2:13">
      <c r="B445" s="116">
        <v>437</v>
      </c>
      <c r="C445" s="124" t="s">
        <v>598</v>
      </c>
      <c r="D445" s="116" t="s">
        <v>65</v>
      </c>
      <c r="E445" s="125">
        <v>47</v>
      </c>
      <c r="F445" s="126">
        <v>77.8</v>
      </c>
      <c r="G445" s="126">
        <v>14</v>
      </c>
      <c r="I445" s="125">
        <f t="shared" si="6"/>
        <v>3</v>
      </c>
      <c r="J445" s="127">
        <v>2.5051600000000001</v>
      </c>
      <c r="M445" s="128"/>
    </row>
    <row r="446" spans="2:13">
      <c r="B446" s="116">
        <v>438</v>
      </c>
      <c r="C446" s="124" t="s">
        <v>599</v>
      </c>
      <c r="D446" s="116" t="s">
        <v>65</v>
      </c>
      <c r="E446" s="125">
        <v>40</v>
      </c>
      <c r="F446" s="126">
        <v>42.8</v>
      </c>
      <c r="G446" s="126">
        <v>6</v>
      </c>
      <c r="I446" s="125">
        <f t="shared" si="6"/>
        <v>3</v>
      </c>
      <c r="J446" s="127">
        <v>1.5407999999999997</v>
      </c>
      <c r="M446" s="128"/>
    </row>
    <row r="447" spans="2:13">
      <c r="B447" s="116">
        <v>439</v>
      </c>
      <c r="C447" s="124" t="s">
        <v>600</v>
      </c>
      <c r="D447" s="116" t="s">
        <v>65</v>
      </c>
      <c r="E447" s="125">
        <v>64</v>
      </c>
      <c r="F447" s="126">
        <v>125.6</v>
      </c>
      <c r="G447" s="126">
        <v>24</v>
      </c>
      <c r="I447" s="125">
        <f t="shared" si="6"/>
        <v>4</v>
      </c>
      <c r="J447" s="127">
        <v>4.6974400000000003</v>
      </c>
      <c r="M447" s="128"/>
    </row>
    <row r="448" spans="2:13">
      <c r="B448" s="116">
        <v>440</v>
      </c>
      <c r="C448" s="124" t="s">
        <v>601</v>
      </c>
      <c r="D448" s="116" t="s">
        <v>65</v>
      </c>
      <c r="E448" s="125">
        <v>54</v>
      </c>
      <c r="F448" s="126">
        <v>56.6</v>
      </c>
      <c r="G448" s="126">
        <v>10</v>
      </c>
      <c r="I448" s="125">
        <f t="shared" si="6"/>
        <v>3</v>
      </c>
      <c r="J448" s="127">
        <v>2.1394800000000003</v>
      </c>
      <c r="M448" s="128"/>
    </row>
    <row r="449" spans="2:13">
      <c r="B449" s="116">
        <v>441</v>
      </c>
      <c r="C449" s="124" t="s">
        <v>602</v>
      </c>
      <c r="D449" s="116" t="s">
        <v>84</v>
      </c>
      <c r="E449" s="125">
        <v>38</v>
      </c>
      <c r="F449" s="126">
        <v>38.6</v>
      </c>
      <c r="G449" s="126">
        <v>6</v>
      </c>
      <c r="I449" s="125">
        <f t="shared" si="6"/>
        <v>3</v>
      </c>
      <c r="J449" s="127">
        <v>0.92254000000000003</v>
      </c>
      <c r="M449" s="128"/>
    </row>
    <row r="450" spans="2:13">
      <c r="B450" s="116">
        <v>442</v>
      </c>
      <c r="C450" s="124" t="s">
        <v>603</v>
      </c>
      <c r="D450" s="116" t="s">
        <v>63</v>
      </c>
      <c r="E450" s="125">
        <v>61</v>
      </c>
      <c r="F450" s="126">
        <v>114.7</v>
      </c>
      <c r="G450" s="126">
        <v>23</v>
      </c>
      <c r="I450" s="125">
        <f t="shared" si="6"/>
        <v>4</v>
      </c>
      <c r="J450" s="127">
        <v>2.6036900000000003</v>
      </c>
      <c r="M450" s="128"/>
    </row>
    <row r="451" spans="2:13">
      <c r="B451" s="116">
        <v>443</v>
      </c>
      <c r="C451" s="124" t="s">
        <v>604</v>
      </c>
      <c r="D451" s="116" t="s">
        <v>65</v>
      </c>
      <c r="E451" s="125">
        <v>52</v>
      </c>
      <c r="F451" s="126">
        <v>82</v>
      </c>
      <c r="G451" s="126">
        <v>11</v>
      </c>
      <c r="I451" s="125">
        <f t="shared" si="6"/>
        <v>3</v>
      </c>
      <c r="J451" s="127">
        <v>3.1487999999999996</v>
      </c>
      <c r="M451" s="128"/>
    </row>
    <row r="452" spans="2:13">
      <c r="B452" s="116">
        <v>444</v>
      </c>
      <c r="C452" s="124" t="s">
        <v>605</v>
      </c>
      <c r="D452" s="116" t="s">
        <v>88</v>
      </c>
      <c r="E452" s="125">
        <v>46</v>
      </c>
      <c r="F452" s="126">
        <v>56.6</v>
      </c>
      <c r="G452" s="126">
        <v>10</v>
      </c>
      <c r="I452" s="125">
        <f t="shared" si="6"/>
        <v>3</v>
      </c>
      <c r="J452" s="127">
        <v>1.2168999999999999</v>
      </c>
      <c r="M452" s="128"/>
    </row>
    <row r="453" spans="2:13">
      <c r="B453" s="116">
        <v>445</v>
      </c>
      <c r="C453" s="124" t="s">
        <v>606</v>
      </c>
      <c r="D453" s="116" t="s">
        <v>86</v>
      </c>
      <c r="E453" s="125">
        <v>70</v>
      </c>
      <c r="F453" s="126">
        <v>113.8</v>
      </c>
      <c r="G453" s="126">
        <v>20</v>
      </c>
      <c r="I453" s="125">
        <f t="shared" si="6"/>
        <v>4</v>
      </c>
      <c r="J453" s="127">
        <v>2.4922199999999997</v>
      </c>
      <c r="M453" s="128"/>
    </row>
    <row r="454" spans="2:13">
      <c r="B454" s="116">
        <v>446</v>
      </c>
      <c r="C454" s="124" t="s">
        <v>607</v>
      </c>
      <c r="D454" s="116" t="s">
        <v>84</v>
      </c>
      <c r="E454" s="125">
        <v>97</v>
      </c>
      <c r="F454" s="126">
        <v>141.5</v>
      </c>
      <c r="G454" s="126">
        <v>23</v>
      </c>
      <c r="I454" s="125">
        <f t="shared" si="6"/>
        <v>5</v>
      </c>
      <c r="J454" s="127">
        <v>4.3015999999999996</v>
      </c>
      <c r="M454" s="128"/>
    </row>
    <row r="455" spans="2:13">
      <c r="B455" s="116">
        <v>447</v>
      </c>
      <c r="C455" s="124" t="s">
        <v>608</v>
      </c>
      <c r="D455" s="116" t="s">
        <v>65</v>
      </c>
      <c r="E455" s="125">
        <v>67</v>
      </c>
      <c r="F455" s="126">
        <v>88.6</v>
      </c>
      <c r="G455" s="126">
        <v>18</v>
      </c>
      <c r="I455" s="125">
        <f t="shared" si="6"/>
        <v>3</v>
      </c>
      <c r="J455" s="127">
        <v>3.4110999999999998</v>
      </c>
      <c r="M455" s="128"/>
    </row>
    <row r="456" spans="2:13">
      <c r="B456" s="116">
        <v>448</v>
      </c>
      <c r="C456" s="124" t="s">
        <v>609</v>
      </c>
      <c r="D456" s="116" t="s">
        <v>65</v>
      </c>
      <c r="E456" s="125">
        <v>51</v>
      </c>
      <c r="F456" s="126">
        <v>70.599999999999994</v>
      </c>
      <c r="G456" s="126">
        <v>13</v>
      </c>
      <c r="I456" s="125">
        <f t="shared" si="6"/>
        <v>3</v>
      </c>
      <c r="J456" s="127">
        <v>2.7251599999999998</v>
      </c>
      <c r="M456" s="128"/>
    </row>
    <row r="457" spans="2:13">
      <c r="B457" s="116">
        <v>449</v>
      </c>
      <c r="C457" s="124" t="s">
        <v>610</v>
      </c>
      <c r="D457" s="116" t="s">
        <v>86</v>
      </c>
      <c r="E457" s="125">
        <v>60</v>
      </c>
      <c r="F457" s="126">
        <v>93.2</v>
      </c>
      <c r="G457" s="126">
        <v>9</v>
      </c>
      <c r="I457" s="125">
        <f t="shared" ref="I457:I520" si="7">IF(F457&lt;=100,3,IF(F457&lt;=140,4,IF(F457&lt;=175,5,6)))</f>
        <v>3</v>
      </c>
      <c r="J457" s="127">
        <v>2.3393200000000003</v>
      </c>
      <c r="M457" s="128"/>
    </row>
    <row r="458" spans="2:13">
      <c r="B458" s="116">
        <v>450</v>
      </c>
      <c r="C458" s="124" t="s">
        <v>611</v>
      </c>
      <c r="D458" s="116" t="s">
        <v>84</v>
      </c>
      <c r="E458" s="125">
        <v>83</v>
      </c>
      <c r="F458" s="126">
        <v>163.69999999999999</v>
      </c>
      <c r="G458" s="126">
        <v>20</v>
      </c>
      <c r="I458" s="125">
        <f t="shared" si="7"/>
        <v>5</v>
      </c>
      <c r="J458" s="127">
        <v>4.0270199999999994</v>
      </c>
      <c r="M458" s="128"/>
    </row>
    <row r="459" spans="2:13">
      <c r="B459" s="116">
        <v>451</v>
      </c>
      <c r="C459" s="124" t="s">
        <v>612</v>
      </c>
      <c r="D459" s="116" t="s">
        <v>86</v>
      </c>
      <c r="E459" s="125">
        <v>77</v>
      </c>
      <c r="F459" s="126">
        <v>96.3</v>
      </c>
      <c r="G459" s="126">
        <v>11</v>
      </c>
      <c r="I459" s="125">
        <f t="shared" si="7"/>
        <v>3</v>
      </c>
      <c r="J459" s="127">
        <v>2.2245299999999997</v>
      </c>
      <c r="M459" s="128"/>
    </row>
    <row r="460" spans="2:13">
      <c r="B460" s="116">
        <v>452</v>
      </c>
      <c r="C460" s="124" t="s">
        <v>613</v>
      </c>
      <c r="D460" s="116" t="s">
        <v>55</v>
      </c>
      <c r="E460" s="125">
        <v>76</v>
      </c>
      <c r="F460" s="126">
        <v>76.8</v>
      </c>
      <c r="G460" s="126">
        <v>10</v>
      </c>
      <c r="I460" s="125">
        <f t="shared" si="7"/>
        <v>3</v>
      </c>
      <c r="J460" s="127">
        <v>2.9798399999999998</v>
      </c>
      <c r="M460" s="128"/>
    </row>
    <row r="461" spans="2:13">
      <c r="B461" s="116">
        <v>453</v>
      </c>
      <c r="C461" s="124" t="s">
        <v>614</v>
      </c>
      <c r="D461" s="116" t="s">
        <v>78</v>
      </c>
      <c r="E461" s="125">
        <v>69</v>
      </c>
      <c r="F461" s="126">
        <v>109.6</v>
      </c>
      <c r="G461" s="126">
        <v>12</v>
      </c>
      <c r="I461" s="125">
        <f t="shared" si="7"/>
        <v>4</v>
      </c>
      <c r="J461" s="127">
        <v>4.1867199999999993</v>
      </c>
      <c r="M461" s="128"/>
    </row>
    <row r="462" spans="2:13">
      <c r="B462" s="116">
        <v>454</v>
      </c>
      <c r="C462" s="124" t="s">
        <v>615</v>
      </c>
      <c r="D462" s="116" t="s">
        <v>84</v>
      </c>
      <c r="E462" s="125">
        <v>74</v>
      </c>
      <c r="F462" s="126">
        <v>106.9</v>
      </c>
      <c r="G462" s="126">
        <v>13</v>
      </c>
      <c r="I462" s="125">
        <f t="shared" si="7"/>
        <v>4</v>
      </c>
      <c r="J462" s="127">
        <v>2.7473300000000003</v>
      </c>
      <c r="M462" s="128"/>
    </row>
    <row r="463" spans="2:13">
      <c r="B463" s="116">
        <v>455</v>
      </c>
      <c r="C463" s="124" t="s">
        <v>616</v>
      </c>
      <c r="D463" s="116" t="s">
        <v>88</v>
      </c>
      <c r="E463" s="125">
        <v>95</v>
      </c>
      <c r="F463" s="126">
        <v>101.7</v>
      </c>
      <c r="G463" s="126">
        <v>12</v>
      </c>
      <c r="I463" s="125">
        <f t="shared" si="7"/>
        <v>4</v>
      </c>
      <c r="J463" s="127">
        <v>2.2577400000000001</v>
      </c>
      <c r="M463" s="128"/>
    </row>
    <row r="464" spans="2:13">
      <c r="B464" s="116">
        <v>456</v>
      </c>
      <c r="C464" s="124" t="s">
        <v>617</v>
      </c>
      <c r="D464" s="116" t="s">
        <v>84</v>
      </c>
      <c r="E464" s="125">
        <v>99</v>
      </c>
      <c r="F464" s="126">
        <v>104.1</v>
      </c>
      <c r="G464" s="126">
        <v>21</v>
      </c>
      <c r="I464" s="125">
        <f t="shared" si="7"/>
        <v>4</v>
      </c>
      <c r="J464" s="127">
        <v>3.3936599999999997</v>
      </c>
      <c r="M464" s="128"/>
    </row>
    <row r="465" spans="2:13">
      <c r="B465" s="116">
        <v>457</v>
      </c>
      <c r="C465" s="124" t="s">
        <v>618</v>
      </c>
      <c r="D465" s="116" t="s">
        <v>90</v>
      </c>
      <c r="E465" s="125">
        <v>89</v>
      </c>
      <c r="F465" s="126">
        <v>95.4</v>
      </c>
      <c r="G465" s="126">
        <v>11</v>
      </c>
      <c r="I465" s="125">
        <f t="shared" si="7"/>
        <v>3</v>
      </c>
      <c r="J465" s="127">
        <v>2.8429200000000003</v>
      </c>
      <c r="M465" s="128"/>
    </row>
    <row r="466" spans="2:13">
      <c r="B466" s="116">
        <v>458</v>
      </c>
      <c r="C466" s="124" t="s">
        <v>619</v>
      </c>
      <c r="D466" s="116" t="s">
        <v>88</v>
      </c>
      <c r="E466" s="125">
        <v>57</v>
      </c>
      <c r="F466" s="126">
        <v>72.400000000000006</v>
      </c>
      <c r="G466" s="126">
        <v>7</v>
      </c>
      <c r="I466" s="125">
        <f t="shared" si="7"/>
        <v>3</v>
      </c>
      <c r="J466" s="127">
        <v>2.3747200000000004</v>
      </c>
      <c r="M466" s="128"/>
    </row>
    <row r="467" spans="2:13">
      <c r="B467" s="116">
        <v>459</v>
      </c>
      <c r="C467" s="124" t="s">
        <v>620</v>
      </c>
      <c r="D467" s="116" t="s">
        <v>65</v>
      </c>
      <c r="E467" s="125">
        <v>58</v>
      </c>
      <c r="F467" s="126">
        <v>109.8</v>
      </c>
      <c r="G467" s="126">
        <v>16</v>
      </c>
      <c r="I467" s="125">
        <f t="shared" si="7"/>
        <v>4</v>
      </c>
      <c r="J467" s="127">
        <v>4.3590599999999995</v>
      </c>
      <c r="M467" s="128"/>
    </row>
    <row r="468" spans="2:13">
      <c r="B468" s="116">
        <v>460</v>
      </c>
      <c r="C468" s="124" t="s">
        <v>621</v>
      </c>
      <c r="D468" s="116" t="s">
        <v>86</v>
      </c>
      <c r="E468" s="125">
        <v>57</v>
      </c>
      <c r="F468" s="126">
        <v>105.7</v>
      </c>
      <c r="G468" s="126">
        <v>13</v>
      </c>
      <c r="I468" s="125">
        <f t="shared" si="7"/>
        <v>4</v>
      </c>
      <c r="J468" s="127">
        <v>3.2132800000000001</v>
      </c>
      <c r="M468" s="128"/>
    </row>
    <row r="469" spans="2:13">
      <c r="B469" s="116">
        <v>461</v>
      </c>
      <c r="C469" s="124" t="s">
        <v>622</v>
      </c>
      <c r="D469" s="116" t="s">
        <v>88</v>
      </c>
      <c r="E469" s="125">
        <v>46</v>
      </c>
      <c r="F469" s="126">
        <v>65.599999999999994</v>
      </c>
      <c r="G469" s="126">
        <v>11</v>
      </c>
      <c r="I469" s="125">
        <f t="shared" si="7"/>
        <v>3</v>
      </c>
      <c r="J469" s="127">
        <v>2.3878399999999997</v>
      </c>
      <c r="M469" s="128"/>
    </row>
    <row r="470" spans="2:13">
      <c r="B470" s="116">
        <v>462</v>
      </c>
      <c r="C470" s="124" t="s">
        <v>623</v>
      </c>
      <c r="D470" s="116" t="s">
        <v>86</v>
      </c>
      <c r="E470" s="125">
        <v>60</v>
      </c>
      <c r="F470" s="126">
        <v>82.5</v>
      </c>
      <c r="G470" s="126">
        <v>11</v>
      </c>
      <c r="I470" s="125">
        <f t="shared" si="7"/>
        <v>3</v>
      </c>
      <c r="J470" s="127">
        <v>1.82325</v>
      </c>
      <c r="M470" s="128"/>
    </row>
    <row r="471" spans="2:13">
      <c r="B471" s="116">
        <v>463</v>
      </c>
      <c r="C471" s="124" t="s">
        <v>624</v>
      </c>
      <c r="D471" s="116" t="s">
        <v>65</v>
      </c>
      <c r="E471" s="125">
        <v>54</v>
      </c>
      <c r="F471" s="126">
        <v>98.7</v>
      </c>
      <c r="G471" s="126">
        <v>10</v>
      </c>
      <c r="I471" s="125">
        <f t="shared" si="7"/>
        <v>3</v>
      </c>
      <c r="J471" s="127">
        <v>1.98387</v>
      </c>
      <c r="M471" s="128"/>
    </row>
    <row r="472" spans="2:13">
      <c r="B472" s="116">
        <v>464</v>
      </c>
      <c r="C472" s="124" t="s">
        <v>625</v>
      </c>
      <c r="D472" s="116" t="s">
        <v>65</v>
      </c>
      <c r="E472" s="125">
        <v>55</v>
      </c>
      <c r="F472" s="126">
        <v>87.3</v>
      </c>
      <c r="G472" s="126">
        <v>14</v>
      </c>
      <c r="I472" s="125">
        <f t="shared" si="7"/>
        <v>3</v>
      </c>
      <c r="J472" s="127">
        <v>3.2999399999999999</v>
      </c>
      <c r="M472" s="128"/>
    </row>
    <row r="473" spans="2:13">
      <c r="B473" s="116">
        <v>465</v>
      </c>
      <c r="C473" s="124" t="s">
        <v>626</v>
      </c>
      <c r="D473" s="116" t="s">
        <v>88</v>
      </c>
      <c r="E473" s="125">
        <v>46</v>
      </c>
      <c r="F473" s="126">
        <v>88.6</v>
      </c>
      <c r="G473" s="126">
        <v>15</v>
      </c>
      <c r="I473" s="125">
        <f t="shared" si="7"/>
        <v>3</v>
      </c>
      <c r="J473" s="127">
        <v>3.1541599999999996</v>
      </c>
      <c r="M473" s="128"/>
    </row>
    <row r="474" spans="2:13">
      <c r="B474" s="116">
        <v>466</v>
      </c>
      <c r="C474" s="124" t="s">
        <v>627</v>
      </c>
      <c r="D474" s="116" t="s">
        <v>88</v>
      </c>
      <c r="E474" s="125">
        <v>100</v>
      </c>
      <c r="F474" s="126">
        <v>117.4</v>
      </c>
      <c r="G474" s="126">
        <v>21</v>
      </c>
      <c r="I474" s="125">
        <f t="shared" si="7"/>
        <v>4</v>
      </c>
      <c r="J474" s="127">
        <v>2.3832200000000001</v>
      </c>
      <c r="M474" s="128"/>
    </row>
    <row r="475" spans="2:13">
      <c r="B475" s="116">
        <v>467</v>
      </c>
      <c r="C475" s="124" t="s">
        <v>628</v>
      </c>
      <c r="D475" s="116" t="s">
        <v>63</v>
      </c>
      <c r="E475" s="125">
        <v>60</v>
      </c>
      <c r="F475" s="126">
        <v>79.7</v>
      </c>
      <c r="G475" s="126">
        <v>12</v>
      </c>
      <c r="I475" s="125">
        <f t="shared" si="7"/>
        <v>3</v>
      </c>
      <c r="J475" s="127">
        <v>2.1200199999999998</v>
      </c>
      <c r="M475" s="128"/>
    </row>
    <row r="476" spans="2:13">
      <c r="B476" s="116">
        <v>468</v>
      </c>
      <c r="C476" s="124" t="s">
        <v>629</v>
      </c>
      <c r="D476" s="116" t="s">
        <v>84</v>
      </c>
      <c r="E476" s="125">
        <v>98</v>
      </c>
      <c r="F476" s="126">
        <v>181.3</v>
      </c>
      <c r="G476" s="126">
        <v>31</v>
      </c>
      <c r="I476" s="125">
        <f t="shared" si="7"/>
        <v>6</v>
      </c>
      <c r="J476" s="127">
        <v>5.51152</v>
      </c>
      <c r="M476" s="128"/>
    </row>
    <row r="477" spans="2:13">
      <c r="B477" s="116">
        <v>469</v>
      </c>
      <c r="C477" s="124" t="s">
        <v>630</v>
      </c>
      <c r="D477" s="116" t="s">
        <v>65</v>
      </c>
      <c r="E477" s="125">
        <v>93</v>
      </c>
      <c r="F477" s="126">
        <v>168.4</v>
      </c>
      <c r="G477" s="126">
        <v>30</v>
      </c>
      <c r="I477" s="125">
        <f t="shared" si="7"/>
        <v>5</v>
      </c>
      <c r="J477" s="127">
        <v>4.0415999999999999</v>
      </c>
      <c r="M477" s="128"/>
    </row>
    <row r="478" spans="2:13">
      <c r="B478" s="116">
        <v>470</v>
      </c>
      <c r="C478" s="124" t="s">
        <v>631</v>
      </c>
      <c r="D478" s="116" t="s">
        <v>86</v>
      </c>
      <c r="E478" s="125">
        <v>53</v>
      </c>
      <c r="F478" s="126">
        <v>81.400000000000006</v>
      </c>
      <c r="G478" s="126">
        <v>8</v>
      </c>
      <c r="I478" s="125">
        <f t="shared" si="7"/>
        <v>3</v>
      </c>
      <c r="J478" s="127">
        <v>1.6605600000000003</v>
      </c>
      <c r="M478" s="128"/>
    </row>
    <row r="479" spans="2:13">
      <c r="B479" s="116">
        <v>471</v>
      </c>
      <c r="C479" s="124" t="s">
        <v>632</v>
      </c>
      <c r="D479" s="116" t="s">
        <v>84</v>
      </c>
      <c r="E479" s="125">
        <v>47</v>
      </c>
      <c r="F479" s="126">
        <v>51.9</v>
      </c>
      <c r="G479" s="126">
        <v>8</v>
      </c>
      <c r="I479" s="125">
        <f t="shared" si="7"/>
        <v>3</v>
      </c>
      <c r="J479" s="127">
        <v>1.5518099999999999</v>
      </c>
      <c r="M479" s="128"/>
    </row>
    <row r="480" spans="2:13">
      <c r="B480" s="116">
        <v>472</v>
      </c>
      <c r="C480" s="124" t="s">
        <v>633</v>
      </c>
      <c r="D480" s="116" t="s">
        <v>63</v>
      </c>
      <c r="E480" s="125">
        <v>89</v>
      </c>
      <c r="F480" s="126">
        <v>120.5</v>
      </c>
      <c r="G480" s="126">
        <v>18</v>
      </c>
      <c r="I480" s="125">
        <f t="shared" si="7"/>
        <v>4</v>
      </c>
      <c r="J480" s="127">
        <v>3.9885499999999996</v>
      </c>
      <c r="M480" s="128"/>
    </row>
    <row r="481" spans="2:13">
      <c r="B481" s="116">
        <v>473</v>
      </c>
      <c r="C481" s="124" t="s">
        <v>634</v>
      </c>
      <c r="D481" s="116" t="s">
        <v>78</v>
      </c>
      <c r="E481" s="125">
        <v>73</v>
      </c>
      <c r="F481" s="126">
        <v>141.9</v>
      </c>
      <c r="G481" s="126">
        <v>14</v>
      </c>
      <c r="I481" s="125">
        <f t="shared" si="7"/>
        <v>5</v>
      </c>
      <c r="J481" s="127">
        <v>3.60426</v>
      </c>
      <c r="M481" s="128"/>
    </row>
    <row r="482" spans="2:13">
      <c r="B482" s="116">
        <v>474</v>
      </c>
      <c r="C482" s="124" t="s">
        <v>635</v>
      </c>
      <c r="D482" s="116" t="s">
        <v>65</v>
      </c>
      <c r="E482" s="125">
        <v>84</v>
      </c>
      <c r="F482" s="126">
        <v>123.8</v>
      </c>
      <c r="G482" s="126">
        <v>15</v>
      </c>
      <c r="I482" s="125">
        <f t="shared" si="7"/>
        <v>4</v>
      </c>
      <c r="J482" s="127">
        <v>4.4691799999999997</v>
      </c>
      <c r="M482" s="128"/>
    </row>
    <row r="483" spans="2:13">
      <c r="B483" s="116">
        <v>475</v>
      </c>
      <c r="C483" s="124" t="s">
        <v>636</v>
      </c>
      <c r="D483" s="116" t="s">
        <v>65</v>
      </c>
      <c r="E483" s="125">
        <v>63</v>
      </c>
      <c r="F483" s="126">
        <v>100.9</v>
      </c>
      <c r="G483" s="126">
        <v>15</v>
      </c>
      <c r="I483" s="125">
        <f t="shared" si="7"/>
        <v>4</v>
      </c>
      <c r="J483" s="127">
        <v>2.8958300000000001</v>
      </c>
      <c r="M483" s="128"/>
    </row>
    <row r="484" spans="2:13">
      <c r="B484" s="116">
        <v>476</v>
      </c>
      <c r="C484" s="124" t="s">
        <v>637</v>
      </c>
      <c r="D484" s="116" t="s">
        <v>84</v>
      </c>
      <c r="E484" s="125">
        <v>99</v>
      </c>
      <c r="F484" s="126">
        <v>158.1</v>
      </c>
      <c r="G484" s="126">
        <v>22</v>
      </c>
      <c r="I484" s="125">
        <f t="shared" si="7"/>
        <v>5</v>
      </c>
      <c r="J484" s="127">
        <v>5.3121599999999995</v>
      </c>
      <c r="M484" s="128"/>
    </row>
    <row r="485" spans="2:13">
      <c r="B485" s="116">
        <v>477</v>
      </c>
      <c r="C485" s="124" t="s">
        <v>638</v>
      </c>
      <c r="D485" s="116" t="s">
        <v>84</v>
      </c>
      <c r="E485" s="125">
        <v>93</v>
      </c>
      <c r="F485" s="126">
        <v>107.6</v>
      </c>
      <c r="G485" s="126">
        <v>17</v>
      </c>
      <c r="I485" s="125">
        <f t="shared" si="7"/>
        <v>4</v>
      </c>
      <c r="J485" s="127">
        <v>4.2932399999999999</v>
      </c>
      <c r="M485" s="128"/>
    </row>
    <row r="486" spans="2:13">
      <c r="B486" s="116">
        <v>478</v>
      </c>
      <c r="C486" s="124" t="s">
        <v>639</v>
      </c>
      <c r="D486" s="116" t="s">
        <v>63</v>
      </c>
      <c r="E486" s="125">
        <v>66</v>
      </c>
      <c r="F486" s="126">
        <v>73.3</v>
      </c>
      <c r="G486" s="126">
        <v>10</v>
      </c>
      <c r="I486" s="125">
        <f t="shared" si="7"/>
        <v>3</v>
      </c>
      <c r="J486" s="127">
        <v>2.3969100000000001</v>
      </c>
      <c r="M486" s="128"/>
    </row>
    <row r="487" spans="2:13">
      <c r="B487" s="116">
        <v>479</v>
      </c>
      <c r="C487" s="124" t="s">
        <v>640</v>
      </c>
      <c r="D487" s="116" t="s">
        <v>86</v>
      </c>
      <c r="E487" s="125">
        <v>59</v>
      </c>
      <c r="F487" s="126">
        <v>65.900000000000006</v>
      </c>
      <c r="G487" s="126">
        <v>11</v>
      </c>
      <c r="I487" s="125">
        <f t="shared" si="7"/>
        <v>3</v>
      </c>
      <c r="J487" s="127">
        <v>1.3377700000000001</v>
      </c>
      <c r="M487" s="128"/>
    </row>
    <row r="488" spans="2:13">
      <c r="B488" s="116">
        <v>480</v>
      </c>
      <c r="C488" s="124" t="s">
        <v>641</v>
      </c>
      <c r="D488" s="116" t="s">
        <v>65</v>
      </c>
      <c r="E488" s="125">
        <v>44</v>
      </c>
      <c r="F488" s="126">
        <v>56.5</v>
      </c>
      <c r="G488" s="126">
        <v>9</v>
      </c>
      <c r="I488" s="125">
        <f t="shared" si="7"/>
        <v>3</v>
      </c>
      <c r="J488" s="127">
        <v>2.1131000000000002</v>
      </c>
      <c r="M488" s="128"/>
    </row>
    <row r="489" spans="2:13">
      <c r="B489" s="116">
        <v>481</v>
      </c>
      <c r="C489" s="124" t="s">
        <v>642</v>
      </c>
      <c r="D489" s="116" t="s">
        <v>88</v>
      </c>
      <c r="E489" s="125">
        <v>97</v>
      </c>
      <c r="F489" s="126">
        <v>129.4</v>
      </c>
      <c r="G489" s="126">
        <v>21</v>
      </c>
      <c r="I489" s="125">
        <f t="shared" si="7"/>
        <v>4</v>
      </c>
      <c r="J489" s="127">
        <v>4.3478399999999997</v>
      </c>
      <c r="M489" s="128"/>
    </row>
    <row r="490" spans="2:13">
      <c r="B490" s="116">
        <v>482</v>
      </c>
      <c r="C490" s="124" t="s">
        <v>643</v>
      </c>
      <c r="D490" s="116" t="s">
        <v>65</v>
      </c>
      <c r="E490" s="125">
        <v>72</v>
      </c>
      <c r="F490" s="126">
        <v>117.9</v>
      </c>
      <c r="G490" s="126">
        <v>20</v>
      </c>
      <c r="I490" s="125">
        <f t="shared" si="7"/>
        <v>4</v>
      </c>
      <c r="J490" s="127">
        <v>4.5037799999999999</v>
      </c>
      <c r="M490" s="128"/>
    </row>
    <row r="491" spans="2:13">
      <c r="B491" s="116">
        <v>483</v>
      </c>
      <c r="C491" s="124" t="s">
        <v>644</v>
      </c>
      <c r="D491" s="116" t="s">
        <v>65</v>
      </c>
      <c r="E491" s="125">
        <v>84</v>
      </c>
      <c r="F491" s="126">
        <v>155.30000000000001</v>
      </c>
      <c r="G491" s="126">
        <v>23</v>
      </c>
      <c r="I491" s="125">
        <f t="shared" si="7"/>
        <v>5</v>
      </c>
      <c r="J491" s="127">
        <v>3.4942500000000001</v>
      </c>
      <c r="M491" s="128"/>
    </row>
    <row r="492" spans="2:13">
      <c r="B492" s="116">
        <v>484</v>
      </c>
      <c r="C492" s="124" t="s">
        <v>645</v>
      </c>
      <c r="D492" s="116" t="s">
        <v>63</v>
      </c>
      <c r="E492" s="125">
        <v>58</v>
      </c>
      <c r="F492" s="126">
        <v>73.8</v>
      </c>
      <c r="G492" s="126">
        <v>13</v>
      </c>
      <c r="I492" s="125">
        <f t="shared" si="7"/>
        <v>3</v>
      </c>
      <c r="J492" s="127">
        <v>2.6715599999999999</v>
      </c>
      <c r="M492" s="128"/>
    </row>
    <row r="493" spans="2:13">
      <c r="B493" s="116">
        <v>485</v>
      </c>
      <c r="C493" s="124" t="s">
        <v>646</v>
      </c>
      <c r="D493" s="116" t="s">
        <v>63</v>
      </c>
      <c r="E493" s="125">
        <v>45</v>
      </c>
      <c r="F493" s="126">
        <v>66</v>
      </c>
      <c r="G493" s="126">
        <v>9</v>
      </c>
      <c r="I493" s="125">
        <f t="shared" si="7"/>
        <v>3</v>
      </c>
      <c r="J493" s="127">
        <v>2.3165999999999998</v>
      </c>
      <c r="M493" s="128"/>
    </row>
    <row r="494" spans="2:13">
      <c r="B494" s="116">
        <v>486</v>
      </c>
      <c r="C494" s="124" t="s">
        <v>647</v>
      </c>
      <c r="D494" s="116" t="s">
        <v>65</v>
      </c>
      <c r="E494" s="125">
        <v>46</v>
      </c>
      <c r="F494" s="126">
        <v>76.2</v>
      </c>
      <c r="G494" s="126">
        <v>11</v>
      </c>
      <c r="I494" s="125">
        <f t="shared" si="7"/>
        <v>3</v>
      </c>
      <c r="J494" s="127">
        <v>3.0175200000000002</v>
      </c>
      <c r="M494" s="128"/>
    </row>
    <row r="495" spans="2:13">
      <c r="B495" s="116">
        <v>487</v>
      </c>
      <c r="C495" s="124" t="s">
        <v>648</v>
      </c>
      <c r="D495" s="116" t="s">
        <v>65</v>
      </c>
      <c r="E495" s="125">
        <v>49</v>
      </c>
      <c r="F495" s="126">
        <v>71.3</v>
      </c>
      <c r="G495" s="126">
        <v>9</v>
      </c>
      <c r="I495" s="125">
        <f t="shared" si="7"/>
        <v>3</v>
      </c>
      <c r="J495" s="127">
        <v>1.9821399999999998</v>
      </c>
      <c r="M495" s="128"/>
    </row>
    <row r="496" spans="2:13">
      <c r="B496" s="116">
        <v>488</v>
      </c>
      <c r="C496" s="124" t="s">
        <v>649</v>
      </c>
      <c r="D496" s="116" t="s">
        <v>84</v>
      </c>
      <c r="E496" s="125">
        <v>41</v>
      </c>
      <c r="F496" s="126">
        <v>70.3</v>
      </c>
      <c r="G496" s="126">
        <v>8</v>
      </c>
      <c r="I496" s="125">
        <f t="shared" si="7"/>
        <v>3</v>
      </c>
      <c r="J496" s="127">
        <v>1.7645299999999999</v>
      </c>
      <c r="M496" s="128"/>
    </row>
    <row r="497" spans="2:13">
      <c r="B497" s="116">
        <v>489</v>
      </c>
      <c r="C497" s="124" t="s">
        <v>650</v>
      </c>
      <c r="D497" s="116" t="s">
        <v>88</v>
      </c>
      <c r="E497" s="125">
        <v>69</v>
      </c>
      <c r="F497" s="126">
        <v>73.5</v>
      </c>
      <c r="G497" s="126">
        <v>10</v>
      </c>
      <c r="I497" s="125">
        <f t="shared" si="7"/>
        <v>3</v>
      </c>
      <c r="J497" s="127">
        <v>2.9179499999999998</v>
      </c>
      <c r="M497" s="128"/>
    </row>
    <row r="498" spans="2:13">
      <c r="B498" s="116">
        <v>490</v>
      </c>
      <c r="C498" s="124" t="s">
        <v>651</v>
      </c>
      <c r="D498" s="116" t="s">
        <v>95</v>
      </c>
      <c r="E498" s="125">
        <v>56</v>
      </c>
      <c r="F498" s="126">
        <v>75.400000000000006</v>
      </c>
      <c r="G498" s="126">
        <v>14</v>
      </c>
      <c r="I498" s="125">
        <f t="shared" si="7"/>
        <v>3</v>
      </c>
      <c r="J498" s="127">
        <v>1.9754800000000001</v>
      </c>
      <c r="M498" s="128"/>
    </row>
    <row r="499" spans="2:13">
      <c r="B499" s="116">
        <v>491</v>
      </c>
      <c r="C499" s="124" t="s">
        <v>652</v>
      </c>
      <c r="D499" s="116" t="s">
        <v>84</v>
      </c>
      <c r="E499" s="125">
        <v>66</v>
      </c>
      <c r="F499" s="126">
        <v>89.2</v>
      </c>
      <c r="G499" s="126">
        <v>15</v>
      </c>
      <c r="I499" s="125">
        <f t="shared" si="7"/>
        <v>3</v>
      </c>
      <c r="J499" s="127">
        <v>2.59572</v>
      </c>
      <c r="M499" s="128"/>
    </row>
    <row r="500" spans="2:13">
      <c r="B500" s="116">
        <v>492</v>
      </c>
      <c r="C500" s="124" t="s">
        <v>653</v>
      </c>
      <c r="D500" s="116" t="s">
        <v>78</v>
      </c>
      <c r="E500" s="125">
        <v>52</v>
      </c>
      <c r="F500" s="126">
        <v>78.400000000000006</v>
      </c>
      <c r="G500" s="126">
        <v>15</v>
      </c>
      <c r="I500" s="125">
        <f t="shared" si="7"/>
        <v>3</v>
      </c>
      <c r="J500" s="127">
        <v>2.9948800000000002</v>
      </c>
      <c r="M500" s="128"/>
    </row>
    <row r="501" spans="2:13">
      <c r="B501" s="116">
        <v>493</v>
      </c>
      <c r="C501" s="124" t="s">
        <v>654</v>
      </c>
      <c r="D501" s="116" t="s">
        <v>65</v>
      </c>
      <c r="E501" s="125">
        <v>86</v>
      </c>
      <c r="F501" s="126">
        <v>90.9</v>
      </c>
      <c r="G501" s="126">
        <v>12</v>
      </c>
      <c r="I501" s="125">
        <f t="shared" si="7"/>
        <v>3</v>
      </c>
      <c r="J501" s="127">
        <v>2.0361600000000002</v>
      </c>
      <c r="M501" s="128"/>
    </row>
    <row r="502" spans="2:13">
      <c r="B502" s="116">
        <v>494</v>
      </c>
      <c r="C502" s="124" t="s">
        <v>655</v>
      </c>
      <c r="D502" s="116" t="s">
        <v>63</v>
      </c>
      <c r="E502" s="125">
        <v>64</v>
      </c>
      <c r="F502" s="126">
        <v>120.1</v>
      </c>
      <c r="G502" s="126">
        <v>23</v>
      </c>
      <c r="I502" s="125">
        <f t="shared" si="7"/>
        <v>4</v>
      </c>
      <c r="J502" s="127">
        <v>4.7799800000000001</v>
      </c>
      <c r="M502" s="128"/>
    </row>
    <row r="503" spans="2:13">
      <c r="B503" s="116">
        <v>495</v>
      </c>
      <c r="C503" s="124" t="s">
        <v>656</v>
      </c>
      <c r="D503" s="116" t="s">
        <v>65</v>
      </c>
      <c r="E503" s="125">
        <v>66</v>
      </c>
      <c r="F503" s="126">
        <v>79.400000000000006</v>
      </c>
      <c r="G503" s="126">
        <v>8</v>
      </c>
      <c r="I503" s="125">
        <f t="shared" si="7"/>
        <v>3</v>
      </c>
      <c r="J503" s="127">
        <v>1.6277000000000001</v>
      </c>
      <c r="M503" s="128"/>
    </row>
    <row r="504" spans="2:13">
      <c r="B504" s="116">
        <v>496</v>
      </c>
      <c r="C504" s="124" t="s">
        <v>657</v>
      </c>
      <c r="D504" s="116" t="s">
        <v>88</v>
      </c>
      <c r="E504" s="125">
        <v>44</v>
      </c>
      <c r="F504" s="126">
        <v>72.8</v>
      </c>
      <c r="G504" s="126">
        <v>7</v>
      </c>
      <c r="I504" s="125">
        <f t="shared" si="7"/>
        <v>3</v>
      </c>
      <c r="J504" s="127">
        <v>1.90008</v>
      </c>
      <c r="M504" s="128"/>
    </row>
    <row r="505" spans="2:13">
      <c r="B505" s="116">
        <v>497</v>
      </c>
      <c r="C505" s="124" t="s">
        <v>658</v>
      </c>
      <c r="D505" s="116" t="s">
        <v>65</v>
      </c>
      <c r="E505" s="125">
        <v>49</v>
      </c>
      <c r="F505" s="126">
        <v>57.9</v>
      </c>
      <c r="G505" s="126">
        <v>11</v>
      </c>
      <c r="I505" s="125">
        <f t="shared" si="7"/>
        <v>3</v>
      </c>
      <c r="J505" s="127">
        <v>1.3432799999999998</v>
      </c>
      <c r="M505" s="128"/>
    </row>
    <row r="506" spans="2:13">
      <c r="B506" s="116">
        <v>498</v>
      </c>
      <c r="C506" s="124" t="s">
        <v>659</v>
      </c>
      <c r="D506" s="116" t="s">
        <v>66</v>
      </c>
      <c r="E506" s="125">
        <v>91</v>
      </c>
      <c r="F506" s="126">
        <v>111</v>
      </c>
      <c r="G506" s="126">
        <v>12</v>
      </c>
      <c r="I506" s="125">
        <f t="shared" si="7"/>
        <v>4</v>
      </c>
      <c r="J506" s="127">
        <v>3.3965999999999998</v>
      </c>
      <c r="M506" s="128"/>
    </row>
    <row r="507" spans="2:13">
      <c r="B507" s="116">
        <v>499</v>
      </c>
      <c r="C507" s="124" t="s">
        <v>660</v>
      </c>
      <c r="D507" s="116" t="s">
        <v>84</v>
      </c>
      <c r="E507" s="125">
        <v>48</v>
      </c>
      <c r="F507" s="126">
        <v>71.3</v>
      </c>
      <c r="G507" s="126">
        <v>9</v>
      </c>
      <c r="I507" s="125">
        <f t="shared" si="7"/>
        <v>3</v>
      </c>
      <c r="J507" s="127">
        <v>2.15326</v>
      </c>
      <c r="M507" s="128"/>
    </row>
    <row r="508" spans="2:13">
      <c r="B508" s="116">
        <v>500</v>
      </c>
      <c r="C508" s="124" t="s">
        <v>661</v>
      </c>
      <c r="D508" s="116" t="s">
        <v>65</v>
      </c>
      <c r="E508" s="125">
        <v>65</v>
      </c>
      <c r="F508" s="126">
        <v>114</v>
      </c>
      <c r="G508" s="126">
        <v>21</v>
      </c>
      <c r="I508" s="125">
        <f t="shared" si="7"/>
        <v>4</v>
      </c>
      <c r="J508" s="127">
        <v>2.3256000000000001</v>
      </c>
      <c r="M508" s="128"/>
    </row>
    <row r="509" spans="2:13">
      <c r="B509" s="116">
        <v>501</v>
      </c>
      <c r="C509" s="124" t="s">
        <v>662</v>
      </c>
      <c r="D509" s="116" t="s">
        <v>65</v>
      </c>
      <c r="E509" s="125">
        <v>69</v>
      </c>
      <c r="F509" s="126">
        <v>134.5</v>
      </c>
      <c r="G509" s="126">
        <v>13</v>
      </c>
      <c r="I509" s="125">
        <f t="shared" si="7"/>
        <v>4</v>
      </c>
      <c r="J509" s="127">
        <v>5.2051499999999997</v>
      </c>
      <c r="M509" s="128"/>
    </row>
    <row r="510" spans="2:13">
      <c r="B510" s="116">
        <v>502</v>
      </c>
      <c r="C510" s="124" t="s">
        <v>663</v>
      </c>
      <c r="D510" s="116" t="s">
        <v>86</v>
      </c>
      <c r="E510" s="125">
        <v>58</v>
      </c>
      <c r="F510" s="126">
        <v>92</v>
      </c>
      <c r="G510" s="126">
        <v>17</v>
      </c>
      <c r="I510" s="125">
        <f t="shared" si="7"/>
        <v>3</v>
      </c>
      <c r="J510" s="127">
        <v>3.1831999999999998</v>
      </c>
      <c r="M510" s="128"/>
    </row>
    <row r="511" spans="2:13">
      <c r="B511" s="116">
        <v>503</v>
      </c>
      <c r="C511" s="124" t="s">
        <v>664</v>
      </c>
      <c r="D511" s="116" t="s">
        <v>88</v>
      </c>
      <c r="E511" s="125">
        <v>68</v>
      </c>
      <c r="F511" s="126">
        <v>90.9</v>
      </c>
      <c r="G511" s="126">
        <v>9</v>
      </c>
      <c r="I511" s="125">
        <f t="shared" si="7"/>
        <v>3</v>
      </c>
      <c r="J511" s="127">
        <v>2.4997500000000001</v>
      </c>
      <c r="M511" s="128"/>
    </row>
    <row r="512" spans="2:13">
      <c r="B512" s="116">
        <v>504</v>
      </c>
      <c r="C512" s="124" t="s">
        <v>665</v>
      </c>
      <c r="D512" s="116" t="s">
        <v>88</v>
      </c>
      <c r="E512" s="125">
        <v>92</v>
      </c>
      <c r="F512" s="126">
        <v>161.1</v>
      </c>
      <c r="G512" s="126">
        <v>27</v>
      </c>
      <c r="I512" s="125">
        <f t="shared" si="7"/>
        <v>5</v>
      </c>
      <c r="J512" s="127">
        <v>5.8479299999999999</v>
      </c>
      <c r="M512" s="128"/>
    </row>
    <row r="513" spans="2:13">
      <c r="B513" s="116">
        <v>505</v>
      </c>
      <c r="C513" s="124" t="s">
        <v>666</v>
      </c>
      <c r="D513" s="116" t="s">
        <v>68</v>
      </c>
      <c r="E513" s="125">
        <v>94</v>
      </c>
      <c r="F513" s="126">
        <v>171.1</v>
      </c>
      <c r="G513" s="126">
        <v>21</v>
      </c>
      <c r="I513" s="125">
        <f t="shared" si="7"/>
        <v>5</v>
      </c>
      <c r="J513" s="127">
        <v>6.1938200000000005</v>
      </c>
      <c r="M513" s="128"/>
    </row>
    <row r="514" spans="2:13">
      <c r="B514" s="116">
        <v>506</v>
      </c>
      <c r="C514" s="124" t="s">
        <v>667</v>
      </c>
      <c r="D514" s="116" t="s">
        <v>86</v>
      </c>
      <c r="E514" s="125">
        <v>42</v>
      </c>
      <c r="F514" s="126">
        <v>74.900000000000006</v>
      </c>
      <c r="G514" s="126">
        <v>8</v>
      </c>
      <c r="I514" s="125">
        <f t="shared" si="7"/>
        <v>3</v>
      </c>
      <c r="J514" s="127">
        <v>1.50549</v>
      </c>
      <c r="M514" s="128"/>
    </row>
    <row r="515" spans="2:13">
      <c r="B515" s="116">
        <v>507</v>
      </c>
      <c r="C515" s="124" t="s">
        <v>668</v>
      </c>
      <c r="D515" s="116" t="s">
        <v>63</v>
      </c>
      <c r="E515" s="125">
        <v>95</v>
      </c>
      <c r="F515" s="126">
        <v>103.2</v>
      </c>
      <c r="G515" s="126">
        <v>19</v>
      </c>
      <c r="I515" s="125">
        <f t="shared" si="7"/>
        <v>4</v>
      </c>
      <c r="J515" s="127">
        <v>2.3942399999999999</v>
      </c>
      <c r="M515" s="128"/>
    </row>
    <row r="516" spans="2:13">
      <c r="B516" s="116">
        <v>508</v>
      </c>
      <c r="C516" s="124" t="s">
        <v>669</v>
      </c>
      <c r="D516" s="116" t="s">
        <v>84</v>
      </c>
      <c r="E516" s="125">
        <v>84</v>
      </c>
      <c r="F516" s="126">
        <v>156.1</v>
      </c>
      <c r="G516" s="126">
        <v>20</v>
      </c>
      <c r="I516" s="125">
        <f t="shared" si="7"/>
        <v>5</v>
      </c>
      <c r="J516" s="127">
        <v>3.8400599999999998</v>
      </c>
      <c r="M516" s="128"/>
    </row>
    <row r="517" spans="2:13">
      <c r="B517" s="116">
        <v>509</v>
      </c>
      <c r="C517" s="124" t="s">
        <v>670</v>
      </c>
      <c r="D517" s="116" t="s">
        <v>65</v>
      </c>
      <c r="E517" s="125">
        <v>53</v>
      </c>
      <c r="F517" s="126">
        <v>68.599999999999994</v>
      </c>
      <c r="G517" s="126">
        <v>8</v>
      </c>
      <c r="I517" s="125">
        <f t="shared" si="7"/>
        <v>3</v>
      </c>
      <c r="J517" s="127">
        <v>2.1265999999999998</v>
      </c>
      <c r="M517" s="128"/>
    </row>
    <row r="518" spans="2:13">
      <c r="B518" s="116">
        <v>510</v>
      </c>
      <c r="C518" s="124" t="s">
        <v>671</v>
      </c>
      <c r="D518" s="116" t="s">
        <v>65</v>
      </c>
      <c r="E518" s="125">
        <v>62</v>
      </c>
      <c r="F518" s="126">
        <v>87.7</v>
      </c>
      <c r="G518" s="126">
        <v>10</v>
      </c>
      <c r="I518" s="125">
        <f t="shared" si="7"/>
        <v>3</v>
      </c>
      <c r="J518" s="127">
        <v>2.6397699999999999</v>
      </c>
      <c r="M518" s="128"/>
    </row>
    <row r="519" spans="2:13">
      <c r="B519" s="116">
        <v>511</v>
      </c>
      <c r="C519" s="124" t="s">
        <v>672</v>
      </c>
      <c r="D519" s="116" t="s">
        <v>72</v>
      </c>
      <c r="E519" s="125">
        <v>70</v>
      </c>
      <c r="F519" s="126">
        <v>107.9</v>
      </c>
      <c r="G519" s="126">
        <v>19</v>
      </c>
      <c r="I519" s="125">
        <f t="shared" si="7"/>
        <v>4</v>
      </c>
      <c r="J519" s="127">
        <v>4.2620500000000003</v>
      </c>
      <c r="M519" s="128"/>
    </row>
    <row r="520" spans="2:13">
      <c r="B520" s="116">
        <v>512</v>
      </c>
      <c r="C520" s="124" t="s">
        <v>673</v>
      </c>
      <c r="D520" s="116" t="s">
        <v>86</v>
      </c>
      <c r="E520" s="125">
        <v>37</v>
      </c>
      <c r="F520" s="126">
        <v>49.9</v>
      </c>
      <c r="G520" s="126">
        <v>7</v>
      </c>
      <c r="I520" s="125">
        <f t="shared" si="7"/>
        <v>3</v>
      </c>
      <c r="J520" s="127">
        <v>1.5169599999999999</v>
      </c>
      <c r="M520" s="128"/>
    </row>
    <row r="521" spans="2:13">
      <c r="B521" s="116">
        <v>513</v>
      </c>
      <c r="C521" s="124" t="s">
        <v>674</v>
      </c>
      <c r="D521" s="116" t="s">
        <v>86</v>
      </c>
      <c r="E521" s="125">
        <v>68</v>
      </c>
      <c r="F521" s="126">
        <v>120.1</v>
      </c>
      <c r="G521" s="126">
        <v>20</v>
      </c>
      <c r="I521" s="125">
        <f t="shared" ref="I521:I584" si="8">IF(F521&lt;=100,3,IF(F521&lt;=140,4,IF(F521&lt;=175,5,6)))</f>
        <v>4</v>
      </c>
      <c r="J521" s="127">
        <v>4.5637999999999996</v>
      </c>
      <c r="M521" s="128"/>
    </row>
    <row r="522" spans="2:13">
      <c r="B522" s="116">
        <v>514</v>
      </c>
      <c r="C522" s="124" t="s">
        <v>675</v>
      </c>
      <c r="D522" s="116" t="s">
        <v>60</v>
      </c>
      <c r="E522" s="125">
        <v>52</v>
      </c>
      <c r="F522" s="126">
        <v>70.3</v>
      </c>
      <c r="G522" s="126">
        <v>11</v>
      </c>
      <c r="I522" s="125">
        <f t="shared" si="8"/>
        <v>3</v>
      </c>
      <c r="J522" s="127">
        <v>1.5465999999999998</v>
      </c>
      <c r="M522" s="128"/>
    </row>
    <row r="523" spans="2:13">
      <c r="B523" s="116">
        <v>515</v>
      </c>
      <c r="C523" s="124" t="s">
        <v>676</v>
      </c>
      <c r="D523" s="116" t="s">
        <v>65</v>
      </c>
      <c r="E523" s="125">
        <v>53</v>
      </c>
      <c r="F523" s="126">
        <v>101.9</v>
      </c>
      <c r="G523" s="126">
        <v>10</v>
      </c>
      <c r="I523" s="125">
        <f t="shared" si="8"/>
        <v>4</v>
      </c>
      <c r="J523" s="127">
        <v>2.7818700000000005</v>
      </c>
      <c r="M523" s="128"/>
    </row>
    <row r="524" spans="2:13">
      <c r="B524" s="116">
        <v>516</v>
      </c>
      <c r="C524" s="124" t="s">
        <v>677</v>
      </c>
      <c r="D524" s="116" t="s">
        <v>84</v>
      </c>
      <c r="E524" s="125">
        <v>48</v>
      </c>
      <c r="F524" s="126">
        <v>54.2</v>
      </c>
      <c r="G524" s="126">
        <v>8</v>
      </c>
      <c r="I524" s="125">
        <f t="shared" si="8"/>
        <v>3</v>
      </c>
      <c r="J524" s="127">
        <v>1.2303400000000002</v>
      </c>
      <c r="M524" s="128"/>
    </row>
    <row r="525" spans="2:13">
      <c r="B525" s="116">
        <v>517</v>
      </c>
      <c r="C525" s="124" t="s">
        <v>678</v>
      </c>
      <c r="D525" s="116" t="s">
        <v>65</v>
      </c>
      <c r="E525" s="125">
        <v>52</v>
      </c>
      <c r="F525" s="126">
        <v>95.1</v>
      </c>
      <c r="G525" s="126">
        <v>12</v>
      </c>
      <c r="I525" s="125">
        <f t="shared" si="8"/>
        <v>3</v>
      </c>
      <c r="J525" s="127">
        <v>3.3475199999999998</v>
      </c>
      <c r="M525" s="128"/>
    </row>
    <row r="526" spans="2:13">
      <c r="B526" s="116">
        <v>518</v>
      </c>
      <c r="C526" s="124" t="s">
        <v>679</v>
      </c>
      <c r="D526" s="116" t="s">
        <v>86</v>
      </c>
      <c r="E526" s="125">
        <v>53</v>
      </c>
      <c r="F526" s="126">
        <v>85.7</v>
      </c>
      <c r="G526" s="126">
        <v>13</v>
      </c>
      <c r="I526" s="125">
        <f t="shared" si="8"/>
        <v>3</v>
      </c>
      <c r="J526" s="127">
        <v>2.7081200000000005</v>
      </c>
      <c r="M526" s="128"/>
    </row>
    <row r="527" spans="2:13">
      <c r="B527" s="116">
        <v>519</v>
      </c>
      <c r="C527" s="124" t="s">
        <v>680</v>
      </c>
      <c r="D527" s="116" t="s">
        <v>84</v>
      </c>
      <c r="E527" s="125">
        <v>56</v>
      </c>
      <c r="F527" s="126">
        <v>89</v>
      </c>
      <c r="G527" s="126">
        <v>10</v>
      </c>
      <c r="I527" s="125">
        <f t="shared" si="8"/>
        <v>3</v>
      </c>
      <c r="J527" s="127">
        <v>2.8925000000000001</v>
      </c>
      <c r="M527" s="128"/>
    </row>
    <row r="528" spans="2:13">
      <c r="B528" s="116">
        <v>520</v>
      </c>
      <c r="C528" s="124" t="s">
        <v>681</v>
      </c>
      <c r="D528" s="116" t="s">
        <v>78</v>
      </c>
      <c r="E528" s="125">
        <v>59</v>
      </c>
      <c r="F528" s="126">
        <v>87.9</v>
      </c>
      <c r="G528" s="126">
        <v>9</v>
      </c>
      <c r="I528" s="125">
        <f t="shared" si="8"/>
        <v>3</v>
      </c>
      <c r="J528" s="127">
        <v>3.2698800000000001</v>
      </c>
      <c r="M528" s="128"/>
    </row>
    <row r="529" spans="2:13">
      <c r="B529" s="116">
        <v>521</v>
      </c>
      <c r="C529" s="124" t="s">
        <v>682</v>
      </c>
      <c r="D529" s="116" t="s">
        <v>65</v>
      </c>
      <c r="E529" s="125">
        <v>75</v>
      </c>
      <c r="F529" s="126">
        <v>104.1</v>
      </c>
      <c r="G529" s="126">
        <v>16</v>
      </c>
      <c r="I529" s="125">
        <f t="shared" si="8"/>
        <v>4</v>
      </c>
      <c r="J529" s="127">
        <v>2.14446</v>
      </c>
      <c r="M529" s="128"/>
    </row>
    <row r="530" spans="2:13">
      <c r="B530" s="116">
        <v>522</v>
      </c>
      <c r="C530" s="124" t="s">
        <v>683</v>
      </c>
      <c r="D530" s="116" t="s">
        <v>92</v>
      </c>
      <c r="E530" s="125">
        <v>46</v>
      </c>
      <c r="F530" s="126">
        <v>70.7</v>
      </c>
      <c r="G530" s="126">
        <v>7</v>
      </c>
      <c r="I530" s="125">
        <f t="shared" si="8"/>
        <v>3</v>
      </c>
      <c r="J530" s="127">
        <v>2.1068600000000002</v>
      </c>
      <c r="M530" s="128"/>
    </row>
    <row r="531" spans="2:13">
      <c r="B531" s="116">
        <v>523</v>
      </c>
      <c r="C531" s="124" t="s">
        <v>684</v>
      </c>
      <c r="D531" s="116" t="s">
        <v>86</v>
      </c>
      <c r="E531" s="125">
        <v>67</v>
      </c>
      <c r="F531" s="126">
        <v>77.900000000000006</v>
      </c>
      <c r="G531" s="126">
        <v>16</v>
      </c>
      <c r="I531" s="125">
        <f t="shared" si="8"/>
        <v>3</v>
      </c>
      <c r="J531" s="127">
        <v>3.1082100000000001</v>
      </c>
      <c r="M531" s="128"/>
    </row>
    <row r="532" spans="2:13">
      <c r="B532" s="116">
        <v>524</v>
      </c>
      <c r="C532" s="124" t="s">
        <v>685</v>
      </c>
      <c r="D532" s="116" t="s">
        <v>63</v>
      </c>
      <c r="E532" s="125">
        <v>59</v>
      </c>
      <c r="F532" s="126">
        <v>80.2</v>
      </c>
      <c r="G532" s="126">
        <v>14</v>
      </c>
      <c r="I532" s="125">
        <f t="shared" si="8"/>
        <v>3</v>
      </c>
      <c r="J532" s="127">
        <v>2.3418399999999999</v>
      </c>
      <c r="M532" s="128"/>
    </row>
    <row r="533" spans="2:13">
      <c r="B533" s="116">
        <v>525</v>
      </c>
      <c r="C533" s="124" t="s">
        <v>686</v>
      </c>
      <c r="D533" s="116" t="s">
        <v>65</v>
      </c>
      <c r="E533" s="125">
        <v>56</v>
      </c>
      <c r="F533" s="126">
        <v>59.8</v>
      </c>
      <c r="G533" s="126">
        <v>8</v>
      </c>
      <c r="I533" s="125">
        <f t="shared" si="8"/>
        <v>3</v>
      </c>
      <c r="J533" s="127">
        <v>1.7700800000000001</v>
      </c>
      <c r="M533" s="128"/>
    </row>
    <row r="534" spans="2:13">
      <c r="B534" s="116">
        <v>526</v>
      </c>
      <c r="C534" s="124" t="s">
        <v>687</v>
      </c>
      <c r="D534" s="116" t="s">
        <v>84</v>
      </c>
      <c r="E534" s="125">
        <v>61</v>
      </c>
      <c r="F534" s="126">
        <v>111</v>
      </c>
      <c r="G534" s="126">
        <v>22</v>
      </c>
      <c r="I534" s="125">
        <f t="shared" si="8"/>
        <v>4</v>
      </c>
      <c r="J534" s="127">
        <v>4.3511999999999995</v>
      </c>
      <c r="M534" s="128"/>
    </row>
    <row r="535" spans="2:13">
      <c r="B535" s="116">
        <v>527</v>
      </c>
      <c r="C535" s="124" t="s">
        <v>688</v>
      </c>
      <c r="D535" s="116" t="s">
        <v>84</v>
      </c>
      <c r="E535" s="125">
        <v>99</v>
      </c>
      <c r="F535" s="126">
        <v>104.5</v>
      </c>
      <c r="G535" s="126">
        <v>18</v>
      </c>
      <c r="I535" s="125">
        <f t="shared" si="8"/>
        <v>4</v>
      </c>
      <c r="J535" s="127">
        <v>2.9573499999999999</v>
      </c>
      <c r="M535" s="128"/>
    </row>
    <row r="536" spans="2:13">
      <c r="B536" s="116">
        <v>528</v>
      </c>
      <c r="C536" s="124" t="s">
        <v>689</v>
      </c>
      <c r="D536" s="116" t="s">
        <v>65</v>
      </c>
      <c r="E536" s="125">
        <v>96</v>
      </c>
      <c r="F536" s="126">
        <v>134</v>
      </c>
      <c r="G536" s="126">
        <v>21</v>
      </c>
      <c r="I536" s="125">
        <f t="shared" si="8"/>
        <v>4</v>
      </c>
      <c r="J536" s="127">
        <v>4.7703999999999995</v>
      </c>
      <c r="M536" s="128"/>
    </row>
    <row r="537" spans="2:13">
      <c r="B537" s="116">
        <v>529</v>
      </c>
      <c r="C537" s="124" t="s">
        <v>690</v>
      </c>
      <c r="D537" s="116" t="s">
        <v>86</v>
      </c>
      <c r="E537" s="125">
        <v>48</v>
      </c>
      <c r="F537" s="126">
        <v>72.2</v>
      </c>
      <c r="G537" s="126">
        <v>11</v>
      </c>
      <c r="I537" s="125">
        <f t="shared" si="8"/>
        <v>3</v>
      </c>
      <c r="J537" s="127">
        <v>1.96384</v>
      </c>
      <c r="M537" s="128"/>
    </row>
    <row r="538" spans="2:13">
      <c r="B538" s="116">
        <v>530</v>
      </c>
      <c r="C538" s="124" t="s">
        <v>691</v>
      </c>
      <c r="D538" s="116" t="s">
        <v>84</v>
      </c>
      <c r="E538" s="125">
        <v>69</v>
      </c>
      <c r="F538" s="126">
        <v>107.6</v>
      </c>
      <c r="G538" s="126">
        <v>11</v>
      </c>
      <c r="I538" s="125">
        <f t="shared" si="8"/>
        <v>4</v>
      </c>
      <c r="J538" s="127">
        <v>3.80904</v>
      </c>
      <c r="M538" s="128"/>
    </row>
    <row r="539" spans="2:13">
      <c r="B539" s="116">
        <v>531</v>
      </c>
      <c r="C539" s="124" t="s">
        <v>692</v>
      </c>
      <c r="D539" s="116" t="s">
        <v>65</v>
      </c>
      <c r="E539" s="125">
        <v>98</v>
      </c>
      <c r="F539" s="126">
        <v>100.4</v>
      </c>
      <c r="G539" s="126">
        <v>19</v>
      </c>
      <c r="I539" s="125">
        <f t="shared" si="8"/>
        <v>4</v>
      </c>
      <c r="J539" s="127">
        <v>3.9356800000000001</v>
      </c>
      <c r="M539" s="128"/>
    </row>
    <row r="540" spans="2:13">
      <c r="B540" s="116">
        <v>532</v>
      </c>
      <c r="C540" s="124" t="s">
        <v>693</v>
      </c>
      <c r="D540" s="116" t="s">
        <v>84</v>
      </c>
      <c r="E540" s="125">
        <v>56</v>
      </c>
      <c r="F540" s="126">
        <v>73.8</v>
      </c>
      <c r="G540" s="126">
        <v>15</v>
      </c>
      <c r="I540" s="125">
        <f t="shared" si="8"/>
        <v>3</v>
      </c>
      <c r="J540" s="127">
        <v>2.0295000000000001</v>
      </c>
      <c r="M540" s="128"/>
    </row>
    <row r="541" spans="2:13">
      <c r="B541" s="116">
        <v>533</v>
      </c>
      <c r="C541" s="124" t="s">
        <v>694</v>
      </c>
      <c r="D541" s="116" t="s">
        <v>66</v>
      </c>
      <c r="E541" s="125">
        <v>45</v>
      </c>
      <c r="F541" s="126">
        <v>62.1</v>
      </c>
      <c r="G541" s="126">
        <v>9</v>
      </c>
      <c r="I541" s="125">
        <f t="shared" si="8"/>
        <v>3</v>
      </c>
      <c r="J541" s="127">
        <v>2.1610800000000001</v>
      </c>
      <c r="M541" s="128"/>
    </row>
    <row r="542" spans="2:13">
      <c r="B542" s="116">
        <v>534</v>
      </c>
      <c r="C542" s="124" t="s">
        <v>695</v>
      </c>
      <c r="D542" s="116" t="s">
        <v>65</v>
      </c>
      <c r="E542" s="125">
        <v>95</v>
      </c>
      <c r="F542" s="126">
        <v>145.9</v>
      </c>
      <c r="G542" s="126">
        <v>23</v>
      </c>
      <c r="I542" s="125">
        <f t="shared" si="8"/>
        <v>5</v>
      </c>
      <c r="J542" s="127">
        <v>3.8517600000000001</v>
      </c>
      <c r="M542" s="128"/>
    </row>
    <row r="543" spans="2:13">
      <c r="B543" s="116">
        <v>535</v>
      </c>
      <c r="C543" s="124" t="s">
        <v>696</v>
      </c>
      <c r="D543" s="116" t="s">
        <v>63</v>
      </c>
      <c r="E543" s="125">
        <v>82</v>
      </c>
      <c r="F543" s="126">
        <v>130.19999999999999</v>
      </c>
      <c r="G543" s="126">
        <v>18</v>
      </c>
      <c r="I543" s="125">
        <f t="shared" si="8"/>
        <v>4</v>
      </c>
      <c r="J543" s="127">
        <v>4.5830399999999996</v>
      </c>
      <c r="M543" s="128"/>
    </row>
    <row r="544" spans="2:13">
      <c r="B544" s="116">
        <v>536</v>
      </c>
      <c r="C544" s="124" t="s">
        <v>697</v>
      </c>
      <c r="D544" s="116" t="s">
        <v>78</v>
      </c>
      <c r="E544" s="125">
        <v>88</v>
      </c>
      <c r="F544" s="126">
        <v>132</v>
      </c>
      <c r="G544" s="126">
        <v>18</v>
      </c>
      <c r="I544" s="125">
        <f t="shared" si="8"/>
        <v>4</v>
      </c>
      <c r="J544" s="127">
        <v>4.6859999999999999</v>
      </c>
      <c r="M544" s="128"/>
    </row>
    <row r="545" spans="2:13">
      <c r="B545" s="116">
        <v>537</v>
      </c>
      <c r="C545" s="124" t="s">
        <v>698</v>
      </c>
      <c r="D545" s="116" t="s">
        <v>78</v>
      </c>
      <c r="E545" s="125">
        <v>58</v>
      </c>
      <c r="F545" s="126">
        <v>104.1</v>
      </c>
      <c r="G545" s="126">
        <v>12</v>
      </c>
      <c r="I545" s="125">
        <f t="shared" si="8"/>
        <v>4</v>
      </c>
      <c r="J545" s="127">
        <v>3.2583299999999999</v>
      </c>
      <c r="M545" s="128"/>
    </row>
    <row r="546" spans="2:13">
      <c r="B546" s="116">
        <v>538</v>
      </c>
      <c r="C546" s="124" t="s">
        <v>699</v>
      </c>
      <c r="D546" s="116" t="s">
        <v>65</v>
      </c>
      <c r="E546" s="125">
        <v>51</v>
      </c>
      <c r="F546" s="126">
        <v>88.5</v>
      </c>
      <c r="G546" s="126">
        <v>12</v>
      </c>
      <c r="I546" s="125">
        <f t="shared" si="8"/>
        <v>3</v>
      </c>
      <c r="J546" s="127">
        <v>2.8143000000000002</v>
      </c>
      <c r="M546" s="128"/>
    </row>
    <row r="547" spans="2:13">
      <c r="B547" s="116">
        <v>539</v>
      </c>
      <c r="C547" s="124" t="s">
        <v>700</v>
      </c>
      <c r="D547" s="116" t="s">
        <v>63</v>
      </c>
      <c r="E547" s="125">
        <v>39</v>
      </c>
      <c r="F547" s="126">
        <v>76.400000000000006</v>
      </c>
      <c r="G547" s="126">
        <v>15</v>
      </c>
      <c r="I547" s="125">
        <f t="shared" si="8"/>
        <v>3</v>
      </c>
      <c r="J547" s="127">
        <v>2.6281600000000003</v>
      </c>
      <c r="M547" s="128"/>
    </row>
    <row r="548" spans="2:13">
      <c r="B548" s="116">
        <v>540</v>
      </c>
      <c r="C548" s="124" t="s">
        <v>701</v>
      </c>
      <c r="D548" s="116" t="s">
        <v>63</v>
      </c>
      <c r="E548" s="125">
        <v>87</v>
      </c>
      <c r="F548" s="126">
        <v>164.4</v>
      </c>
      <c r="G548" s="126">
        <v>21</v>
      </c>
      <c r="I548" s="125">
        <f t="shared" si="8"/>
        <v>5</v>
      </c>
      <c r="J548" s="127">
        <v>5.5567199999999994</v>
      </c>
      <c r="M548" s="128"/>
    </row>
    <row r="549" spans="2:13">
      <c r="B549" s="116">
        <v>541</v>
      </c>
      <c r="C549" s="124" t="s">
        <v>702</v>
      </c>
      <c r="D549" s="116" t="s">
        <v>65</v>
      </c>
      <c r="E549" s="125">
        <v>53</v>
      </c>
      <c r="F549" s="126">
        <v>81.5</v>
      </c>
      <c r="G549" s="126">
        <v>9</v>
      </c>
      <c r="I549" s="125">
        <f t="shared" si="8"/>
        <v>3</v>
      </c>
      <c r="J549" s="127">
        <v>2.4939</v>
      </c>
      <c r="M549" s="128"/>
    </row>
    <row r="550" spans="2:13">
      <c r="B550" s="116">
        <v>542</v>
      </c>
      <c r="C550" s="124" t="s">
        <v>703</v>
      </c>
      <c r="D550" s="116" t="s">
        <v>86</v>
      </c>
      <c r="E550" s="125">
        <v>68</v>
      </c>
      <c r="F550" s="126">
        <v>133.30000000000001</v>
      </c>
      <c r="G550" s="126">
        <v>15</v>
      </c>
      <c r="I550" s="125">
        <f t="shared" si="8"/>
        <v>4</v>
      </c>
      <c r="J550" s="127">
        <v>3.8523700000000001</v>
      </c>
      <c r="M550" s="128"/>
    </row>
    <row r="551" spans="2:13">
      <c r="B551" s="116">
        <v>543</v>
      </c>
      <c r="C551" s="124" t="s">
        <v>704</v>
      </c>
      <c r="D551" s="116" t="s">
        <v>65</v>
      </c>
      <c r="E551" s="125">
        <v>97</v>
      </c>
      <c r="F551" s="126">
        <v>118.9</v>
      </c>
      <c r="G551" s="126">
        <v>20</v>
      </c>
      <c r="I551" s="125">
        <f t="shared" si="8"/>
        <v>4</v>
      </c>
      <c r="J551" s="127">
        <v>3.3054199999999998</v>
      </c>
      <c r="M551" s="128"/>
    </row>
    <row r="552" spans="2:13">
      <c r="B552" s="116">
        <v>544</v>
      </c>
      <c r="C552" s="124" t="s">
        <v>705</v>
      </c>
      <c r="D552" s="116" t="s">
        <v>84</v>
      </c>
      <c r="E552" s="125">
        <v>43</v>
      </c>
      <c r="F552" s="126">
        <v>57.1</v>
      </c>
      <c r="G552" s="126">
        <v>11</v>
      </c>
      <c r="I552" s="125">
        <f t="shared" si="8"/>
        <v>3</v>
      </c>
      <c r="J552" s="127">
        <v>1.3589800000000001</v>
      </c>
      <c r="M552" s="128"/>
    </row>
    <row r="553" spans="2:13">
      <c r="B553" s="116">
        <v>545</v>
      </c>
      <c r="C553" s="124" t="s">
        <v>706</v>
      </c>
      <c r="D553" s="116" t="s">
        <v>65</v>
      </c>
      <c r="E553" s="125">
        <v>60</v>
      </c>
      <c r="F553" s="126">
        <v>92.8</v>
      </c>
      <c r="G553" s="126">
        <v>13</v>
      </c>
      <c r="I553" s="125">
        <f t="shared" si="8"/>
        <v>3</v>
      </c>
      <c r="J553" s="127">
        <v>3.21088</v>
      </c>
      <c r="M553" s="128"/>
    </row>
    <row r="554" spans="2:13">
      <c r="B554" s="116">
        <v>546</v>
      </c>
      <c r="C554" s="124" t="s">
        <v>707</v>
      </c>
      <c r="D554" s="116" t="s">
        <v>65</v>
      </c>
      <c r="E554" s="125">
        <v>85</v>
      </c>
      <c r="F554" s="126">
        <v>163.30000000000001</v>
      </c>
      <c r="G554" s="126">
        <v>26</v>
      </c>
      <c r="I554" s="125">
        <f t="shared" si="8"/>
        <v>5</v>
      </c>
      <c r="J554" s="127">
        <v>4.6703800000000006</v>
      </c>
      <c r="M554" s="128"/>
    </row>
    <row r="555" spans="2:13">
      <c r="B555" s="116">
        <v>547</v>
      </c>
      <c r="C555" s="124" t="s">
        <v>708</v>
      </c>
      <c r="D555" s="116" t="s">
        <v>78</v>
      </c>
      <c r="E555" s="125">
        <v>90</v>
      </c>
      <c r="F555" s="126">
        <v>103.7</v>
      </c>
      <c r="G555" s="126">
        <v>19</v>
      </c>
      <c r="I555" s="125">
        <f t="shared" si="8"/>
        <v>4</v>
      </c>
      <c r="J555" s="127">
        <v>2.2814000000000001</v>
      </c>
      <c r="M555" s="128"/>
    </row>
    <row r="556" spans="2:13">
      <c r="B556" s="116">
        <v>548</v>
      </c>
      <c r="C556" s="124" t="s">
        <v>709</v>
      </c>
      <c r="D556" s="116" t="s">
        <v>65</v>
      </c>
      <c r="E556" s="125">
        <v>88</v>
      </c>
      <c r="F556" s="126">
        <v>148.9</v>
      </c>
      <c r="G556" s="126">
        <v>25</v>
      </c>
      <c r="I556" s="125">
        <f t="shared" si="8"/>
        <v>5</v>
      </c>
      <c r="J556" s="127">
        <v>5.1966100000000006</v>
      </c>
      <c r="M556" s="128"/>
    </row>
    <row r="557" spans="2:13">
      <c r="B557" s="116">
        <v>549</v>
      </c>
      <c r="C557" s="124" t="s">
        <v>710</v>
      </c>
      <c r="D557" s="116" t="s">
        <v>86</v>
      </c>
      <c r="E557" s="125">
        <v>78</v>
      </c>
      <c r="F557" s="126">
        <v>130.80000000000001</v>
      </c>
      <c r="G557" s="126">
        <v>13</v>
      </c>
      <c r="I557" s="125">
        <f t="shared" si="8"/>
        <v>4</v>
      </c>
      <c r="J557" s="127">
        <v>4.6433999999999997</v>
      </c>
      <c r="M557" s="128"/>
    </row>
    <row r="558" spans="2:13">
      <c r="B558" s="116">
        <v>550</v>
      </c>
      <c r="C558" s="124" t="s">
        <v>711</v>
      </c>
      <c r="D558" s="116" t="s">
        <v>84</v>
      </c>
      <c r="E558" s="125">
        <v>67</v>
      </c>
      <c r="F558" s="126">
        <v>69.599999999999994</v>
      </c>
      <c r="G558" s="126">
        <v>14</v>
      </c>
      <c r="I558" s="125">
        <f t="shared" si="8"/>
        <v>3</v>
      </c>
      <c r="J558" s="127">
        <v>1.8722399999999999</v>
      </c>
      <c r="M558" s="128"/>
    </row>
    <row r="559" spans="2:13">
      <c r="B559" s="116">
        <v>551</v>
      </c>
      <c r="C559" s="124" t="s">
        <v>712</v>
      </c>
      <c r="D559" s="116" t="s">
        <v>65</v>
      </c>
      <c r="E559" s="125">
        <v>51</v>
      </c>
      <c r="F559" s="126">
        <v>53.7</v>
      </c>
      <c r="G559" s="126">
        <v>8</v>
      </c>
      <c r="I559" s="125">
        <f t="shared" si="8"/>
        <v>3</v>
      </c>
      <c r="J559" s="127">
        <v>1.6485900000000002</v>
      </c>
      <c r="M559" s="128"/>
    </row>
    <row r="560" spans="2:13">
      <c r="B560" s="116">
        <v>552</v>
      </c>
      <c r="C560" s="124" t="s">
        <v>713</v>
      </c>
      <c r="D560" s="116" t="s">
        <v>86</v>
      </c>
      <c r="E560" s="125">
        <v>98</v>
      </c>
      <c r="F560" s="126">
        <v>126</v>
      </c>
      <c r="G560" s="126">
        <v>25</v>
      </c>
      <c r="I560" s="125">
        <f t="shared" si="8"/>
        <v>4</v>
      </c>
      <c r="J560" s="127">
        <v>3.6540000000000004</v>
      </c>
      <c r="M560" s="128"/>
    </row>
    <row r="561" spans="2:13">
      <c r="B561" s="116">
        <v>553</v>
      </c>
      <c r="C561" s="124" t="s">
        <v>714</v>
      </c>
      <c r="D561" s="116" t="s">
        <v>86</v>
      </c>
      <c r="E561" s="125">
        <v>95</v>
      </c>
      <c r="F561" s="126">
        <v>129.80000000000001</v>
      </c>
      <c r="G561" s="126">
        <v>18</v>
      </c>
      <c r="I561" s="125">
        <f t="shared" si="8"/>
        <v>4</v>
      </c>
      <c r="J561" s="127">
        <v>4.6598200000000007</v>
      </c>
      <c r="M561" s="128"/>
    </row>
    <row r="562" spans="2:13">
      <c r="B562" s="116">
        <v>554</v>
      </c>
      <c r="C562" s="124" t="s">
        <v>715</v>
      </c>
      <c r="D562" s="116" t="s">
        <v>86</v>
      </c>
      <c r="E562" s="125">
        <v>67</v>
      </c>
      <c r="F562" s="126">
        <v>74.900000000000006</v>
      </c>
      <c r="G562" s="126">
        <v>9</v>
      </c>
      <c r="I562" s="125">
        <f t="shared" si="8"/>
        <v>3</v>
      </c>
      <c r="J562" s="127">
        <v>2.9660400000000005</v>
      </c>
      <c r="M562" s="128"/>
    </row>
    <row r="563" spans="2:13">
      <c r="B563" s="116">
        <v>555</v>
      </c>
      <c r="C563" s="124" t="s">
        <v>716</v>
      </c>
      <c r="D563" s="116" t="s">
        <v>84</v>
      </c>
      <c r="E563" s="125">
        <v>92</v>
      </c>
      <c r="F563" s="126">
        <v>109.2</v>
      </c>
      <c r="G563" s="126">
        <v>17</v>
      </c>
      <c r="I563" s="125">
        <f t="shared" si="8"/>
        <v>4</v>
      </c>
      <c r="J563" s="127">
        <v>2.4133200000000001</v>
      </c>
      <c r="M563" s="128"/>
    </row>
    <row r="564" spans="2:13">
      <c r="B564" s="116">
        <v>556</v>
      </c>
      <c r="C564" s="124" t="s">
        <v>717</v>
      </c>
      <c r="D564" s="116" t="s">
        <v>84</v>
      </c>
      <c r="E564" s="125">
        <v>71</v>
      </c>
      <c r="F564" s="126">
        <v>110.5</v>
      </c>
      <c r="G564" s="126">
        <v>13</v>
      </c>
      <c r="I564" s="125">
        <f t="shared" si="8"/>
        <v>4</v>
      </c>
      <c r="J564" s="127">
        <v>3.9669500000000002</v>
      </c>
      <c r="M564" s="128"/>
    </row>
    <row r="565" spans="2:13">
      <c r="B565" s="116">
        <v>557</v>
      </c>
      <c r="C565" s="124" t="s">
        <v>718</v>
      </c>
      <c r="D565" s="116" t="s">
        <v>65</v>
      </c>
      <c r="E565" s="125">
        <v>59</v>
      </c>
      <c r="F565" s="126">
        <v>74.8</v>
      </c>
      <c r="G565" s="126">
        <v>13</v>
      </c>
      <c r="I565" s="125">
        <f t="shared" si="8"/>
        <v>3</v>
      </c>
      <c r="J565" s="127">
        <v>2.4609199999999998</v>
      </c>
      <c r="M565" s="128"/>
    </row>
    <row r="566" spans="2:13">
      <c r="B566" s="116">
        <v>558</v>
      </c>
      <c r="C566" s="124" t="s">
        <v>719</v>
      </c>
      <c r="D566" s="116" t="s">
        <v>86</v>
      </c>
      <c r="E566" s="125">
        <v>91</v>
      </c>
      <c r="F566" s="126">
        <v>100.1</v>
      </c>
      <c r="G566" s="126">
        <v>14</v>
      </c>
      <c r="I566" s="125">
        <f t="shared" si="8"/>
        <v>4</v>
      </c>
      <c r="J566" s="127">
        <v>2.3323299999999998</v>
      </c>
      <c r="M566" s="128"/>
    </row>
    <row r="567" spans="2:13">
      <c r="B567" s="116">
        <v>559</v>
      </c>
      <c r="C567" s="124" t="s">
        <v>720</v>
      </c>
      <c r="D567" s="116" t="s">
        <v>86</v>
      </c>
      <c r="E567" s="125">
        <v>79</v>
      </c>
      <c r="F567" s="126">
        <v>122.9</v>
      </c>
      <c r="G567" s="126">
        <v>18</v>
      </c>
      <c r="I567" s="125">
        <f t="shared" si="8"/>
        <v>4</v>
      </c>
      <c r="J567" s="127">
        <v>4.87913</v>
      </c>
      <c r="M567" s="128"/>
    </row>
    <row r="568" spans="2:13">
      <c r="B568" s="116">
        <v>560</v>
      </c>
      <c r="C568" s="124" t="s">
        <v>721</v>
      </c>
      <c r="D568" s="116" t="s">
        <v>63</v>
      </c>
      <c r="E568" s="125">
        <v>67</v>
      </c>
      <c r="F568" s="126">
        <v>70.099999999999994</v>
      </c>
      <c r="G568" s="126">
        <v>11</v>
      </c>
      <c r="I568" s="125">
        <f t="shared" si="8"/>
        <v>3</v>
      </c>
      <c r="J568" s="127">
        <v>2.0819700000000001</v>
      </c>
      <c r="M568" s="128"/>
    </row>
    <row r="569" spans="2:13">
      <c r="B569" s="116">
        <v>561</v>
      </c>
      <c r="C569" s="124" t="s">
        <v>722</v>
      </c>
      <c r="D569" s="116" t="s">
        <v>65</v>
      </c>
      <c r="E569" s="125">
        <v>98</v>
      </c>
      <c r="F569" s="126">
        <v>126.5</v>
      </c>
      <c r="G569" s="126">
        <v>16</v>
      </c>
      <c r="I569" s="125">
        <f t="shared" si="8"/>
        <v>4</v>
      </c>
      <c r="J569" s="127">
        <v>2.7324000000000002</v>
      </c>
      <c r="M569" s="128"/>
    </row>
    <row r="570" spans="2:13">
      <c r="B570" s="116">
        <v>562</v>
      </c>
      <c r="C570" s="124" t="s">
        <v>723</v>
      </c>
      <c r="D570" s="116" t="s">
        <v>63</v>
      </c>
      <c r="E570" s="125">
        <v>75</v>
      </c>
      <c r="F570" s="126">
        <v>121.7</v>
      </c>
      <c r="G570" s="126">
        <v>15</v>
      </c>
      <c r="I570" s="125">
        <f t="shared" si="8"/>
        <v>4</v>
      </c>
      <c r="J570" s="127">
        <v>2.47051</v>
      </c>
      <c r="M570" s="128"/>
    </row>
    <row r="571" spans="2:13">
      <c r="B571" s="116">
        <v>563</v>
      </c>
      <c r="C571" s="124" t="s">
        <v>724</v>
      </c>
      <c r="D571" s="116" t="s">
        <v>84</v>
      </c>
      <c r="E571" s="125">
        <v>82</v>
      </c>
      <c r="F571" s="126">
        <v>117.9</v>
      </c>
      <c r="G571" s="126">
        <v>12</v>
      </c>
      <c r="I571" s="125">
        <f t="shared" si="8"/>
        <v>4</v>
      </c>
      <c r="J571" s="127">
        <v>3.99681</v>
      </c>
      <c r="M571" s="128"/>
    </row>
    <row r="572" spans="2:13">
      <c r="B572" s="116">
        <v>564</v>
      </c>
      <c r="C572" s="124" t="s">
        <v>725</v>
      </c>
      <c r="D572" s="116" t="s">
        <v>86</v>
      </c>
      <c r="E572" s="125">
        <v>48</v>
      </c>
      <c r="F572" s="126">
        <v>84.3</v>
      </c>
      <c r="G572" s="126">
        <v>13</v>
      </c>
      <c r="I572" s="125">
        <f t="shared" si="8"/>
        <v>3</v>
      </c>
      <c r="J572" s="127">
        <v>1.8967499999999999</v>
      </c>
      <c r="M572" s="128"/>
    </row>
    <row r="573" spans="2:13">
      <c r="B573" s="116">
        <v>565</v>
      </c>
      <c r="C573" s="124" t="s">
        <v>726</v>
      </c>
      <c r="D573" s="116" t="s">
        <v>84</v>
      </c>
      <c r="E573" s="125">
        <v>44</v>
      </c>
      <c r="F573" s="126">
        <v>78.900000000000006</v>
      </c>
      <c r="G573" s="126">
        <v>15</v>
      </c>
      <c r="I573" s="125">
        <f t="shared" si="8"/>
        <v>3</v>
      </c>
      <c r="J573" s="127">
        <v>3.0771000000000002</v>
      </c>
      <c r="M573" s="128"/>
    </row>
    <row r="574" spans="2:13">
      <c r="B574" s="116">
        <v>566</v>
      </c>
      <c r="C574" s="124" t="s">
        <v>727</v>
      </c>
      <c r="D574" s="116" t="s">
        <v>86</v>
      </c>
      <c r="E574" s="125">
        <v>90</v>
      </c>
      <c r="F574" s="126">
        <v>150.80000000000001</v>
      </c>
      <c r="G574" s="126">
        <v>27</v>
      </c>
      <c r="I574" s="125">
        <f t="shared" si="8"/>
        <v>5</v>
      </c>
      <c r="J574" s="127">
        <v>3.1668000000000003</v>
      </c>
      <c r="M574" s="128"/>
    </row>
    <row r="575" spans="2:13">
      <c r="B575" s="116">
        <v>567</v>
      </c>
      <c r="C575" s="124" t="s">
        <v>728</v>
      </c>
      <c r="D575" s="116" t="s">
        <v>84</v>
      </c>
      <c r="E575" s="125">
        <v>38</v>
      </c>
      <c r="F575" s="126">
        <v>71</v>
      </c>
      <c r="G575" s="126">
        <v>9</v>
      </c>
      <c r="I575" s="125">
        <f t="shared" si="8"/>
        <v>3</v>
      </c>
      <c r="J575" s="127">
        <v>1.5691000000000002</v>
      </c>
      <c r="M575" s="128"/>
    </row>
    <row r="576" spans="2:13">
      <c r="B576" s="116">
        <v>568</v>
      </c>
      <c r="C576" s="124" t="s">
        <v>729</v>
      </c>
      <c r="D576" s="116" t="s">
        <v>65</v>
      </c>
      <c r="E576" s="125">
        <v>73</v>
      </c>
      <c r="F576" s="126">
        <v>99.6</v>
      </c>
      <c r="G576" s="126">
        <v>16</v>
      </c>
      <c r="I576" s="125">
        <f t="shared" si="8"/>
        <v>3</v>
      </c>
      <c r="J576" s="127">
        <v>3.2170800000000002</v>
      </c>
      <c r="M576" s="128"/>
    </row>
    <row r="577" spans="2:13">
      <c r="B577" s="116">
        <v>569</v>
      </c>
      <c r="C577" s="124" t="s">
        <v>730</v>
      </c>
      <c r="D577" s="116" t="s">
        <v>86</v>
      </c>
      <c r="E577" s="125">
        <v>58</v>
      </c>
      <c r="F577" s="126">
        <v>101.4</v>
      </c>
      <c r="G577" s="126">
        <v>18</v>
      </c>
      <c r="I577" s="125">
        <f t="shared" si="8"/>
        <v>4</v>
      </c>
      <c r="J577" s="127">
        <v>3.2245200000000005</v>
      </c>
      <c r="M577" s="128"/>
    </row>
    <row r="578" spans="2:13">
      <c r="B578" s="116">
        <v>570</v>
      </c>
      <c r="C578" s="124" t="s">
        <v>731</v>
      </c>
      <c r="D578" s="116" t="s">
        <v>65</v>
      </c>
      <c r="E578" s="125">
        <v>64</v>
      </c>
      <c r="F578" s="126">
        <v>94.8</v>
      </c>
      <c r="G578" s="126">
        <v>15</v>
      </c>
      <c r="I578" s="125">
        <f t="shared" si="8"/>
        <v>3</v>
      </c>
      <c r="J578" s="127">
        <v>2.9861999999999997</v>
      </c>
      <c r="M578" s="128"/>
    </row>
    <row r="579" spans="2:13">
      <c r="B579" s="116">
        <v>571</v>
      </c>
      <c r="C579" s="124" t="s">
        <v>732</v>
      </c>
      <c r="D579" s="116" t="s">
        <v>86</v>
      </c>
      <c r="E579" s="125">
        <v>75</v>
      </c>
      <c r="F579" s="126">
        <v>94.9</v>
      </c>
      <c r="G579" s="126">
        <v>11</v>
      </c>
      <c r="I579" s="125">
        <f t="shared" si="8"/>
        <v>3</v>
      </c>
      <c r="J579" s="127">
        <v>3.6536500000000003</v>
      </c>
      <c r="M579" s="128"/>
    </row>
    <row r="580" spans="2:13">
      <c r="B580" s="116">
        <v>572</v>
      </c>
      <c r="C580" s="124" t="s">
        <v>733</v>
      </c>
      <c r="D580" s="116" t="s">
        <v>65</v>
      </c>
      <c r="E580" s="125">
        <v>52</v>
      </c>
      <c r="F580" s="126">
        <v>77.900000000000006</v>
      </c>
      <c r="G580" s="126">
        <v>12</v>
      </c>
      <c r="I580" s="125">
        <f t="shared" si="8"/>
        <v>3</v>
      </c>
      <c r="J580" s="127">
        <v>2.7810300000000003</v>
      </c>
      <c r="M580" s="128"/>
    </row>
    <row r="581" spans="2:13">
      <c r="B581" s="116">
        <v>573</v>
      </c>
      <c r="C581" s="124" t="s">
        <v>734</v>
      </c>
      <c r="D581" s="116" t="s">
        <v>55</v>
      </c>
      <c r="E581" s="125">
        <v>79</v>
      </c>
      <c r="F581" s="126">
        <v>124.7</v>
      </c>
      <c r="G581" s="126">
        <v>17</v>
      </c>
      <c r="I581" s="125">
        <f t="shared" si="8"/>
        <v>4</v>
      </c>
      <c r="J581" s="127">
        <v>2.7184599999999999</v>
      </c>
      <c r="M581" s="128"/>
    </row>
    <row r="582" spans="2:13">
      <c r="B582" s="116">
        <v>574</v>
      </c>
      <c r="C582" s="124" t="s">
        <v>735</v>
      </c>
      <c r="D582" s="116" t="s">
        <v>86</v>
      </c>
      <c r="E582" s="125">
        <v>83</v>
      </c>
      <c r="F582" s="126">
        <v>112.1</v>
      </c>
      <c r="G582" s="126">
        <v>17</v>
      </c>
      <c r="I582" s="125">
        <f t="shared" si="8"/>
        <v>4</v>
      </c>
      <c r="J582" s="127">
        <v>3.4414699999999998</v>
      </c>
      <c r="M582" s="128"/>
    </row>
    <row r="583" spans="2:13">
      <c r="B583" s="116">
        <v>575</v>
      </c>
      <c r="C583" s="124" t="s">
        <v>736</v>
      </c>
      <c r="D583" s="116" t="s">
        <v>86</v>
      </c>
      <c r="E583" s="125">
        <v>94</v>
      </c>
      <c r="F583" s="126">
        <v>166.5</v>
      </c>
      <c r="G583" s="126">
        <v>27</v>
      </c>
      <c r="I583" s="125">
        <f t="shared" si="8"/>
        <v>5</v>
      </c>
      <c r="J583" s="127">
        <v>4.4455499999999999</v>
      </c>
      <c r="M583" s="128"/>
    </row>
    <row r="584" spans="2:13">
      <c r="B584" s="116">
        <v>576</v>
      </c>
      <c r="C584" s="124" t="s">
        <v>737</v>
      </c>
      <c r="D584" s="116" t="s">
        <v>78</v>
      </c>
      <c r="E584" s="125">
        <v>37</v>
      </c>
      <c r="F584" s="126">
        <v>56.5</v>
      </c>
      <c r="G584" s="126">
        <v>10</v>
      </c>
      <c r="I584" s="125">
        <f t="shared" si="8"/>
        <v>3</v>
      </c>
      <c r="J584" s="127">
        <v>1.6159000000000001</v>
      </c>
      <c r="M584" s="128"/>
    </row>
    <row r="585" spans="2:13">
      <c r="B585" s="116">
        <v>577</v>
      </c>
      <c r="C585" s="124" t="s">
        <v>738</v>
      </c>
      <c r="D585" s="116" t="s">
        <v>86</v>
      </c>
      <c r="E585" s="125">
        <v>100</v>
      </c>
      <c r="F585" s="126">
        <v>171.2</v>
      </c>
      <c r="G585" s="126">
        <v>33</v>
      </c>
      <c r="I585" s="125">
        <f t="shared" ref="I585:I648" si="9">IF(F585&lt;=100,3,IF(F585&lt;=140,4,IF(F585&lt;=175,5,6)))</f>
        <v>5</v>
      </c>
      <c r="J585" s="127">
        <v>5.2044799999999993</v>
      </c>
      <c r="M585" s="128"/>
    </row>
    <row r="586" spans="2:13">
      <c r="B586" s="116">
        <v>578</v>
      </c>
      <c r="C586" s="124" t="s">
        <v>739</v>
      </c>
      <c r="D586" s="116" t="s">
        <v>84</v>
      </c>
      <c r="E586" s="125">
        <v>46</v>
      </c>
      <c r="F586" s="126">
        <v>81.3</v>
      </c>
      <c r="G586" s="126">
        <v>14</v>
      </c>
      <c r="I586" s="125">
        <f t="shared" si="9"/>
        <v>3</v>
      </c>
      <c r="J586" s="127">
        <v>1.7479499999999999</v>
      </c>
      <c r="M586" s="128"/>
    </row>
    <row r="587" spans="2:13">
      <c r="B587" s="116">
        <v>579</v>
      </c>
      <c r="C587" s="124" t="s">
        <v>740</v>
      </c>
      <c r="D587" s="116" t="s">
        <v>70</v>
      </c>
      <c r="E587" s="125">
        <v>46</v>
      </c>
      <c r="F587" s="126">
        <v>72.599999999999994</v>
      </c>
      <c r="G587" s="126">
        <v>14</v>
      </c>
      <c r="I587" s="125">
        <f t="shared" si="9"/>
        <v>3</v>
      </c>
      <c r="J587" s="127">
        <v>2.0690999999999997</v>
      </c>
      <c r="M587" s="128"/>
    </row>
    <row r="588" spans="2:13">
      <c r="B588" s="116">
        <v>580</v>
      </c>
      <c r="C588" s="124" t="s">
        <v>741</v>
      </c>
      <c r="D588" s="116" t="s">
        <v>84</v>
      </c>
      <c r="E588" s="125">
        <v>55</v>
      </c>
      <c r="F588" s="126">
        <v>100.4</v>
      </c>
      <c r="G588" s="126">
        <v>17</v>
      </c>
      <c r="I588" s="125">
        <f t="shared" si="9"/>
        <v>4</v>
      </c>
      <c r="J588" s="127">
        <v>3.5541600000000004</v>
      </c>
      <c r="M588" s="128"/>
    </row>
    <row r="589" spans="2:13">
      <c r="B589" s="116">
        <v>581</v>
      </c>
      <c r="C589" s="124" t="s">
        <v>742</v>
      </c>
      <c r="D589" s="116" t="s">
        <v>65</v>
      </c>
      <c r="E589" s="125">
        <v>94</v>
      </c>
      <c r="F589" s="126">
        <v>122.8</v>
      </c>
      <c r="G589" s="126">
        <v>20</v>
      </c>
      <c r="I589" s="125">
        <f t="shared" si="9"/>
        <v>4</v>
      </c>
      <c r="J589" s="127">
        <v>3.5366399999999998</v>
      </c>
      <c r="M589" s="128"/>
    </row>
    <row r="590" spans="2:13">
      <c r="B590" s="116">
        <v>582</v>
      </c>
      <c r="C590" s="124" t="s">
        <v>743</v>
      </c>
      <c r="D590" s="116" t="s">
        <v>84</v>
      </c>
      <c r="E590" s="125">
        <v>35</v>
      </c>
      <c r="F590" s="126">
        <v>42.6</v>
      </c>
      <c r="G590" s="126">
        <v>6</v>
      </c>
      <c r="I590" s="125">
        <f t="shared" si="9"/>
        <v>3</v>
      </c>
      <c r="J590" s="127">
        <v>1.5719400000000001</v>
      </c>
      <c r="M590" s="128"/>
    </row>
    <row r="591" spans="2:13">
      <c r="B591" s="116">
        <v>583</v>
      </c>
      <c r="C591" s="124" t="s">
        <v>744</v>
      </c>
      <c r="D591" s="116" t="s">
        <v>65</v>
      </c>
      <c r="E591" s="125">
        <v>35</v>
      </c>
      <c r="F591" s="126">
        <v>47.5</v>
      </c>
      <c r="G591" s="126">
        <v>8</v>
      </c>
      <c r="I591" s="125">
        <f t="shared" si="9"/>
        <v>3</v>
      </c>
      <c r="J591" s="127">
        <v>1.3109999999999999</v>
      </c>
      <c r="M591" s="128"/>
    </row>
    <row r="592" spans="2:13">
      <c r="B592" s="116">
        <v>584</v>
      </c>
      <c r="C592" s="124" t="s">
        <v>745</v>
      </c>
      <c r="D592" s="116" t="s">
        <v>84</v>
      </c>
      <c r="E592" s="125">
        <v>65</v>
      </c>
      <c r="F592" s="126">
        <v>96.1</v>
      </c>
      <c r="G592" s="126">
        <v>19</v>
      </c>
      <c r="I592" s="125">
        <f t="shared" si="9"/>
        <v>3</v>
      </c>
      <c r="J592" s="127">
        <v>3.1136399999999997</v>
      </c>
      <c r="M592" s="128"/>
    </row>
    <row r="593" spans="2:13">
      <c r="B593" s="116">
        <v>585</v>
      </c>
      <c r="C593" s="124" t="s">
        <v>746</v>
      </c>
      <c r="D593" s="116" t="s">
        <v>92</v>
      </c>
      <c r="E593" s="125">
        <v>62</v>
      </c>
      <c r="F593" s="126">
        <v>81.900000000000006</v>
      </c>
      <c r="G593" s="126">
        <v>12</v>
      </c>
      <c r="I593" s="125">
        <f t="shared" si="9"/>
        <v>3</v>
      </c>
      <c r="J593" s="127">
        <v>3.1203900000000004</v>
      </c>
      <c r="M593" s="128"/>
    </row>
    <row r="594" spans="2:13">
      <c r="B594" s="116">
        <v>586</v>
      </c>
      <c r="C594" s="124" t="s">
        <v>747</v>
      </c>
      <c r="D594" s="116" t="s">
        <v>65</v>
      </c>
      <c r="E594" s="125">
        <v>58</v>
      </c>
      <c r="F594" s="126">
        <v>81.5</v>
      </c>
      <c r="G594" s="126">
        <v>11</v>
      </c>
      <c r="I594" s="125">
        <f t="shared" si="9"/>
        <v>3</v>
      </c>
      <c r="J594" s="127">
        <v>3.1295999999999999</v>
      </c>
      <c r="M594" s="128"/>
    </row>
    <row r="595" spans="2:13">
      <c r="B595" s="116">
        <v>587</v>
      </c>
      <c r="C595" s="124" t="s">
        <v>748</v>
      </c>
      <c r="D595" s="116" t="s">
        <v>65</v>
      </c>
      <c r="E595" s="125">
        <v>63</v>
      </c>
      <c r="F595" s="126">
        <v>64.7</v>
      </c>
      <c r="G595" s="126">
        <v>10</v>
      </c>
      <c r="I595" s="125">
        <f t="shared" si="9"/>
        <v>3</v>
      </c>
      <c r="J595" s="127">
        <v>2.5362399999999998</v>
      </c>
      <c r="M595" s="128"/>
    </row>
    <row r="596" spans="2:13">
      <c r="B596" s="116">
        <v>588</v>
      </c>
      <c r="C596" s="124" t="s">
        <v>749</v>
      </c>
      <c r="D596" s="116" t="s">
        <v>88</v>
      </c>
      <c r="E596" s="125">
        <v>61</v>
      </c>
      <c r="F596" s="126">
        <v>118.6</v>
      </c>
      <c r="G596" s="126">
        <v>12</v>
      </c>
      <c r="I596" s="125">
        <f t="shared" si="9"/>
        <v>4</v>
      </c>
      <c r="J596" s="127">
        <v>4.0086799999999991</v>
      </c>
      <c r="M596" s="128"/>
    </row>
    <row r="597" spans="2:13">
      <c r="B597" s="116">
        <v>589</v>
      </c>
      <c r="C597" s="124" t="s">
        <v>750</v>
      </c>
      <c r="D597" s="116" t="s">
        <v>51</v>
      </c>
      <c r="E597" s="125">
        <v>66</v>
      </c>
      <c r="F597" s="126">
        <v>100.9</v>
      </c>
      <c r="G597" s="126">
        <v>10</v>
      </c>
      <c r="I597" s="125">
        <f t="shared" si="9"/>
        <v>4</v>
      </c>
      <c r="J597" s="127">
        <v>2.5830400000000004</v>
      </c>
      <c r="M597" s="128"/>
    </row>
    <row r="598" spans="2:13">
      <c r="B598" s="116">
        <v>590</v>
      </c>
      <c r="C598" s="124" t="s">
        <v>751</v>
      </c>
      <c r="D598" s="116" t="s">
        <v>65</v>
      </c>
      <c r="E598" s="125">
        <v>65</v>
      </c>
      <c r="F598" s="126">
        <v>102.3</v>
      </c>
      <c r="G598" s="126">
        <v>11</v>
      </c>
      <c r="I598" s="125">
        <f t="shared" si="9"/>
        <v>4</v>
      </c>
      <c r="J598" s="127">
        <v>2.1482999999999999</v>
      </c>
      <c r="M598" s="128"/>
    </row>
    <row r="599" spans="2:13">
      <c r="B599" s="116">
        <v>591</v>
      </c>
      <c r="C599" s="124" t="s">
        <v>752</v>
      </c>
      <c r="D599" s="116" t="s">
        <v>78</v>
      </c>
      <c r="E599" s="125">
        <v>64</v>
      </c>
      <c r="F599" s="126">
        <v>69.3</v>
      </c>
      <c r="G599" s="126">
        <v>13</v>
      </c>
      <c r="I599" s="125">
        <f t="shared" si="9"/>
        <v>3</v>
      </c>
      <c r="J599" s="127">
        <v>2.2938299999999998</v>
      </c>
      <c r="M599" s="128"/>
    </row>
    <row r="600" spans="2:13">
      <c r="B600" s="116">
        <v>592</v>
      </c>
      <c r="C600" s="124" t="s">
        <v>753</v>
      </c>
      <c r="D600" s="116" t="s">
        <v>84</v>
      </c>
      <c r="E600" s="125">
        <v>81</v>
      </c>
      <c r="F600" s="126">
        <v>117.4</v>
      </c>
      <c r="G600" s="126">
        <v>21</v>
      </c>
      <c r="I600" s="125">
        <f t="shared" si="9"/>
        <v>4</v>
      </c>
      <c r="J600" s="127">
        <v>3.0641400000000005</v>
      </c>
      <c r="M600" s="128"/>
    </row>
    <row r="601" spans="2:13">
      <c r="B601" s="116">
        <v>593</v>
      </c>
      <c r="C601" s="124" t="s">
        <v>754</v>
      </c>
      <c r="D601" s="116" t="s">
        <v>51</v>
      </c>
      <c r="E601" s="125">
        <v>69</v>
      </c>
      <c r="F601" s="126">
        <v>83.9</v>
      </c>
      <c r="G601" s="126">
        <v>14</v>
      </c>
      <c r="I601" s="125">
        <f t="shared" si="9"/>
        <v>3</v>
      </c>
      <c r="J601" s="127">
        <v>2.8526000000000002</v>
      </c>
      <c r="M601" s="128"/>
    </row>
    <row r="602" spans="2:13">
      <c r="B602" s="116">
        <v>594</v>
      </c>
      <c r="C602" s="124" t="s">
        <v>755</v>
      </c>
      <c r="D602" s="116" t="s">
        <v>57</v>
      </c>
      <c r="E602" s="125">
        <v>42</v>
      </c>
      <c r="F602" s="126">
        <v>46.5</v>
      </c>
      <c r="G602" s="126">
        <v>7</v>
      </c>
      <c r="I602" s="125">
        <f t="shared" si="9"/>
        <v>3</v>
      </c>
      <c r="J602" s="127">
        <v>1.1160000000000001</v>
      </c>
      <c r="M602" s="128"/>
    </row>
    <row r="603" spans="2:13">
      <c r="B603" s="116">
        <v>595</v>
      </c>
      <c r="C603" s="124" t="s">
        <v>756</v>
      </c>
      <c r="D603" s="116" t="s">
        <v>84</v>
      </c>
      <c r="E603" s="125">
        <v>65</v>
      </c>
      <c r="F603" s="126">
        <v>116.4</v>
      </c>
      <c r="G603" s="126">
        <v>12</v>
      </c>
      <c r="I603" s="125">
        <f t="shared" si="9"/>
        <v>4</v>
      </c>
      <c r="J603" s="127">
        <v>2.7936000000000001</v>
      </c>
      <c r="M603" s="128"/>
    </row>
    <row r="604" spans="2:13">
      <c r="B604" s="116">
        <v>596</v>
      </c>
      <c r="C604" s="124" t="s">
        <v>757</v>
      </c>
      <c r="D604" s="116" t="s">
        <v>65</v>
      </c>
      <c r="E604" s="125">
        <v>78</v>
      </c>
      <c r="F604" s="126">
        <v>150.6</v>
      </c>
      <c r="G604" s="126">
        <v>20</v>
      </c>
      <c r="I604" s="125">
        <f t="shared" si="9"/>
        <v>5</v>
      </c>
      <c r="J604" s="127">
        <v>5.1806399999999995</v>
      </c>
      <c r="M604" s="128"/>
    </row>
    <row r="605" spans="2:13">
      <c r="B605" s="116">
        <v>597</v>
      </c>
      <c r="C605" s="124" t="s">
        <v>758</v>
      </c>
      <c r="D605" s="116" t="s">
        <v>84</v>
      </c>
      <c r="E605" s="125">
        <v>48</v>
      </c>
      <c r="F605" s="126">
        <v>84.2</v>
      </c>
      <c r="G605" s="126">
        <v>15</v>
      </c>
      <c r="I605" s="125">
        <f t="shared" si="9"/>
        <v>3</v>
      </c>
      <c r="J605" s="127">
        <v>3.0901400000000003</v>
      </c>
      <c r="M605" s="128"/>
    </row>
    <row r="606" spans="2:13">
      <c r="B606" s="116">
        <v>598</v>
      </c>
      <c r="C606" s="124" t="s">
        <v>759</v>
      </c>
      <c r="D606" s="116" t="s">
        <v>65</v>
      </c>
      <c r="E606" s="125">
        <v>82</v>
      </c>
      <c r="F606" s="126">
        <v>87</v>
      </c>
      <c r="G606" s="126">
        <v>17</v>
      </c>
      <c r="I606" s="125">
        <f t="shared" si="9"/>
        <v>3</v>
      </c>
      <c r="J606" s="127">
        <v>1.7486999999999999</v>
      </c>
      <c r="M606" s="128"/>
    </row>
    <row r="607" spans="2:13">
      <c r="B607" s="116">
        <v>599</v>
      </c>
      <c r="C607" s="124" t="s">
        <v>760</v>
      </c>
      <c r="D607" s="116" t="s">
        <v>86</v>
      </c>
      <c r="E607" s="125">
        <v>90</v>
      </c>
      <c r="F607" s="126">
        <v>120.1</v>
      </c>
      <c r="G607" s="126">
        <v>16</v>
      </c>
      <c r="I607" s="125">
        <f t="shared" si="9"/>
        <v>4</v>
      </c>
      <c r="J607" s="127">
        <v>3.7471199999999998</v>
      </c>
      <c r="M607" s="128"/>
    </row>
    <row r="608" spans="2:13">
      <c r="B608" s="116">
        <v>600</v>
      </c>
      <c r="C608" s="124" t="s">
        <v>761</v>
      </c>
      <c r="D608" s="116" t="s">
        <v>65</v>
      </c>
      <c r="E608" s="125">
        <v>82</v>
      </c>
      <c r="F608" s="126">
        <v>100.5</v>
      </c>
      <c r="G608" s="126">
        <v>11</v>
      </c>
      <c r="I608" s="125">
        <f t="shared" si="9"/>
        <v>4</v>
      </c>
      <c r="J608" s="127">
        <v>3.54765</v>
      </c>
      <c r="M608" s="128"/>
    </row>
    <row r="609" spans="2:13">
      <c r="B609" s="116">
        <v>601</v>
      </c>
      <c r="C609" s="124" t="s">
        <v>762</v>
      </c>
      <c r="D609" s="116" t="s">
        <v>84</v>
      </c>
      <c r="E609" s="125">
        <v>91</v>
      </c>
      <c r="F609" s="126">
        <v>131.9</v>
      </c>
      <c r="G609" s="126">
        <v>17</v>
      </c>
      <c r="I609" s="125">
        <f t="shared" si="9"/>
        <v>4</v>
      </c>
      <c r="J609" s="127">
        <v>4.9066799999999997</v>
      </c>
      <c r="M609" s="128"/>
    </row>
    <row r="610" spans="2:13">
      <c r="B610" s="116">
        <v>602</v>
      </c>
      <c r="C610" s="124" t="s">
        <v>763</v>
      </c>
      <c r="D610" s="116" t="s">
        <v>51</v>
      </c>
      <c r="E610" s="125">
        <v>85</v>
      </c>
      <c r="F610" s="126">
        <v>101.7</v>
      </c>
      <c r="G610" s="126">
        <v>18</v>
      </c>
      <c r="I610" s="125">
        <f t="shared" si="9"/>
        <v>4</v>
      </c>
      <c r="J610" s="127">
        <v>3.7323900000000005</v>
      </c>
      <c r="M610" s="128"/>
    </row>
    <row r="611" spans="2:13">
      <c r="B611" s="116">
        <v>603</v>
      </c>
      <c r="C611" s="124" t="s">
        <v>764</v>
      </c>
      <c r="D611" s="116" t="s">
        <v>65</v>
      </c>
      <c r="E611" s="125">
        <v>70</v>
      </c>
      <c r="F611" s="126">
        <v>136.1</v>
      </c>
      <c r="G611" s="126">
        <v>27</v>
      </c>
      <c r="I611" s="125">
        <f t="shared" si="9"/>
        <v>4</v>
      </c>
      <c r="J611" s="127">
        <v>3.7155300000000002</v>
      </c>
      <c r="M611" s="128"/>
    </row>
    <row r="612" spans="2:13">
      <c r="B612" s="116">
        <v>604</v>
      </c>
      <c r="C612" s="124" t="s">
        <v>765</v>
      </c>
      <c r="D612" s="116" t="s">
        <v>84</v>
      </c>
      <c r="E612" s="125">
        <v>69</v>
      </c>
      <c r="F612" s="126">
        <v>111.9</v>
      </c>
      <c r="G612" s="126">
        <v>20</v>
      </c>
      <c r="I612" s="125">
        <f t="shared" si="9"/>
        <v>4</v>
      </c>
      <c r="J612" s="127">
        <v>4.2074400000000001</v>
      </c>
      <c r="M612" s="128"/>
    </row>
    <row r="613" spans="2:13">
      <c r="B613" s="116">
        <v>605</v>
      </c>
      <c r="C613" s="124" t="s">
        <v>766</v>
      </c>
      <c r="D613" s="116" t="s">
        <v>84</v>
      </c>
      <c r="E613" s="125">
        <v>83</v>
      </c>
      <c r="F613" s="126">
        <v>121.8</v>
      </c>
      <c r="G613" s="126">
        <v>23</v>
      </c>
      <c r="I613" s="125">
        <f t="shared" si="9"/>
        <v>4</v>
      </c>
      <c r="J613" s="127">
        <v>4.0681199999999995</v>
      </c>
      <c r="M613" s="128"/>
    </row>
    <row r="614" spans="2:13">
      <c r="B614" s="116">
        <v>606</v>
      </c>
      <c r="C614" s="124" t="s">
        <v>767</v>
      </c>
      <c r="D614" s="116" t="s">
        <v>86</v>
      </c>
      <c r="E614" s="125">
        <v>45</v>
      </c>
      <c r="F614" s="126">
        <v>74.8</v>
      </c>
      <c r="G614" s="126">
        <v>9</v>
      </c>
      <c r="I614" s="125">
        <f t="shared" si="9"/>
        <v>3</v>
      </c>
      <c r="J614" s="127">
        <v>2.4908399999999999</v>
      </c>
      <c r="M614" s="128"/>
    </row>
    <row r="615" spans="2:13">
      <c r="B615" s="116">
        <v>607</v>
      </c>
      <c r="C615" s="124" t="s">
        <v>768</v>
      </c>
      <c r="D615" s="116" t="s">
        <v>84</v>
      </c>
      <c r="E615" s="125">
        <v>85</v>
      </c>
      <c r="F615" s="126">
        <v>105.4</v>
      </c>
      <c r="G615" s="126">
        <v>21</v>
      </c>
      <c r="I615" s="125">
        <f t="shared" si="9"/>
        <v>4</v>
      </c>
      <c r="J615" s="127">
        <v>3.3201000000000001</v>
      </c>
      <c r="M615" s="128"/>
    </row>
    <row r="616" spans="2:13">
      <c r="B616" s="116">
        <v>608</v>
      </c>
      <c r="C616" s="124" t="s">
        <v>769</v>
      </c>
      <c r="D616" s="116" t="s">
        <v>84</v>
      </c>
      <c r="E616" s="125">
        <v>47</v>
      </c>
      <c r="F616" s="126">
        <v>77.5</v>
      </c>
      <c r="G616" s="126">
        <v>10</v>
      </c>
      <c r="I616" s="125">
        <f t="shared" si="9"/>
        <v>3</v>
      </c>
      <c r="J616" s="127">
        <v>3.04575</v>
      </c>
      <c r="M616" s="128"/>
    </row>
    <row r="617" spans="2:13">
      <c r="B617" s="116">
        <v>609</v>
      </c>
      <c r="C617" s="124" t="s">
        <v>770</v>
      </c>
      <c r="D617" s="116" t="s">
        <v>86</v>
      </c>
      <c r="E617" s="125">
        <v>83</v>
      </c>
      <c r="F617" s="126">
        <v>124.1</v>
      </c>
      <c r="G617" s="126">
        <v>12</v>
      </c>
      <c r="I617" s="125">
        <f t="shared" si="9"/>
        <v>4</v>
      </c>
      <c r="J617" s="127">
        <v>2.5192299999999999</v>
      </c>
      <c r="M617" s="128"/>
    </row>
    <row r="618" spans="2:13">
      <c r="B618" s="116">
        <v>610</v>
      </c>
      <c r="C618" s="124" t="s">
        <v>771</v>
      </c>
      <c r="D618" s="116" t="s">
        <v>88</v>
      </c>
      <c r="E618" s="125">
        <v>57</v>
      </c>
      <c r="F618" s="126">
        <v>83.2</v>
      </c>
      <c r="G618" s="126">
        <v>16</v>
      </c>
      <c r="I618" s="125">
        <f t="shared" si="9"/>
        <v>3</v>
      </c>
      <c r="J618" s="127">
        <v>2.1964800000000002</v>
      </c>
      <c r="M618" s="128"/>
    </row>
    <row r="619" spans="2:13">
      <c r="B619" s="116">
        <v>611</v>
      </c>
      <c r="C619" s="124" t="s">
        <v>772</v>
      </c>
      <c r="D619" s="116" t="s">
        <v>88</v>
      </c>
      <c r="E619" s="125">
        <v>81</v>
      </c>
      <c r="F619" s="126">
        <v>130.19999999999999</v>
      </c>
      <c r="G619" s="126">
        <v>26</v>
      </c>
      <c r="I619" s="125">
        <f t="shared" si="9"/>
        <v>4</v>
      </c>
      <c r="J619" s="127">
        <v>3.5284199999999997</v>
      </c>
      <c r="M619" s="128"/>
    </row>
    <row r="620" spans="2:13">
      <c r="B620" s="116">
        <v>612</v>
      </c>
      <c r="C620" s="124" t="s">
        <v>773</v>
      </c>
      <c r="D620" s="116" t="s">
        <v>51</v>
      </c>
      <c r="E620" s="125">
        <v>51</v>
      </c>
      <c r="F620" s="126">
        <v>84</v>
      </c>
      <c r="G620" s="126">
        <v>11</v>
      </c>
      <c r="I620" s="125">
        <f t="shared" si="9"/>
        <v>3</v>
      </c>
      <c r="J620" s="127">
        <v>2.8728000000000002</v>
      </c>
      <c r="M620" s="128"/>
    </row>
    <row r="621" spans="2:13">
      <c r="B621" s="116">
        <v>613</v>
      </c>
      <c r="C621" s="124" t="s">
        <v>774</v>
      </c>
      <c r="D621" s="116" t="s">
        <v>84</v>
      </c>
      <c r="E621" s="125">
        <v>52</v>
      </c>
      <c r="F621" s="126">
        <v>66</v>
      </c>
      <c r="G621" s="126">
        <v>10</v>
      </c>
      <c r="I621" s="125">
        <f t="shared" si="9"/>
        <v>3</v>
      </c>
      <c r="J621" s="127">
        <v>1.6235999999999999</v>
      </c>
      <c r="M621" s="128"/>
    </row>
    <row r="622" spans="2:13">
      <c r="B622" s="116">
        <v>614</v>
      </c>
      <c r="C622" s="124" t="s">
        <v>775</v>
      </c>
      <c r="D622" s="116" t="s">
        <v>51</v>
      </c>
      <c r="E622" s="125">
        <v>60</v>
      </c>
      <c r="F622" s="126">
        <v>80.8</v>
      </c>
      <c r="G622" s="126">
        <v>8</v>
      </c>
      <c r="I622" s="125">
        <f t="shared" si="9"/>
        <v>3</v>
      </c>
      <c r="J622" s="127">
        <v>1.79376</v>
      </c>
      <c r="M622" s="128"/>
    </row>
    <row r="623" spans="2:13">
      <c r="B623" s="116">
        <v>615</v>
      </c>
      <c r="C623" s="124" t="s">
        <v>776</v>
      </c>
      <c r="D623" s="116" t="s">
        <v>84</v>
      </c>
      <c r="E623" s="125">
        <v>79</v>
      </c>
      <c r="F623" s="126">
        <v>107</v>
      </c>
      <c r="G623" s="126">
        <v>20</v>
      </c>
      <c r="I623" s="125">
        <f t="shared" si="9"/>
        <v>4</v>
      </c>
      <c r="J623" s="127">
        <v>2.4823999999999997</v>
      </c>
      <c r="M623" s="128"/>
    </row>
    <row r="624" spans="2:13">
      <c r="B624" s="116">
        <v>616</v>
      </c>
      <c r="C624" s="124" t="s">
        <v>777</v>
      </c>
      <c r="D624" s="116" t="s">
        <v>63</v>
      </c>
      <c r="E624" s="125">
        <v>67</v>
      </c>
      <c r="F624" s="126">
        <v>86.9</v>
      </c>
      <c r="G624" s="126">
        <v>14</v>
      </c>
      <c r="I624" s="125">
        <f t="shared" si="9"/>
        <v>3</v>
      </c>
      <c r="J624" s="127">
        <v>3.1110199999999999</v>
      </c>
      <c r="M624" s="128"/>
    </row>
    <row r="625" spans="2:13">
      <c r="B625" s="116">
        <v>617</v>
      </c>
      <c r="C625" s="124" t="s">
        <v>778</v>
      </c>
      <c r="D625" s="116" t="s">
        <v>51</v>
      </c>
      <c r="E625" s="125">
        <v>51</v>
      </c>
      <c r="F625" s="126">
        <v>68</v>
      </c>
      <c r="G625" s="126">
        <v>13</v>
      </c>
      <c r="I625" s="125">
        <f t="shared" si="9"/>
        <v>3</v>
      </c>
      <c r="J625" s="127">
        <v>1.8428</v>
      </c>
      <c r="M625" s="128"/>
    </row>
    <row r="626" spans="2:13">
      <c r="B626" s="116">
        <v>618</v>
      </c>
      <c r="C626" s="124" t="s">
        <v>779</v>
      </c>
      <c r="D626" s="116" t="s">
        <v>65</v>
      </c>
      <c r="E626" s="125">
        <v>83</v>
      </c>
      <c r="F626" s="126">
        <v>162.19999999999999</v>
      </c>
      <c r="G626" s="126">
        <v>21</v>
      </c>
      <c r="I626" s="125">
        <f t="shared" si="9"/>
        <v>5</v>
      </c>
      <c r="J626" s="127">
        <v>5.4661399999999993</v>
      </c>
      <c r="M626" s="128"/>
    </row>
    <row r="627" spans="2:13">
      <c r="B627" s="116">
        <v>619</v>
      </c>
      <c r="C627" s="124" t="s">
        <v>780</v>
      </c>
      <c r="D627" s="116" t="s">
        <v>65</v>
      </c>
      <c r="E627" s="125">
        <v>63</v>
      </c>
      <c r="F627" s="126">
        <v>123.7</v>
      </c>
      <c r="G627" s="126">
        <v>22</v>
      </c>
      <c r="I627" s="125">
        <f t="shared" si="9"/>
        <v>4</v>
      </c>
      <c r="J627" s="127">
        <v>3.7852199999999998</v>
      </c>
      <c r="M627" s="128"/>
    </row>
    <row r="628" spans="2:13">
      <c r="B628" s="116">
        <v>620</v>
      </c>
      <c r="C628" s="124" t="s">
        <v>781</v>
      </c>
      <c r="D628" s="116" t="s">
        <v>88</v>
      </c>
      <c r="E628" s="125">
        <v>81</v>
      </c>
      <c r="F628" s="126">
        <v>113.9</v>
      </c>
      <c r="G628" s="126">
        <v>23</v>
      </c>
      <c r="I628" s="125">
        <f t="shared" si="9"/>
        <v>4</v>
      </c>
      <c r="J628" s="127">
        <v>4.2940300000000002</v>
      </c>
      <c r="M628" s="128"/>
    </row>
    <row r="629" spans="2:13">
      <c r="B629" s="116">
        <v>621</v>
      </c>
      <c r="C629" s="124" t="s">
        <v>782</v>
      </c>
      <c r="D629" s="116" t="s">
        <v>84</v>
      </c>
      <c r="E629" s="125">
        <v>88</v>
      </c>
      <c r="F629" s="126">
        <v>126.5</v>
      </c>
      <c r="G629" s="126">
        <v>22</v>
      </c>
      <c r="I629" s="125">
        <f t="shared" si="9"/>
        <v>4</v>
      </c>
      <c r="J629" s="127">
        <v>3.4154999999999998</v>
      </c>
      <c r="M629" s="128"/>
    </row>
    <row r="630" spans="2:13">
      <c r="B630" s="116">
        <v>622</v>
      </c>
      <c r="C630" s="124" t="s">
        <v>783</v>
      </c>
      <c r="D630" s="116" t="s">
        <v>65</v>
      </c>
      <c r="E630" s="125">
        <v>67</v>
      </c>
      <c r="F630" s="126">
        <v>115.9</v>
      </c>
      <c r="G630" s="126">
        <v>16</v>
      </c>
      <c r="I630" s="125">
        <f t="shared" si="9"/>
        <v>4</v>
      </c>
      <c r="J630" s="127">
        <v>3.2799700000000001</v>
      </c>
      <c r="M630" s="128"/>
    </row>
    <row r="631" spans="2:13">
      <c r="B631" s="116">
        <v>623</v>
      </c>
      <c r="C631" s="124" t="s">
        <v>784</v>
      </c>
      <c r="D631" s="116" t="s">
        <v>65</v>
      </c>
      <c r="E631" s="125">
        <v>97</v>
      </c>
      <c r="F631" s="126">
        <v>147</v>
      </c>
      <c r="G631" s="126">
        <v>24</v>
      </c>
      <c r="I631" s="125">
        <f t="shared" si="9"/>
        <v>5</v>
      </c>
      <c r="J631" s="127">
        <v>4.3071000000000002</v>
      </c>
      <c r="M631" s="128"/>
    </row>
    <row r="632" spans="2:13">
      <c r="B632" s="116">
        <v>624</v>
      </c>
      <c r="C632" s="124" t="s">
        <v>785</v>
      </c>
      <c r="D632" s="116" t="s">
        <v>65</v>
      </c>
      <c r="E632" s="125">
        <v>63</v>
      </c>
      <c r="F632" s="126">
        <v>100.8</v>
      </c>
      <c r="G632" s="126">
        <v>16</v>
      </c>
      <c r="I632" s="125">
        <f t="shared" si="9"/>
        <v>4</v>
      </c>
      <c r="J632" s="127">
        <v>3.0038399999999998</v>
      </c>
      <c r="M632" s="128"/>
    </row>
    <row r="633" spans="2:13">
      <c r="B633" s="116">
        <v>625</v>
      </c>
      <c r="C633" s="124" t="s">
        <v>786</v>
      </c>
      <c r="D633" s="116" t="s">
        <v>84</v>
      </c>
      <c r="E633" s="125">
        <v>85</v>
      </c>
      <c r="F633" s="126">
        <v>101.4</v>
      </c>
      <c r="G633" s="126">
        <v>20</v>
      </c>
      <c r="I633" s="125">
        <f t="shared" si="9"/>
        <v>4</v>
      </c>
      <c r="J633" s="127">
        <v>3.4678800000000005</v>
      </c>
      <c r="M633" s="128"/>
    </row>
    <row r="634" spans="2:13">
      <c r="B634" s="116">
        <v>626</v>
      </c>
      <c r="C634" s="124" t="s">
        <v>787</v>
      </c>
      <c r="D634" s="116" t="s">
        <v>63</v>
      </c>
      <c r="E634" s="125">
        <v>46</v>
      </c>
      <c r="F634" s="126">
        <v>86.3</v>
      </c>
      <c r="G634" s="126">
        <v>13</v>
      </c>
      <c r="I634" s="125">
        <f t="shared" si="9"/>
        <v>3</v>
      </c>
      <c r="J634" s="127">
        <v>3.2793999999999999</v>
      </c>
      <c r="M634" s="128"/>
    </row>
    <row r="635" spans="2:13">
      <c r="B635" s="116">
        <v>627</v>
      </c>
      <c r="C635" s="124" t="s">
        <v>788</v>
      </c>
      <c r="D635" s="116" t="s">
        <v>84</v>
      </c>
      <c r="E635" s="125">
        <v>57</v>
      </c>
      <c r="F635" s="126">
        <v>78.5</v>
      </c>
      <c r="G635" s="126">
        <v>15</v>
      </c>
      <c r="I635" s="125">
        <f t="shared" si="9"/>
        <v>3</v>
      </c>
      <c r="J635" s="127">
        <v>2.1509</v>
      </c>
      <c r="M635" s="128"/>
    </row>
    <row r="636" spans="2:13">
      <c r="B636" s="116">
        <v>628</v>
      </c>
      <c r="C636" s="124" t="s">
        <v>789</v>
      </c>
      <c r="D636" s="116" t="s">
        <v>84</v>
      </c>
      <c r="E636" s="125">
        <v>82</v>
      </c>
      <c r="F636" s="126">
        <v>134.30000000000001</v>
      </c>
      <c r="G636" s="126">
        <v>24</v>
      </c>
      <c r="I636" s="125">
        <f t="shared" si="9"/>
        <v>4</v>
      </c>
      <c r="J636" s="127">
        <v>3.8275500000000005</v>
      </c>
      <c r="M636" s="128"/>
    </row>
    <row r="637" spans="2:13">
      <c r="B637" s="116">
        <v>629</v>
      </c>
      <c r="C637" s="124" t="s">
        <v>790</v>
      </c>
      <c r="D637" s="116" t="s">
        <v>84</v>
      </c>
      <c r="E637" s="125">
        <v>66</v>
      </c>
      <c r="F637" s="126">
        <v>99</v>
      </c>
      <c r="G637" s="126">
        <v>16</v>
      </c>
      <c r="I637" s="125">
        <f t="shared" si="9"/>
        <v>3</v>
      </c>
      <c r="J637" s="127">
        <v>3.3165</v>
      </c>
      <c r="M637" s="128"/>
    </row>
    <row r="638" spans="2:13">
      <c r="B638" s="116">
        <v>630</v>
      </c>
      <c r="C638" s="124" t="s">
        <v>791</v>
      </c>
      <c r="D638" s="116" t="s">
        <v>84</v>
      </c>
      <c r="E638" s="125">
        <v>59</v>
      </c>
      <c r="F638" s="126">
        <v>98.9</v>
      </c>
      <c r="G638" s="126">
        <v>17</v>
      </c>
      <c r="I638" s="125">
        <f t="shared" si="9"/>
        <v>3</v>
      </c>
      <c r="J638" s="127">
        <v>3.0659000000000001</v>
      </c>
      <c r="M638" s="128"/>
    </row>
    <row r="639" spans="2:13">
      <c r="B639" s="116">
        <v>631</v>
      </c>
      <c r="C639" s="124" t="s">
        <v>792</v>
      </c>
      <c r="D639" s="116" t="s">
        <v>68</v>
      </c>
      <c r="E639" s="125">
        <v>84</v>
      </c>
      <c r="F639" s="126">
        <v>163.30000000000001</v>
      </c>
      <c r="G639" s="126">
        <v>29</v>
      </c>
      <c r="I639" s="125">
        <f t="shared" si="9"/>
        <v>5</v>
      </c>
      <c r="J639" s="127">
        <v>4.3601100000000006</v>
      </c>
      <c r="M639" s="128"/>
    </row>
    <row r="640" spans="2:13">
      <c r="B640" s="116">
        <v>632</v>
      </c>
      <c r="C640" s="124" t="s">
        <v>793</v>
      </c>
      <c r="D640" s="116" t="s">
        <v>65</v>
      </c>
      <c r="E640" s="125">
        <v>45</v>
      </c>
      <c r="F640" s="126">
        <v>48.5</v>
      </c>
      <c r="G640" s="126">
        <v>5</v>
      </c>
      <c r="I640" s="125">
        <f t="shared" si="9"/>
        <v>3</v>
      </c>
      <c r="J640" s="127">
        <v>1.7557</v>
      </c>
      <c r="M640" s="128"/>
    </row>
    <row r="641" spans="2:13">
      <c r="B641" s="116">
        <v>633</v>
      </c>
      <c r="C641" s="124" t="s">
        <v>794</v>
      </c>
      <c r="D641" s="116" t="s">
        <v>88</v>
      </c>
      <c r="E641" s="125">
        <v>66</v>
      </c>
      <c r="F641" s="126">
        <v>112.3</v>
      </c>
      <c r="G641" s="126">
        <v>13</v>
      </c>
      <c r="I641" s="125">
        <f t="shared" si="9"/>
        <v>4</v>
      </c>
      <c r="J641" s="127">
        <v>2.4256800000000003</v>
      </c>
      <c r="M641" s="128"/>
    </row>
    <row r="642" spans="2:13">
      <c r="B642" s="116">
        <v>634</v>
      </c>
      <c r="C642" s="124" t="s">
        <v>795</v>
      </c>
      <c r="D642" s="116" t="s">
        <v>65</v>
      </c>
      <c r="E642" s="125">
        <v>62</v>
      </c>
      <c r="F642" s="126">
        <v>112.3</v>
      </c>
      <c r="G642" s="126">
        <v>20</v>
      </c>
      <c r="I642" s="125">
        <f t="shared" si="9"/>
        <v>4</v>
      </c>
      <c r="J642" s="127">
        <v>4.0989499999999994</v>
      </c>
      <c r="M642" s="128"/>
    </row>
    <row r="643" spans="2:13">
      <c r="B643" s="116">
        <v>635</v>
      </c>
      <c r="C643" s="124" t="s">
        <v>796</v>
      </c>
      <c r="D643" s="116" t="s">
        <v>51</v>
      </c>
      <c r="E643" s="125">
        <v>93</v>
      </c>
      <c r="F643" s="126">
        <v>158.5</v>
      </c>
      <c r="G643" s="126">
        <v>25</v>
      </c>
      <c r="I643" s="125">
        <f t="shared" si="9"/>
        <v>5</v>
      </c>
      <c r="J643" s="127">
        <v>3.8991000000000002</v>
      </c>
      <c r="M643" s="128"/>
    </row>
    <row r="644" spans="2:13">
      <c r="B644" s="116">
        <v>636</v>
      </c>
      <c r="C644" s="124" t="s">
        <v>797</v>
      </c>
      <c r="D644" s="116" t="s">
        <v>84</v>
      </c>
      <c r="E644" s="125">
        <v>71</v>
      </c>
      <c r="F644" s="126">
        <v>96.5</v>
      </c>
      <c r="G644" s="126">
        <v>17</v>
      </c>
      <c r="I644" s="125">
        <f t="shared" si="9"/>
        <v>3</v>
      </c>
      <c r="J644" s="127">
        <v>2.7888500000000001</v>
      </c>
      <c r="M644" s="128"/>
    </row>
    <row r="645" spans="2:13">
      <c r="B645" s="116">
        <v>637</v>
      </c>
      <c r="C645" s="124" t="s">
        <v>798</v>
      </c>
      <c r="D645" s="116" t="s">
        <v>65</v>
      </c>
      <c r="E645" s="125">
        <v>59</v>
      </c>
      <c r="F645" s="126">
        <v>59.8</v>
      </c>
      <c r="G645" s="126">
        <v>10</v>
      </c>
      <c r="I645" s="125">
        <f t="shared" si="9"/>
        <v>3</v>
      </c>
      <c r="J645" s="127">
        <v>1.4710799999999999</v>
      </c>
      <c r="M645" s="128"/>
    </row>
    <row r="646" spans="2:13">
      <c r="B646" s="116">
        <v>638</v>
      </c>
      <c r="C646" s="124" t="s">
        <v>799</v>
      </c>
      <c r="D646" s="116" t="s">
        <v>84</v>
      </c>
      <c r="E646" s="125">
        <v>56</v>
      </c>
      <c r="F646" s="126">
        <v>88.3</v>
      </c>
      <c r="G646" s="126">
        <v>17</v>
      </c>
      <c r="I646" s="125">
        <f t="shared" si="9"/>
        <v>3</v>
      </c>
      <c r="J646" s="127">
        <v>2.3222900000000002</v>
      </c>
      <c r="M646" s="128"/>
    </row>
    <row r="647" spans="2:13">
      <c r="B647" s="116">
        <v>639</v>
      </c>
      <c r="C647" s="124" t="s">
        <v>800</v>
      </c>
      <c r="D647" s="116" t="s">
        <v>84</v>
      </c>
      <c r="E647" s="125">
        <v>52</v>
      </c>
      <c r="F647" s="126">
        <v>77</v>
      </c>
      <c r="G647" s="126">
        <v>14</v>
      </c>
      <c r="I647" s="125">
        <f t="shared" si="9"/>
        <v>3</v>
      </c>
      <c r="J647" s="127">
        <v>2.3408000000000002</v>
      </c>
      <c r="M647" s="128"/>
    </row>
    <row r="648" spans="2:13">
      <c r="B648" s="116">
        <v>640</v>
      </c>
      <c r="C648" s="124" t="s">
        <v>801</v>
      </c>
      <c r="D648" s="116" t="s">
        <v>65</v>
      </c>
      <c r="E648" s="125">
        <v>72</v>
      </c>
      <c r="F648" s="126">
        <v>101.9</v>
      </c>
      <c r="G648" s="126">
        <v>18</v>
      </c>
      <c r="I648" s="125">
        <f t="shared" si="9"/>
        <v>4</v>
      </c>
      <c r="J648" s="127">
        <v>2.4659800000000001</v>
      </c>
      <c r="M648" s="128"/>
    </row>
    <row r="649" spans="2:13">
      <c r="B649" s="116">
        <v>641</v>
      </c>
      <c r="C649" s="124" t="s">
        <v>802</v>
      </c>
      <c r="D649" s="116" t="s">
        <v>65</v>
      </c>
      <c r="E649" s="125">
        <v>48</v>
      </c>
      <c r="F649" s="126">
        <v>50.4</v>
      </c>
      <c r="G649" s="126">
        <v>7</v>
      </c>
      <c r="I649" s="125">
        <f t="shared" ref="I649:I712" si="10">IF(F649&lt;=100,3,IF(F649&lt;=140,4,IF(F649&lt;=175,5,6)))</f>
        <v>3</v>
      </c>
      <c r="J649" s="127">
        <v>1.0634399999999999</v>
      </c>
      <c r="M649" s="128"/>
    </row>
    <row r="650" spans="2:13">
      <c r="B650" s="116">
        <v>642</v>
      </c>
      <c r="C650" s="124" t="s">
        <v>803</v>
      </c>
      <c r="D650" s="116" t="s">
        <v>86</v>
      </c>
      <c r="E650" s="125">
        <v>70</v>
      </c>
      <c r="F650" s="126">
        <v>92.5</v>
      </c>
      <c r="G650" s="126">
        <v>12</v>
      </c>
      <c r="I650" s="125">
        <f t="shared" si="10"/>
        <v>3</v>
      </c>
      <c r="J650" s="127">
        <v>3.6352500000000001</v>
      </c>
      <c r="M650" s="128"/>
    </row>
    <row r="651" spans="2:13">
      <c r="B651" s="116">
        <v>643</v>
      </c>
      <c r="C651" s="124" t="s">
        <v>804</v>
      </c>
      <c r="D651" s="116" t="s">
        <v>88</v>
      </c>
      <c r="E651" s="125">
        <v>96</v>
      </c>
      <c r="F651" s="126">
        <v>116.1</v>
      </c>
      <c r="G651" s="126">
        <v>16</v>
      </c>
      <c r="I651" s="125">
        <f t="shared" si="10"/>
        <v>4</v>
      </c>
      <c r="J651" s="127">
        <v>4.5046799999999996</v>
      </c>
      <c r="M651" s="128"/>
    </row>
    <row r="652" spans="2:13">
      <c r="B652" s="116">
        <v>644</v>
      </c>
      <c r="C652" s="124" t="s">
        <v>805</v>
      </c>
      <c r="D652" s="116" t="s">
        <v>65</v>
      </c>
      <c r="E652" s="125">
        <v>82</v>
      </c>
      <c r="F652" s="126">
        <v>128.19999999999999</v>
      </c>
      <c r="G652" s="126">
        <v>21</v>
      </c>
      <c r="I652" s="125">
        <f t="shared" si="10"/>
        <v>4</v>
      </c>
      <c r="J652" s="127">
        <v>3.3331999999999997</v>
      </c>
      <c r="M652" s="128"/>
    </row>
    <row r="653" spans="2:13">
      <c r="B653" s="116">
        <v>645</v>
      </c>
      <c r="C653" s="124" t="s">
        <v>806</v>
      </c>
      <c r="D653" s="116" t="s">
        <v>98</v>
      </c>
      <c r="E653" s="125">
        <v>49</v>
      </c>
      <c r="F653" s="126">
        <v>83.8</v>
      </c>
      <c r="G653" s="126">
        <v>17</v>
      </c>
      <c r="I653" s="125">
        <f t="shared" si="10"/>
        <v>3</v>
      </c>
      <c r="J653" s="127">
        <v>3.1173599999999997</v>
      </c>
      <c r="M653" s="128"/>
    </row>
    <row r="654" spans="2:13">
      <c r="B654" s="116">
        <v>646</v>
      </c>
      <c r="C654" s="124" t="s">
        <v>807</v>
      </c>
      <c r="D654" s="116" t="s">
        <v>86</v>
      </c>
      <c r="E654" s="125">
        <v>68</v>
      </c>
      <c r="F654" s="126">
        <v>97.7</v>
      </c>
      <c r="G654" s="126">
        <v>12</v>
      </c>
      <c r="I654" s="125">
        <f t="shared" si="10"/>
        <v>3</v>
      </c>
      <c r="J654" s="127">
        <v>3.3218000000000005</v>
      </c>
      <c r="M654" s="128"/>
    </row>
    <row r="655" spans="2:13">
      <c r="B655" s="116">
        <v>647</v>
      </c>
      <c r="C655" s="124" t="s">
        <v>808</v>
      </c>
      <c r="D655" s="116" t="s">
        <v>65</v>
      </c>
      <c r="E655" s="125">
        <v>42</v>
      </c>
      <c r="F655" s="126">
        <v>83.4</v>
      </c>
      <c r="G655" s="126">
        <v>17</v>
      </c>
      <c r="I655" s="125">
        <f t="shared" si="10"/>
        <v>3</v>
      </c>
      <c r="J655" s="127">
        <v>2.1850800000000001</v>
      </c>
      <c r="M655" s="128"/>
    </row>
    <row r="656" spans="2:13">
      <c r="B656" s="116">
        <v>648</v>
      </c>
      <c r="C656" s="124" t="s">
        <v>809</v>
      </c>
      <c r="D656" s="116" t="s">
        <v>84</v>
      </c>
      <c r="E656" s="125">
        <v>49</v>
      </c>
      <c r="F656" s="126">
        <v>92.6</v>
      </c>
      <c r="G656" s="126">
        <v>10</v>
      </c>
      <c r="I656" s="125">
        <f t="shared" si="10"/>
        <v>3</v>
      </c>
      <c r="J656" s="127">
        <v>3.1484000000000001</v>
      </c>
      <c r="M656" s="128"/>
    </row>
    <row r="657" spans="2:13">
      <c r="B657" s="116">
        <v>649</v>
      </c>
      <c r="C657" s="124" t="s">
        <v>810</v>
      </c>
      <c r="D657" s="116" t="s">
        <v>63</v>
      </c>
      <c r="E657" s="125">
        <v>51</v>
      </c>
      <c r="F657" s="126">
        <v>78</v>
      </c>
      <c r="G657" s="126">
        <v>12</v>
      </c>
      <c r="I657" s="125">
        <f t="shared" si="10"/>
        <v>3</v>
      </c>
      <c r="J657" s="127">
        <v>2.4882</v>
      </c>
      <c r="M657" s="128"/>
    </row>
    <row r="658" spans="2:13">
      <c r="B658" s="116">
        <v>650</v>
      </c>
      <c r="C658" s="124" t="s">
        <v>811</v>
      </c>
      <c r="D658" s="116" t="s">
        <v>86</v>
      </c>
      <c r="E658" s="125">
        <v>37</v>
      </c>
      <c r="F658" s="126">
        <v>40.4</v>
      </c>
      <c r="G658" s="126">
        <v>4</v>
      </c>
      <c r="I658" s="125">
        <f t="shared" si="10"/>
        <v>3</v>
      </c>
      <c r="J658" s="127">
        <v>1.4665199999999998</v>
      </c>
      <c r="M658" s="128"/>
    </row>
    <row r="659" spans="2:13">
      <c r="B659" s="116">
        <v>651</v>
      </c>
      <c r="C659" s="124" t="s">
        <v>812</v>
      </c>
      <c r="D659" s="116" t="s">
        <v>84</v>
      </c>
      <c r="E659" s="125">
        <v>63</v>
      </c>
      <c r="F659" s="126">
        <v>117.3</v>
      </c>
      <c r="G659" s="126">
        <v>23</v>
      </c>
      <c r="I659" s="125">
        <f t="shared" si="10"/>
        <v>4</v>
      </c>
      <c r="J659" s="127">
        <v>2.4163799999999998</v>
      </c>
      <c r="M659" s="128"/>
    </row>
    <row r="660" spans="2:13">
      <c r="B660" s="116">
        <v>652</v>
      </c>
      <c r="C660" s="124" t="s">
        <v>813</v>
      </c>
      <c r="D660" s="116" t="s">
        <v>65</v>
      </c>
      <c r="E660" s="125">
        <v>45</v>
      </c>
      <c r="F660" s="126">
        <v>45.4</v>
      </c>
      <c r="G660" s="126">
        <v>5</v>
      </c>
      <c r="I660" s="125">
        <f t="shared" si="10"/>
        <v>3</v>
      </c>
      <c r="J660" s="127">
        <v>1.2939000000000001</v>
      </c>
      <c r="M660" s="128"/>
    </row>
    <row r="661" spans="2:13">
      <c r="B661" s="116">
        <v>653</v>
      </c>
      <c r="C661" s="124" t="s">
        <v>814</v>
      </c>
      <c r="D661" s="116" t="s">
        <v>65</v>
      </c>
      <c r="E661" s="125">
        <v>59</v>
      </c>
      <c r="F661" s="126">
        <v>79.099999999999994</v>
      </c>
      <c r="G661" s="126">
        <v>13</v>
      </c>
      <c r="I661" s="125">
        <f t="shared" si="10"/>
        <v>3</v>
      </c>
      <c r="J661" s="127">
        <v>2.7447699999999999</v>
      </c>
      <c r="M661" s="128"/>
    </row>
    <row r="662" spans="2:13">
      <c r="B662" s="116">
        <v>654</v>
      </c>
      <c r="C662" s="124" t="s">
        <v>815</v>
      </c>
      <c r="D662" s="116" t="s">
        <v>84</v>
      </c>
      <c r="E662" s="125">
        <v>66</v>
      </c>
      <c r="F662" s="126">
        <v>127.4</v>
      </c>
      <c r="G662" s="126">
        <v>15</v>
      </c>
      <c r="I662" s="125">
        <f t="shared" si="10"/>
        <v>4</v>
      </c>
      <c r="J662" s="127">
        <v>3.9239200000000003</v>
      </c>
      <c r="M662" s="128"/>
    </row>
    <row r="663" spans="2:13">
      <c r="B663" s="116">
        <v>655</v>
      </c>
      <c r="C663" s="124" t="s">
        <v>816</v>
      </c>
      <c r="D663" s="116" t="s">
        <v>65</v>
      </c>
      <c r="E663" s="125">
        <v>70</v>
      </c>
      <c r="F663" s="126">
        <v>95.2</v>
      </c>
      <c r="G663" s="126">
        <v>17</v>
      </c>
      <c r="I663" s="125">
        <f t="shared" si="10"/>
        <v>3</v>
      </c>
      <c r="J663" s="127">
        <v>2.4656799999999999</v>
      </c>
      <c r="M663" s="128"/>
    </row>
    <row r="664" spans="2:13">
      <c r="B664" s="116">
        <v>656</v>
      </c>
      <c r="C664" s="124" t="s">
        <v>817</v>
      </c>
      <c r="D664" s="116" t="s">
        <v>84</v>
      </c>
      <c r="E664" s="125">
        <v>49</v>
      </c>
      <c r="F664" s="126">
        <v>87</v>
      </c>
      <c r="G664" s="126">
        <v>14</v>
      </c>
      <c r="I664" s="125">
        <f t="shared" si="10"/>
        <v>3</v>
      </c>
      <c r="J664" s="127">
        <v>1.7573999999999999</v>
      </c>
      <c r="M664" s="128"/>
    </row>
    <row r="665" spans="2:13">
      <c r="B665" s="116">
        <v>657</v>
      </c>
      <c r="C665" s="124" t="s">
        <v>818</v>
      </c>
      <c r="D665" s="116" t="s">
        <v>65</v>
      </c>
      <c r="E665" s="125">
        <v>45</v>
      </c>
      <c r="F665" s="126">
        <v>87.1</v>
      </c>
      <c r="G665" s="126">
        <v>17</v>
      </c>
      <c r="I665" s="125">
        <f t="shared" si="10"/>
        <v>3</v>
      </c>
      <c r="J665" s="127">
        <v>2.7610699999999997</v>
      </c>
      <c r="M665" s="128"/>
    </row>
    <row r="666" spans="2:13">
      <c r="B666" s="116">
        <v>658</v>
      </c>
      <c r="C666" s="124" t="s">
        <v>819</v>
      </c>
      <c r="D666" s="116" t="s">
        <v>84</v>
      </c>
      <c r="E666" s="125">
        <v>59</v>
      </c>
      <c r="F666" s="126">
        <v>101.4</v>
      </c>
      <c r="G666" s="126">
        <v>16</v>
      </c>
      <c r="I666" s="125">
        <f t="shared" si="10"/>
        <v>4</v>
      </c>
      <c r="J666" s="127">
        <v>3.6909600000000005</v>
      </c>
      <c r="M666" s="128"/>
    </row>
    <row r="667" spans="2:13">
      <c r="B667" s="116">
        <v>659</v>
      </c>
      <c r="C667" s="124" t="s">
        <v>820</v>
      </c>
      <c r="D667" s="116" t="s">
        <v>78</v>
      </c>
      <c r="E667" s="125">
        <v>65</v>
      </c>
      <c r="F667" s="126">
        <v>69</v>
      </c>
      <c r="G667" s="126">
        <v>9</v>
      </c>
      <c r="I667" s="125">
        <f t="shared" si="10"/>
        <v>3</v>
      </c>
      <c r="J667" s="127">
        <v>2.6979000000000002</v>
      </c>
      <c r="M667" s="128"/>
    </row>
    <row r="668" spans="2:13">
      <c r="B668" s="116">
        <v>660</v>
      </c>
      <c r="C668" s="124" t="s">
        <v>821</v>
      </c>
      <c r="D668" s="116" t="s">
        <v>86</v>
      </c>
      <c r="E668" s="125">
        <v>92</v>
      </c>
      <c r="F668" s="126">
        <v>143.80000000000001</v>
      </c>
      <c r="G668" s="126">
        <v>14</v>
      </c>
      <c r="I668" s="125">
        <f t="shared" si="10"/>
        <v>5</v>
      </c>
      <c r="J668" s="127">
        <v>2.9910399999999999</v>
      </c>
      <c r="M668" s="128"/>
    </row>
    <row r="669" spans="2:13">
      <c r="B669" s="116">
        <v>661</v>
      </c>
      <c r="C669" s="124" t="s">
        <v>822</v>
      </c>
      <c r="D669" s="116" t="s">
        <v>55</v>
      </c>
      <c r="E669" s="125">
        <v>42</v>
      </c>
      <c r="F669" s="126">
        <v>73.7</v>
      </c>
      <c r="G669" s="126">
        <v>12</v>
      </c>
      <c r="I669" s="125">
        <f t="shared" si="10"/>
        <v>3</v>
      </c>
      <c r="J669" s="127">
        <v>2.8227100000000003</v>
      </c>
      <c r="M669" s="128"/>
    </row>
    <row r="670" spans="2:13">
      <c r="B670" s="116">
        <v>662</v>
      </c>
      <c r="C670" s="124" t="s">
        <v>823</v>
      </c>
      <c r="D670" s="116" t="s">
        <v>84</v>
      </c>
      <c r="E670" s="125">
        <v>100</v>
      </c>
      <c r="F670" s="126">
        <v>107.5</v>
      </c>
      <c r="G670" s="126">
        <v>18</v>
      </c>
      <c r="I670" s="125">
        <f t="shared" si="10"/>
        <v>4</v>
      </c>
      <c r="J670" s="127">
        <v>3.7517499999999999</v>
      </c>
      <c r="M670" s="128"/>
    </row>
    <row r="671" spans="2:13">
      <c r="B671" s="116">
        <v>663</v>
      </c>
      <c r="C671" s="124" t="s">
        <v>824</v>
      </c>
      <c r="D671" s="116" t="s">
        <v>63</v>
      </c>
      <c r="E671" s="125">
        <v>47</v>
      </c>
      <c r="F671" s="126">
        <v>74.7</v>
      </c>
      <c r="G671" s="126">
        <v>8</v>
      </c>
      <c r="I671" s="125">
        <f t="shared" si="10"/>
        <v>3</v>
      </c>
      <c r="J671" s="127">
        <v>2.6742599999999999</v>
      </c>
      <c r="M671" s="128"/>
    </row>
    <row r="672" spans="2:13">
      <c r="B672" s="116">
        <v>664</v>
      </c>
      <c r="C672" s="124" t="s">
        <v>825</v>
      </c>
      <c r="D672" s="116" t="s">
        <v>51</v>
      </c>
      <c r="E672" s="125">
        <v>76</v>
      </c>
      <c r="F672" s="126">
        <v>138.9</v>
      </c>
      <c r="G672" s="126">
        <v>19</v>
      </c>
      <c r="I672" s="125">
        <f t="shared" si="10"/>
        <v>4</v>
      </c>
      <c r="J672" s="127">
        <v>3.2085900000000001</v>
      </c>
      <c r="M672" s="128"/>
    </row>
    <row r="673" spans="2:13">
      <c r="B673" s="116">
        <v>665</v>
      </c>
      <c r="C673" s="124" t="s">
        <v>826</v>
      </c>
      <c r="D673" s="116" t="s">
        <v>86</v>
      </c>
      <c r="E673" s="125">
        <v>50</v>
      </c>
      <c r="F673" s="126">
        <v>53.1</v>
      </c>
      <c r="G673" s="126">
        <v>8</v>
      </c>
      <c r="I673" s="125">
        <f t="shared" si="10"/>
        <v>3</v>
      </c>
      <c r="J673" s="127">
        <v>1.5664499999999999</v>
      </c>
      <c r="M673" s="128"/>
    </row>
    <row r="674" spans="2:13">
      <c r="B674" s="116">
        <v>666</v>
      </c>
      <c r="C674" s="124" t="s">
        <v>827</v>
      </c>
      <c r="D674" s="116" t="s">
        <v>65</v>
      </c>
      <c r="E674" s="125">
        <v>67</v>
      </c>
      <c r="F674" s="126">
        <v>101</v>
      </c>
      <c r="G674" s="126">
        <v>15</v>
      </c>
      <c r="I674" s="125">
        <f t="shared" si="10"/>
        <v>4</v>
      </c>
      <c r="J674" s="127">
        <v>3.2623000000000002</v>
      </c>
      <c r="M674" s="128"/>
    </row>
    <row r="675" spans="2:13">
      <c r="B675" s="116">
        <v>667</v>
      </c>
      <c r="C675" s="124" t="s">
        <v>828</v>
      </c>
      <c r="D675" s="116" t="s">
        <v>54</v>
      </c>
      <c r="E675" s="125">
        <v>72</v>
      </c>
      <c r="F675" s="126">
        <v>135.1</v>
      </c>
      <c r="G675" s="126">
        <v>14</v>
      </c>
      <c r="I675" s="125">
        <f t="shared" si="10"/>
        <v>4</v>
      </c>
      <c r="J675" s="127">
        <v>4.3907499999999997</v>
      </c>
      <c r="M675" s="128"/>
    </row>
    <row r="676" spans="2:13">
      <c r="B676" s="116">
        <v>668</v>
      </c>
      <c r="C676" s="124" t="s">
        <v>829</v>
      </c>
      <c r="D676" s="116" t="s">
        <v>78</v>
      </c>
      <c r="E676" s="125">
        <v>73</v>
      </c>
      <c r="F676" s="126">
        <v>85.1</v>
      </c>
      <c r="G676" s="126">
        <v>14</v>
      </c>
      <c r="I676" s="125">
        <f t="shared" si="10"/>
        <v>3</v>
      </c>
      <c r="J676" s="127">
        <v>1.9658099999999998</v>
      </c>
      <c r="M676" s="128"/>
    </row>
    <row r="677" spans="2:13">
      <c r="B677" s="116">
        <v>669</v>
      </c>
      <c r="C677" s="124" t="s">
        <v>830</v>
      </c>
      <c r="D677" s="116" t="s">
        <v>65</v>
      </c>
      <c r="E677" s="125">
        <v>64</v>
      </c>
      <c r="F677" s="126">
        <v>75.5</v>
      </c>
      <c r="G677" s="126">
        <v>8</v>
      </c>
      <c r="I677" s="125">
        <f t="shared" si="10"/>
        <v>3</v>
      </c>
      <c r="J677" s="127">
        <v>1.6609999999999998</v>
      </c>
      <c r="M677" s="128"/>
    </row>
    <row r="678" spans="2:13">
      <c r="B678" s="116">
        <v>670</v>
      </c>
      <c r="C678" s="124" t="s">
        <v>831</v>
      </c>
      <c r="D678" s="116" t="s">
        <v>65</v>
      </c>
      <c r="E678" s="125">
        <v>61</v>
      </c>
      <c r="F678" s="126">
        <v>99.1</v>
      </c>
      <c r="G678" s="126">
        <v>17</v>
      </c>
      <c r="I678" s="125">
        <f t="shared" si="10"/>
        <v>3</v>
      </c>
      <c r="J678" s="127">
        <v>3.4189500000000002</v>
      </c>
      <c r="M678" s="128"/>
    </row>
    <row r="679" spans="2:13">
      <c r="B679" s="116">
        <v>671</v>
      </c>
      <c r="C679" s="124" t="s">
        <v>832</v>
      </c>
      <c r="D679" s="116" t="s">
        <v>88</v>
      </c>
      <c r="E679" s="125">
        <v>51</v>
      </c>
      <c r="F679" s="126">
        <v>94.3</v>
      </c>
      <c r="G679" s="126">
        <v>15</v>
      </c>
      <c r="I679" s="125">
        <f t="shared" si="10"/>
        <v>3</v>
      </c>
      <c r="J679" s="127">
        <v>3.4136600000000001</v>
      </c>
      <c r="M679" s="128"/>
    </row>
    <row r="680" spans="2:13">
      <c r="B680" s="116">
        <v>672</v>
      </c>
      <c r="C680" s="124" t="s">
        <v>833</v>
      </c>
      <c r="D680" s="116" t="s">
        <v>51</v>
      </c>
      <c r="E680" s="125">
        <v>66</v>
      </c>
      <c r="F680" s="126">
        <v>90</v>
      </c>
      <c r="G680" s="126">
        <v>14</v>
      </c>
      <c r="I680" s="125">
        <f t="shared" si="10"/>
        <v>3</v>
      </c>
      <c r="J680" s="127">
        <v>2.0070000000000001</v>
      </c>
      <c r="M680" s="128"/>
    </row>
    <row r="681" spans="2:13">
      <c r="B681" s="116">
        <v>673</v>
      </c>
      <c r="C681" s="124" t="s">
        <v>834</v>
      </c>
      <c r="D681" s="116" t="s">
        <v>86</v>
      </c>
      <c r="E681" s="125">
        <v>49</v>
      </c>
      <c r="F681" s="126">
        <v>93</v>
      </c>
      <c r="G681" s="126">
        <v>18</v>
      </c>
      <c r="I681" s="125">
        <f t="shared" si="10"/>
        <v>3</v>
      </c>
      <c r="J681" s="127">
        <v>3.2550000000000003</v>
      </c>
      <c r="M681" s="128"/>
    </row>
    <row r="682" spans="2:13">
      <c r="B682" s="116">
        <v>674</v>
      </c>
      <c r="C682" s="124" t="s">
        <v>835</v>
      </c>
      <c r="D682" s="116" t="s">
        <v>88</v>
      </c>
      <c r="E682" s="125">
        <v>60</v>
      </c>
      <c r="F682" s="126">
        <v>75.7</v>
      </c>
      <c r="G682" s="126">
        <v>11</v>
      </c>
      <c r="I682" s="125">
        <f t="shared" si="10"/>
        <v>3</v>
      </c>
      <c r="J682" s="127">
        <v>2.93716</v>
      </c>
      <c r="M682" s="128"/>
    </row>
    <row r="683" spans="2:13">
      <c r="B683" s="116">
        <v>675</v>
      </c>
      <c r="C683" s="124" t="s">
        <v>836</v>
      </c>
      <c r="D683" s="116" t="s">
        <v>65</v>
      </c>
      <c r="E683" s="125">
        <v>83</v>
      </c>
      <c r="F683" s="126">
        <v>111.1</v>
      </c>
      <c r="G683" s="126">
        <v>20</v>
      </c>
      <c r="I683" s="125">
        <f t="shared" si="10"/>
        <v>4</v>
      </c>
      <c r="J683" s="127">
        <v>2.5664099999999999</v>
      </c>
      <c r="M683" s="128"/>
    </row>
    <row r="684" spans="2:13">
      <c r="B684" s="116">
        <v>676</v>
      </c>
      <c r="C684" s="124" t="s">
        <v>837</v>
      </c>
      <c r="D684" s="116" t="s">
        <v>65</v>
      </c>
      <c r="E684" s="125">
        <v>51</v>
      </c>
      <c r="F684" s="126">
        <v>54.4</v>
      </c>
      <c r="G684" s="126">
        <v>8</v>
      </c>
      <c r="I684" s="125">
        <f t="shared" si="10"/>
        <v>3</v>
      </c>
      <c r="J684" s="127">
        <v>1.3871999999999998</v>
      </c>
      <c r="M684" s="128"/>
    </row>
    <row r="685" spans="2:13">
      <c r="B685" s="116">
        <v>677</v>
      </c>
      <c r="C685" s="124" t="s">
        <v>838</v>
      </c>
      <c r="D685" s="116" t="s">
        <v>65</v>
      </c>
      <c r="E685" s="125">
        <v>85</v>
      </c>
      <c r="F685" s="126">
        <v>117.6</v>
      </c>
      <c r="G685" s="126">
        <v>18</v>
      </c>
      <c r="I685" s="125">
        <f t="shared" si="10"/>
        <v>4</v>
      </c>
      <c r="J685" s="127">
        <v>2.6577599999999997</v>
      </c>
      <c r="M685" s="128"/>
    </row>
    <row r="686" spans="2:13">
      <c r="B686" s="116">
        <v>678</v>
      </c>
      <c r="C686" s="124" t="s">
        <v>839</v>
      </c>
      <c r="D686" s="116" t="s">
        <v>86</v>
      </c>
      <c r="E686" s="125">
        <v>92</v>
      </c>
      <c r="F686" s="126">
        <v>180.1</v>
      </c>
      <c r="G686" s="126">
        <v>22</v>
      </c>
      <c r="I686" s="125">
        <f t="shared" si="10"/>
        <v>6</v>
      </c>
      <c r="J686" s="127">
        <v>3.7640899999999995</v>
      </c>
      <c r="M686" s="128"/>
    </row>
    <row r="687" spans="2:13">
      <c r="B687" s="116">
        <v>679</v>
      </c>
      <c r="C687" s="124" t="s">
        <v>840</v>
      </c>
      <c r="D687" s="116" t="s">
        <v>65</v>
      </c>
      <c r="E687" s="125">
        <v>48</v>
      </c>
      <c r="F687" s="126">
        <v>93.5</v>
      </c>
      <c r="G687" s="126">
        <v>11</v>
      </c>
      <c r="I687" s="125">
        <f t="shared" si="10"/>
        <v>3</v>
      </c>
      <c r="J687" s="127">
        <v>2.8797999999999999</v>
      </c>
      <c r="M687" s="128"/>
    </row>
    <row r="688" spans="2:13">
      <c r="B688" s="116">
        <v>680</v>
      </c>
      <c r="C688" s="124" t="s">
        <v>841</v>
      </c>
      <c r="D688" s="116" t="s">
        <v>78</v>
      </c>
      <c r="E688" s="125">
        <v>99</v>
      </c>
      <c r="F688" s="126">
        <v>152</v>
      </c>
      <c r="G688" s="126">
        <v>30</v>
      </c>
      <c r="I688" s="125">
        <f t="shared" si="10"/>
        <v>5</v>
      </c>
      <c r="J688" s="127">
        <v>3.04</v>
      </c>
      <c r="M688" s="128"/>
    </row>
    <row r="689" spans="2:13">
      <c r="B689" s="116">
        <v>681</v>
      </c>
      <c r="C689" s="124" t="s">
        <v>842</v>
      </c>
      <c r="D689" s="116" t="s">
        <v>84</v>
      </c>
      <c r="E689" s="125">
        <v>68</v>
      </c>
      <c r="F689" s="126">
        <v>96.8</v>
      </c>
      <c r="G689" s="126">
        <v>16</v>
      </c>
      <c r="I689" s="125">
        <f t="shared" si="10"/>
        <v>3</v>
      </c>
      <c r="J689" s="127">
        <v>2.4006399999999997</v>
      </c>
      <c r="M689" s="128"/>
    </row>
    <row r="690" spans="2:13">
      <c r="B690" s="116">
        <v>682</v>
      </c>
      <c r="C690" s="124" t="s">
        <v>843</v>
      </c>
      <c r="D690" s="116" t="s">
        <v>86</v>
      </c>
      <c r="E690" s="125">
        <v>75</v>
      </c>
      <c r="F690" s="126">
        <v>97.4</v>
      </c>
      <c r="G690" s="126">
        <v>12</v>
      </c>
      <c r="I690" s="125">
        <f t="shared" si="10"/>
        <v>3</v>
      </c>
      <c r="J690" s="127">
        <v>3.0096600000000002</v>
      </c>
      <c r="M690" s="128"/>
    </row>
    <row r="691" spans="2:13">
      <c r="B691" s="116">
        <v>683</v>
      </c>
      <c r="C691" s="124" t="s">
        <v>844</v>
      </c>
      <c r="D691" s="116" t="s">
        <v>78</v>
      </c>
      <c r="E691" s="125">
        <v>91</v>
      </c>
      <c r="F691" s="126">
        <v>110.9</v>
      </c>
      <c r="G691" s="126">
        <v>17</v>
      </c>
      <c r="I691" s="125">
        <f t="shared" si="10"/>
        <v>4</v>
      </c>
      <c r="J691" s="127">
        <v>3.7595100000000001</v>
      </c>
      <c r="M691" s="128"/>
    </row>
    <row r="692" spans="2:13">
      <c r="B692" s="116">
        <v>684</v>
      </c>
      <c r="C692" s="124" t="s">
        <v>845</v>
      </c>
      <c r="D692" s="116" t="s">
        <v>65</v>
      </c>
      <c r="E692" s="125">
        <v>81</v>
      </c>
      <c r="F692" s="126">
        <v>138.6</v>
      </c>
      <c r="G692" s="126">
        <v>17</v>
      </c>
      <c r="I692" s="125">
        <f t="shared" si="10"/>
        <v>4</v>
      </c>
      <c r="J692" s="127">
        <v>4.0055399999999999</v>
      </c>
      <c r="M692" s="128"/>
    </row>
    <row r="693" spans="2:13">
      <c r="B693" s="116">
        <v>685</v>
      </c>
      <c r="C693" s="124" t="s">
        <v>846</v>
      </c>
      <c r="D693" s="116" t="s">
        <v>86</v>
      </c>
      <c r="E693" s="125">
        <v>60</v>
      </c>
      <c r="F693" s="126">
        <v>112.3</v>
      </c>
      <c r="G693" s="126">
        <v>15</v>
      </c>
      <c r="I693" s="125">
        <f t="shared" si="10"/>
        <v>4</v>
      </c>
      <c r="J693" s="127">
        <v>4.0315700000000003</v>
      </c>
      <c r="M693" s="128"/>
    </row>
    <row r="694" spans="2:13">
      <c r="B694" s="116">
        <v>686</v>
      </c>
      <c r="C694" s="124" t="s">
        <v>847</v>
      </c>
      <c r="D694" s="116" t="s">
        <v>84</v>
      </c>
      <c r="E694" s="125">
        <v>86</v>
      </c>
      <c r="F694" s="126">
        <v>142.80000000000001</v>
      </c>
      <c r="G694" s="126">
        <v>29</v>
      </c>
      <c r="I694" s="125">
        <f t="shared" si="10"/>
        <v>5</v>
      </c>
      <c r="J694" s="127">
        <v>2.9274000000000004</v>
      </c>
      <c r="M694" s="128"/>
    </row>
    <row r="695" spans="2:13">
      <c r="B695" s="116">
        <v>687</v>
      </c>
      <c r="C695" s="124" t="s">
        <v>848</v>
      </c>
      <c r="D695" s="116" t="s">
        <v>86</v>
      </c>
      <c r="E695" s="125">
        <v>50</v>
      </c>
      <c r="F695" s="126">
        <v>77.599999999999994</v>
      </c>
      <c r="G695" s="126">
        <v>8</v>
      </c>
      <c r="I695" s="125">
        <f t="shared" si="10"/>
        <v>3</v>
      </c>
      <c r="J695" s="127">
        <v>1.9710399999999997</v>
      </c>
      <c r="M695" s="128"/>
    </row>
    <row r="696" spans="2:13">
      <c r="B696" s="116">
        <v>688</v>
      </c>
      <c r="C696" s="124" t="s">
        <v>849</v>
      </c>
      <c r="D696" s="116" t="s">
        <v>88</v>
      </c>
      <c r="E696" s="125">
        <v>38</v>
      </c>
      <c r="F696" s="126">
        <v>66.7</v>
      </c>
      <c r="G696" s="126">
        <v>7</v>
      </c>
      <c r="I696" s="125">
        <f t="shared" si="10"/>
        <v>3</v>
      </c>
      <c r="J696" s="127">
        <v>1.8475900000000001</v>
      </c>
      <c r="M696" s="128"/>
    </row>
    <row r="697" spans="2:13">
      <c r="B697" s="116">
        <v>689</v>
      </c>
      <c r="C697" s="124" t="s">
        <v>850</v>
      </c>
      <c r="D697" s="116" t="s">
        <v>86</v>
      </c>
      <c r="E697" s="125">
        <v>49</v>
      </c>
      <c r="F697" s="126">
        <v>88.2</v>
      </c>
      <c r="G697" s="126">
        <v>10</v>
      </c>
      <c r="I697" s="125">
        <f t="shared" si="10"/>
        <v>3</v>
      </c>
      <c r="J697" s="127">
        <v>3.28986</v>
      </c>
      <c r="M697" s="128"/>
    </row>
    <row r="698" spans="2:13">
      <c r="B698" s="116">
        <v>690</v>
      </c>
      <c r="C698" s="124" t="s">
        <v>851</v>
      </c>
      <c r="D698" s="116" t="s">
        <v>65</v>
      </c>
      <c r="E698" s="125">
        <v>91</v>
      </c>
      <c r="F698" s="126">
        <v>127</v>
      </c>
      <c r="G698" s="126">
        <v>15</v>
      </c>
      <c r="I698" s="125">
        <f t="shared" si="10"/>
        <v>4</v>
      </c>
      <c r="J698" s="127">
        <v>3.2130999999999998</v>
      </c>
      <c r="M698" s="128"/>
    </row>
    <row r="699" spans="2:13">
      <c r="B699" s="116">
        <v>691</v>
      </c>
      <c r="C699" s="124" t="s">
        <v>852</v>
      </c>
      <c r="D699" s="116" t="s">
        <v>65</v>
      </c>
      <c r="E699" s="125">
        <v>89</v>
      </c>
      <c r="F699" s="126">
        <v>139.69999999999999</v>
      </c>
      <c r="G699" s="126">
        <v>21</v>
      </c>
      <c r="I699" s="125">
        <f t="shared" si="10"/>
        <v>4</v>
      </c>
      <c r="J699" s="127">
        <v>5.3225699999999998</v>
      </c>
      <c r="M699" s="128"/>
    </row>
    <row r="700" spans="2:13">
      <c r="B700" s="116">
        <v>692</v>
      </c>
      <c r="C700" s="124" t="s">
        <v>853</v>
      </c>
      <c r="D700" s="116" t="s">
        <v>86</v>
      </c>
      <c r="E700" s="125">
        <v>35</v>
      </c>
      <c r="F700" s="126">
        <v>52.3</v>
      </c>
      <c r="G700" s="126">
        <v>9</v>
      </c>
      <c r="I700" s="125">
        <f t="shared" si="10"/>
        <v>3</v>
      </c>
      <c r="J700" s="127">
        <v>1.0826099999999999</v>
      </c>
      <c r="M700" s="128"/>
    </row>
    <row r="701" spans="2:13">
      <c r="B701" s="116">
        <v>693</v>
      </c>
      <c r="C701" s="124" t="s">
        <v>854</v>
      </c>
      <c r="D701" s="116" t="s">
        <v>86</v>
      </c>
      <c r="E701" s="125">
        <v>57</v>
      </c>
      <c r="F701" s="126">
        <v>62.2</v>
      </c>
      <c r="G701" s="126">
        <v>9</v>
      </c>
      <c r="I701" s="125">
        <f t="shared" si="10"/>
        <v>3</v>
      </c>
      <c r="J701" s="127">
        <v>1.53634</v>
      </c>
      <c r="M701" s="128"/>
    </row>
    <row r="702" spans="2:13">
      <c r="B702" s="116">
        <v>694</v>
      </c>
      <c r="C702" s="124" t="s">
        <v>855</v>
      </c>
      <c r="D702" s="116" t="s">
        <v>84</v>
      </c>
      <c r="E702" s="125">
        <v>61</v>
      </c>
      <c r="F702" s="126">
        <v>119.4</v>
      </c>
      <c r="G702" s="126">
        <v>19</v>
      </c>
      <c r="I702" s="125">
        <f t="shared" si="10"/>
        <v>4</v>
      </c>
      <c r="J702" s="127">
        <v>4.2625800000000007</v>
      </c>
      <c r="M702" s="128"/>
    </row>
    <row r="703" spans="2:13">
      <c r="B703" s="116">
        <v>695</v>
      </c>
      <c r="C703" s="124" t="s">
        <v>856</v>
      </c>
      <c r="D703" s="116" t="s">
        <v>92</v>
      </c>
      <c r="E703" s="125">
        <v>79</v>
      </c>
      <c r="F703" s="126">
        <v>116.8</v>
      </c>
      <c r="G703" s="126">
        <v>20</v>
      </c>
      <c r="I703" s="125">
        <f t="shared" si="10"/>
        <v>4</v>
      </c>
      <c r="J703" s="127">
        <v>3.2236799999999999</v>
      </c>
      <c r="M703" s="128"/>
    </row>
    <row r="704" spans="2:13">
      <c r="B704" s="116">
        <v>696</v>
      </c>
      <c r="C704" s="124" t="s">
        <v>857</v>
      </c>
      <c r="D704" s="116" t="s">
        <v>65</v>
      </c>
      <c r="E704" s="125">
        <v>57</v>
      </c>
      <c r="F704" s="126">
        <v>107.2</v>
      </c>
      <c r="G704" s="126">
        <v>18</v>
      </c>
      <c r="I704" s="125">
        <f t="shared" si="10"/>
        <v>4</v>
      </c>
      <c r="J704" s="127">
        <v>2.4548800000000002</v>
      </c>
      <c r="M704" s="128"/>
    </row>
    <row r="705" spans="2:13">
      <c r="B705" s="116">
        <v>697</v>
      </c>
      <c r="C705" s="124" t="s">
        <v>858</v>
      </c>
      <c r="D705" s="116" t="s">
        <v>86</v>
      </c>
      <c r="E705" s="125">
        <v>54</v>
      </c>
      <c r="F705" s="126">
        <v>74</v>
      </c>
      <c r="G705" s="126">
        <v>9</v>
      </c>
      <c r="I705" s="125">
        <f t="shared" si="10"/>
        <v>3</v>
      </c>
      <c r="J705" s="127">
        <v>2.4493999999999998</v>
      </c>
      <c r="M705" s="128"/>
    </row>
    <row r="706" spans="2:13">
      <c r="B706" s="116">
        <v>698</v>
      </c>
      <c r="C706" s="124" t="s">
        <v>859</v>
      </c>
      <c r="D706" s="116" t="s">
        <v>65</v>
      </c>
      <c r="E706" s="125">
        <v>80</v>
      </c>
      <c r="F706" s="126">
        <v>141.1</v>
      </c>
      <c r="G706" s="126">
        <v>20</v>
      </c>
      <c r="I706" s="125">
        <f t="shared" si="10"/>
        <v>5</v>
      </c>
      <c r="J706" s="127">
        <v>4.9243899999999998</v>
      </c>
      <c r="M706" s="128"/>
    </row>
    <row r="707" spans="2:13">
      <c r="B707" s="116">
        <v>699</v>
      </c>
      <c r="C707" s="124" t="s">
        <v>860</v>
      </c>
      <c r="D707" s="116" t="s">
        <v>86</v>
      </c>
      <c r="E707" s="125">
        <v>79</v>
      </c>
      <c r="F707" s="126">
        <v>113.4</v>
      </c>
      <c r="G707" s="126">
        <v>12</v>
      </c>
      <c r="I707" s="125">
        <f t="shared" si="10"/>
        <v>4</v>
      </c>
      <c r="J707" s="127">
        <v>3.98034</v>
      </c>
      <c r="M707" s="128"/>
    </row>
    <row r="708" spans="2:13">
      <c r="B708" s="116">
        <v>700</v>
      </c>
      <c r="C708" s="124" t="s">
        <v>861</v>
      </c>
      <c r="D708" s="116" t="s">
        <v>84</v>
      </c>
      <c r="E708" s="125">
        <v>100</v>
      </c>
      <c r="F708" s="126">
        <v>190.7</v>
      </c>
      <c r="G708" s="126">
        <v>34</v>
      </c>
      <c r="I708" s="125">
        <f t="shared" si="10"/>
        <v>6</v>
      </c>
      <c r="J708" s="127">
        <v>4.9391299999999996</v>
      </c>
      <c r="M708" s="128"/>
    </row>
    <row r="709" spans="2:13">
      <c r="B709" s="116">
        <v>701</v>
      </c>
      <c r="C709" s="124" t="s">
        <v>862</v>
      </c>
      <c r="D709" s="116" t="s">
        <v>78</v>
      </c>
      <c r="E709" s="125">
        <v>84</v>
      </c>
      <c r="F709" s="126">
        <v>105.8</v>
      </c>
      <c r="G709" s="126">
        <v>13</v>
      </c>
      <c r="I709" s="125">
        <f t="shared" si="10"/>
        <v>4</v>
      </c>
      <c r="J709" s="127">
        <v>3.6395200000000001</v>
      </c>
      <c r="M709" s="128"/>
    </row>
    <row r="710" spans="2:13">
      <c r="B710" s="116">
        <v>702</v>
      </c>
      <c r="C710" s="124" t="s">
        <v>863</v>
      </c>
      <c r="D710" s="116" t="s">
        <v>65</v>
      </c>
      <c r="E710" s="125">
        <v>50</v>
      </c>
      <c r="F710" s="126">
        <v>87.3</v>
      </c>
      <c r="G710" s="126">
        <v>17</v>
      </c>
      <c r="I710" s="125">
        <f t="shared" si="10"/>
        <v>3</v>
      </c>
      <c r="J710" s="127">
        <v>3.0118500000000004</v>
      </c>
      <c r="M710" s="128"/>
    </row>
    <row r="711" spans="2:13">
      <c r="B711" s="116">
        <v>703</v>
      </c>
      <c r="C711" s="124" t="s">
        <v>864</v>
      </c>
      <c r="D711" s="116" t="s">
        <v>78</v>
      </c>
      <c r="E711" s="125">
        <v>71</v>
      </c>
      <c r="F711" s="126">
        <v>104.1</v>
      </c>
      <c r="G711" s="126">
        <v>15</v>
      </c>
      <c r="I711" s="125">
        <f t="shared" si="10"/>
        <v>4</v>
      </c>
      <c r="J711" s="127">
        <v>2.4255300000000002</v>
      </c>
      <c r="M711" s="128"/>
    </row>
    <row r="712" spans="2:13">
      <c r="B712" s="116">
        <v>704</v>
      </c>
      <c r="C712" s="124" t="s">
        <v>865</v>
      </c>
      <c r="D712" s="116" t="s">
        <v>65</v>
      </c>
      <c r="E712" s="125">
        <v>91</v>
      </c>
      <c r="F712" s="126">
        <v>168.5</v>
      </c>
      <c r="G712" s="126">
        <v>22</v>
      </c>
      <c r="I712" s="125">
        <f t="shared" si="10"/>
        <v>5</v>
      </c>
      <c r="J712" s="127">
        <v>5.8637999999999995</v>
      </c>
      <c r="M712" s="128"/>
    </row>
    <row r="713" spans="2:13">
      <c r="B713" s="116">
        <v>705</v>
      </c>
      <c r="C713" s="124" t="s">
        <v>866</v>
      </c>
      <c r="D713" s="116" t="s">
        <v>65</v>
      </c>
      <c r="E713" s="125">
        <v>55</v>
      </c>
      <c r="F713" s="126">
        <v>69.3</v>
      </c>
      <c r="G713" s="126">
        <v>9</v>
      </c>
      <c r="I713" s="125">
        <f t="shared" ref="I713:I776" si="11">IF(F713&lt;=100,3,IF(F713&lt;=140,4,IF(F713&lt;=175,5,6)))</f>
        <v>3</v>
      </c>
      <c r="J713" s="127">
        <v>2.4116399999999998</v>
      </c>
      <c r="M713" s="128"/>
    </row>
    <row r="714" spans="2:13">
      <c r="B714" s="116">
        <v>706</v>
      </c>
      <c r="C714" s="124" t="s">
        <v>867</v>
      </c>
      <c r="D714" s="116" t="s">
        <v>86</v>
      </c>
      <c r="E714" s="125">
        <v>46</v>
      </c>
      <c r="F714" s="126">
        <v>57.5</v>
      </c>
      <c r="G714" s="126">
        <v>9</v>
      </c>
      <c r="I714" s="125">
        <f t="shared" si="11"/>
        <v>3</v>
      </c>
      <c r="J714" s="127">
        <v>1.1557500000000001</v>
      </c>
      <c r="M714" s="128"/>
    </row>
    <row r="715" spans="2:13">
      <c r="B715" s="116">
        <v>707</v>
      </c>
      <c r="C715" s="124" t="s">
        <v>868</v>
      </c>
      <c r="D715" s="116" t="s">
        <v>65</v>
      </c>
      <c r="E715" s="125">
        <v>44</v>
      </c>
      <c r="F715" s="126">
        <v>45</v>
      </c>
      <c r="G715" s="126">
        <v>8</v>
      </c>
      <c r="I715" s="125">
        <f t="shared" si="11"/>
        <v>3</v>
      </c>
      <c r="J715" s="127">
        <v>0.96299999999999997</v>
      </c>
      <c r="M715" s="128"/>
    </row>
    <row r="716" spans="2:13">
      <c r="B716" s="116">
        <v>708</v>
      </c>
      <c r="C716" s="124" t="s">
        <v>869</v>
      </c>
      <c r="D716" s="116" t="s">
        <v>84</v>
      </c>
      <c r="E716" s="125">
        <v>80</v>
      </c>
      <c r="F716" s="126">
        <v>137.69999999999999</v>
      </c>
      <c r="G716" s="126">
        <v>14</v>
      </c>
      <c r="I716" s="125">
        <f t="shared" si="11"/>
        <v>4</v>
      </c>
      <c r="J716" s="127">
        <v>4.3513200000000003</v>
      </c>
      <c r="M716" s="128"/>
    </row>
    <row r="717" spans="2:13">
      <c r="B717" s="116">
        <v>709</v>
      </c>
      <c r="C717" s="124" t="s">
        <v>870</v>
      </c>
      <c r="D717" s="116" t="s">
        <v>65</v>
      </c>
      <c r="E717" s="125">
        <v>49</v>
      </c>
      <c r="F717" s="126">
        <v>76.7</v>
      </c>
      <c r="G717" s="126">
        <v>8</v>
      </c>
      <c r="I717" s="125">
        <f t="shared" si="11"/>
        <v>3</v>
      </c>
      <c r="J717" s="127">
        <v>3.0680000000000001</v>
      </c>
      <c r="M717" s="128"/>
    </row>
    <row r="718" spans="2:13">
      <c r="B718" s="116">
        <v>710</v>
      </c>
      <c r="C718" s="124" t="s">
        <v>871</v>
      </c>
      <c r="D718" s="116" t="s">
        <v>65</v>
      </c>
      <c r="E718" s="125">
        <v>84</v>
      </c>
      <c r="F718" s="126">
        <v>161</v>
      </c>
      <c r="G718" s="126">
        <v>21</v>
      </c>
      <c r="I718" s="125">
        <f t="shared" si="11"/>
        <v>5</v>
      </c>
      <c r="J718" s="127">
        <v>5.3935000000000004</v>
      </c>
      <c r="M718" s="128"/>
    </row>
    <row r="719" spans="2:13">
      <c r="B719" s="116">
        <v>711</v>
      </c>
      <c r="C719" s="124" t="s">
        <v>872</v>
      </c>
      <c r="D719" s="116" t="s">
        <v>84</v>
      </c>
      <c r="E719" s="125">
        <v>63</v>
      </c>
      <c r="F719" s="126">
        <v>67.8</v>
      </c>
      <c r="G719" s="126">
        <v>12</v>
      </c>
      <c r="I719" s="125">
        <f t="shared" si="11"/>
        <v>3</v>
      </c>
      <c r="J719" s="127">
        <v>1.44414</v>
      </c>
      <c r="M719" s="128"/>
    </row>
    <row r="720" spans="2:13">
      <c r="B720" s="116">
        <v>712</v>
      </c>
      <c r="C720" s="124" t="s">
        <v>873</v>
      </c>
      <c r="D720" s="116" t="s">
        <v>65</v>
      </c>
      <c r="E720" s="125">
        <v>69</v>
      </c>
      <c r="F720" s="126">
        <v>74</v>
      </c>
      <c r="G720" s="126">
        <v>11</v>
      </c>
      <c r="I720" s="125">
        <f t="shared" si="11"/>
        <v>3</v>
      </c>
      <c r="J720" s="127">
        <v>2.5751999999999997</v>
      </c>
      <c r="M720" s="128"/>
    </row>
    <row r="721" spans="2:13">
      <c r="B721" s="116">
        <v>713</v>
      </c>
      <c r="C721" s="124" t="s">
        <v>874</v>
      </c>
      <c r="D721" s="116" t="s">
        <v>86</v>
      </c>
      <c r="E721" s="125">
        <v>48</v>
      </c>
      <c r="F721" s="126">
        <v>60.4</v>
      </c>
      <c r="G721" s="126">
        <v>6</v>
      </c>
      <c r="I721" s="125">
        <f t="shared" si="11"/>
        <v>3</v>
      </c>
      <c r="J721" s="127">
        <v>1.56436</v>
      </c>
      <c r="M721" s="128"/>
    </row>
    <row r="722" spans="2:13">
      <c r="B722" s="116">
        <v>714</v>
      </c>
      <c r="C722" s="124" t="s">
        <v>875</v>
      </c>
      <c r="D722" s="116" t="s">
        <v>84</v>
      </c>
      <c r="E722" s="125">
        <v>35</v>
      </c>
      <c r="F722" s="126">
        <v>58.5</v>
      </c>
      <c r="G722" s="126">
        <v>8</v>
      </c>
      <c r="I722" s="125">
        <f t="shared" si="11"/>
        <v>3</v>
      </c>
      <c r="J722" s="127">
        <v>1.8836999999999999</v>
      </c>
      <c r="M722" s="128"/>
    </row>
    <row r="723" spans="2:13">
      <c r="B723" s="116">
        <v>715</v>
      </c>
      <c r="C723" s="124" t="s">
        <v>876</v>
      </c>
      <c r="D723" s="116" t="s">
        <v>88</v>
      </c>
      <c r="E723" s="125">
        <v>94</v>
      </c>
      <c r="F723" s="126">
        <v>158</v>
      </c>
      <c r="G723" s="126">
        <v>24</v>
      </c>
      <c r="I723" s="125">
        <f t="shared" si="11"/>
        <v>5</v>
      </c>
      <c r="J723" s="127">
        <v>5.1507999999999994</v>
      </c>
      <c r="M723" s="128"/>
    </row>
    <row r="724" spans="2:13">
      <c r="B724" s="116">
        <v>716</v>
      </c>
      <c r="C724" s="124" t="s">
        <v>877</v>
      </c>
      <c r="D724" s="116" t="s">
        <v>78</v>
      </c>
      <c r="E724" s="125">
        <v>37</v>
      </c>
      <c r="F724" s="126">
        <v>41.1</v>
      </c>
      <c r="G724" s="126">
        <v>6</v>
      </c>
      <c r="I724" s="125">
        <f t="shared" si="11"/>
        <v>3</v>
      </c>
      <c r="J724" s="127">
        <v>1.2987600000000001</v>
      </c>
      <c r="M724" s="128"/>
    </row>
    <row r="725" spans="2:13">
      <c r="B725" s="116">
        <v>717</v>
      </c>
      <c r="C725" s="124" t="s">
        <v>878</v>
      </c>
      <c r="D725" s="116" t="s">
        <v>84</v>
      </c>
      <c r="E725" s="125">
        <v>42</v>
      </c>
      <c r="F725" s="126">
        <v>42.8</v>
      </c>
      <c r="G725" s="126">
        <v>4</v>
      </c>
      <c r="I725" s="125">
        <f t="shared" si="11"/>
        <v>3</v>
      </c>
      <c r="J725" s="127">
        <v>0.94588000000000005</v>
      </c>
      <c r="M725" s="128"/>
    </row>
    <row r="726" spans="2:13">
      <c r="B726" s="116">
        <v>718</v>
      </c>
      <c r="C726" s="124" t="s">
        <v>879</v>
      </c>
      <c r="D726" s="116" t="s">
        <v>78</v>
      </c>
      <c r="E726" s="125">
        <v>56</v>
      </c>
      <c r="F726" s="126">
        <v>71.8</v>
      </c>
      <c r="G726" s="126">
        <v>10</v>
      </c>
      <c r="I726" s="125">
        <f t="shared" si="11"/>
        <v>3</v>
      </c>
      <c r="J726" s="127">
        <v>2.6494200000000001</v>
      </c>
      <c r="M726" s="128"/>
    </row>
    <row r="727" spans="2:13">
      <c r="B727" s="116">
        <v>719</v>
      </c>
      <c r="C727" s="124" t="s">
        <v>880</v>
      </c>
      <c r="D727" s="116" t="s">
        <v>63</v>
      </c>
      <c r="E727" s="125">
        <v>61</v>
      </c>
      <c r="F727" s="126">
        <v>108.7</v>
      </c>
      <c r="G727" s="126">
        <v>20</v>
      </c>
      <c r="I727" s="125">
        <f t="shared" si="11"/>
        <v>4</v>
      </c>
      <c r="J727" s="127">
        <v>3.2392600000000003</v>
      </c>
      <c r="M727" s="128"/>
    </row>
    <row r="728" spans="2:13">
      <c r="B728" s="116">
        <v>720</v>
      </c>
      <c r="C728" s="124" t="s">
        <v>881</v>
      </c>
      <c r="D728" s="116" t="s">
        <v>65</v>
      </c>
      <c r="E728" s="125">
        <v>69</v>
      </c>
      <c r="F728" s="126">
        <v>73.900000000000006</v>
      </c>
      <c r="G728" s="126">
        <v>12</v>
      </c>
      <c r="I728" s="125">
        <f t="shared" si="11"/>
        <v>3</v>
      </c>
      <c r="J728" s="127">
        <v>2.6604000000000001</v>
      </c>
      <c r="M728" s="128"/>
    </row>
    <row r="729" spans="2:13">
      <c r="B729" s="116">
        <v>721</v>
      </c>
      <c r="C729" s="124" t="s">
        <v>882</v>
      </c>
      <c r="D729" s="116" t="s">
        <v>65</v>
      </c>
      <c r="E729" s="125">
        <v>67</v>
      </c>
      <c r="F729" s="126">
        <v>100.9</v>
      </c>
      <c r="G729" s="126">
        <v>12</v>
      </c>
      <c r="I729" s="125">
        <f t="shared" si="11"/>
        <v>4</v>
      </c>
      <c r="J729" s="127">
        <v>3.0270000000000001</v>
      </c>
      <c r="M729" s="128"/>
    </row>
    <row r="730" spans="2:13">
      <c r="B730" s="116">
        <v>722</v>
      </c>
      <c r="C730" s="124" t="s">
        <v>883</v>
      </c>
      <c r="D730" s="116" t="s">
        <v>78</v>
      </c>
      <c r="E730" s="125">
        <v>41</v>
      </c>
      <c r="F730" s="126">
        <v>71.5</v>
      </c>
      <c r="G730" s="126">
        <v>10</v>
      </c>
      <c r="I730" s="125">
        <f t="shared" si="11"/>
        <v>3</v>
      </c>
      <c r="J730" s="127">
        <v>2.1021000000000001</v>
      </c>
      <c r="M730" s="128"/>
    </row>
    <row r="731" spans="2:13">
      <c r="B731" s="116">
        <v>723</v>
      </c>
      <c r="C731" s="124" t="s">
        <v>884</v>
      </c>
      <c r="D731" s="116" t="s">
        <v>63</v>
      </c>
      <c r="E731" s="125">
        <v>62</v>
      </c>
      <c r="F731" s="126">
        <v>93.1</v>
      </c>
      <c r="G731" s="126">
        <v>17</v>
      </c>
      <c r="I731" s="125">
        <f t="shared" si="11"/>
        <v>3</v>
      </c>
      <c r="J731" s="127">
        <v>2.4950799999999997</v>
      </c>
      <c r="M731" s="128"/>
    </row>
    <row r="732" spans="2:13">
      <c r="B732" s="116">
        <v>724</v>
      </c>
      <c r="C732" s="124" t="s">
        <v>885</v>
      </c>
      <c r="D732" s="116" t="s">
        <v>63</v>
      </c>
      <c r="E732" s="125">
        <v>78</v>
      </c>
      <c r="F732" s="126">
        <v>119.8</v>
      </c>
      <c r="G732" s="126">
        <v>20</v>
      </c>
      <c r="I732" s="125">
        <f t="shared" si="11"/>
        <v>4</v>
      </c>
      <c r="J732" s="127">
        <v>4.4086400000000001</v>
      </c>
      <c r="M732" s="128"/>
    </row>
    <row r="733" spans="2:13">
      <c r="B733" s="116">
        <v>725</v>
      </c>
      <c r="C733" s="124" t="s">
        <v>886</v>
      </c>
      <c r="D733" s="116" t="s">
        <v>51</v>
      </c>
      <c r="E733" s="125">
        <v>47</v>
      </c>
      <c r="F733" s="126">
        <v>75.2</v>
      </c>
      <c r="G733" s="126">
        <v>8</v>
      </c>
      <c r="I733" s="125">
        <f t="shared" si="11"/>
        <v>3</v>
      </c>
      <c r="J733" s="127">
        <v>2.8576000000000001</v>
      </c>
      <c r="M733" s="128"/>
    </row>
    <row r="734" spans="2:13">
      <c r="B734" s="116">
        <v>726</v>
      </c>
      <c r="C734" s="124" t="s">
        <v>887</v>
      </c>
      <c r="D734" s="116" t="s">
        <v>78</v>
      </c>
      <c r="E734" s="125">
        <v>80</v>
      </c>
      <c r="F734" s="126">
        <v>128.80000000000001</v>
      </c>
      <c r="G734" s="126">
        <v>22</v>
      </c>
      <c r="I734" s="125">
        <f t="shared" si="11"/>
        <v>4</v>
      </c>
      <c r="J734" s="127">
        <v>2.7692000000000001</v>
      </c>
      <c r="M734" s="128"/>
    </row>
    <row r="735" spans="2:13">
      <c r="B735" s="116">
        <v>727</v>
      </c>
      <c r="C735" s="124" t="s">
        <v>888</v>
      </c>
      <c r="D735" s="116" t="s">
        <v>88</v>
      </c>
      <c r="E735" s="125">
        <v>56</v>
      </c>
      <c r="F735" s="126">
        <v>91.7</v>
      </c>
      <c r="G735" s="126">
        <v>10</v>
      </c>
      <c r="I735" s="125">
        <f t="shared" si="11"/>
        <v>3</v>
      </c>
      <c r="J735" s="127">
        <v>2.69598</v>
      </c>
      <c r="M735" s="128"/>
    </row>
    <row r="736" spans="2:13">
      <c r="B736" s="116">
        <v>728</v>
      </c>
      <c r="C736" s="124" t="s">
        <v>889</v>
      </c>
      <c r="D736" s="116" t="s">
        <v>86</v>
      </c>
      <c r="E736" s="125">
        <v>70</v>
      </c>
      <c r="F736" s="126">
        <v>130.69999999999999</v>
      </c>
      <c r="G736" s="126">
        <v>22</v>
      </c>
      <c r="I736" s="125">
        <f t="shared" si="11"/>
        <v>4</v>
      </c>
      <c r="J736" s="127">
        <v>4.5352899999999998</v>
      </c>
      <c r="M736" s="128"/>
    </row>
    <row r="737" spans="2:13">
      <c r="B737" s="116">
        <v>729</v>
      </c>
      <c r="C737" s="124" t="s">
        <v>890</v>
      </c>
      <c r="D737" s="116" t="s">
        <v>86</v>
      </c>
      <c r="E737" s="125">
        <v>58</v>
      </c>
      <c r="F737" s="126">
        <v>59.6</v>
      </c>
      <c r="G737" s="126">
        <v>7</v>
      </c>
      <c r="I737" s="125">
        <f t="shared" si="11"/>
        <v>3</v>
      </c>
      <c r="J737" s="127">
        <v>2.0800399999999999</v>
      </c>
      <c r="M737" s="128"/>
    </row>
    <row r="738" spans="2:13">
      <c r="B738" s="116">
        <v>730</v>
      </c>
      <c r="C738" s="124" t="s">
        <v>891</v>
      </c>
      <c r="D738" s="116" t="s">
        <v>76</v>
      </c>
      <c r="E738" s="125">
        <v>41</v>
      </c>
      <c r="F738" s="126">
        <v>80.400000000000006</v>
      </c>
      <c r="G738" s="126">
        <v>11</v>
      </c>
      <c r="I738" s="125">
        <f t="shared" si="11"/>
        <v>3</v>
      </c>
      <c r="J738" s="127">
        <v>3.0230400000000004</v>
      </c>
      <c r="M738" s="128"/>
    </row>
    <row r="739" spans="2:13">
      <c r="B739" s="116">
        <v>731</v>
      </c>
      <c r="C739" s="124" t="s">
        <v>892</v>
      </c>
      <c r="D739" s="116" t="s">
        <v>84</v>
      </c>
      <c r="E739" s="125">
        <v>79</v>
      </c>
      <c r="F739" s="126">
        <v>100.7</v>
      </c>
      <c r="G739" s="126">
        <v>19</v>
      </c>
      <c r="I739" s="125">
        <f t="shared" si="11"/>
        <v>4</v>
      </c>
      <c r="J739" s="127">
        <v>2.2657500000000002</v>
      </c>
      <c r="M739" s="128"/>
    </row>
    <row r="740" spans="2:13">
      <c r="B740" s="116">
        <v>732</v>
      </c>
      <c r="C740" s="124" t="s">
        <v>893</v>
      </c>
      <c r="D740" s="116" t="s">
        <v>65</v>
      </c>
      <c r="E740" s="125">
        <v>91</v>
      </c>
      <c r="F740" s="126">
        <v>116.2</v>
      </c>
      <c r="G740" s="126">
        <v>22</v>
      </c>
      <c r="I740" s="125">
        <f t="shared" si="11"/>
        <v>4</v>
      </c>
      <c r="J740" s="127">
        <v>2.5447799999999998</v>
      </c>
      <c r="M740" s="128"/>
    </row>
    <row r="741" spans="2:13">
      <c r="B741" s="116">
        <v>733</v>
      </c>
      <c r="C741" s="124" t="s">
        <v>894</v>
      </c>
      <c r="D741" s="116" t="s">
        <v>65</v>
      </c>
      <c r="E741" s="125">
        <v>99</v>
      </c>
      <c r="F741" s="126">
        <v>146.80000000000001</v>
      </c>
      <c r="G741" s="126">
        <v>28</v>
      </c>
      <c r="I741" s="125">
        <f t="shared" si="11"/>
        <v>5</v>
      </c>
      <c r="J741" s="127">
        <v>2.9947200000000005</v>
      </c>
      <c r="M741" s="128"/>
    </row>
    <row r="742" spans="2:13">
      <c r="B742" s="116">
        <v>734</v>
      </c>
      <c r="C742" s="124" t="s">
        <v>895</v>
      </c>
      <c r="D742" s="116" t="s">
        <v>88</v>
      </c>
      <c r="E742" s="125">
        <v>55</v>
      </c>
      <c r="F742" s="126">
        <v>89.8</v>
      </c>
      <c r="G742" s="126">
        <v>9</v>
      </c>
      <c r="I742" s="125">
        <f t="shared" si="11"/>
        <v>3</v>
      </c>
      <c r="J742" s="127">
        <v>2.18214</v>
      </c>
      <c r="M742" s="128"/>
    </row>
    <row r="743" spans="2:13">
      <c r="B743" s="116">
        <v>735</v>
      </c>
      <c r="C743" s="124" t="s">
        <v>896</v>
      </c>
      <c r="D743" s="116" t="s">
        <v>65</v>
      </c>
      <c r="E743" s="125">
        <v>87</v>
      </c>
      <c r="F743" s="126">
        <v>120.7</v>
      </c>
      <c r="G743" s="126">
        <v>18</v>
      </c>
      <c r="I743" s="125">
        <f t="shared" si="11"/>
        <v>4</v>
      </c>
      <c r="J743" s="127">
        <v>4.5986700000000003</v>
      </c>
      <c r="M743" s="128"/>
    </row>
    <row r="744" spans="2:13">
      <c r="B744" s="116">
        <v>736</v>
      </c>
      <c r="C744" s="124" t="s">
        <v>897</v>
      </c>
      <c r="D744" s="116" t="s">
        <v>65</v>
      </c>
      <c r="E744" s="125">
        <v>71</v>
      </c>
      <c r="F744" s="126">
        <v>132.1</v>
      </c>
      <c r="G744" s="126">
        <v>13</v>
      </c>
      <c r="I744" s="125">
        <f t="shared" si="11"/>
        <v>4</v>
      </c>
      <c r="J744" s="127">
        <v>3.6195399999999998</v>
      </c>
      <c r="M744" s="128"/>
    </row>
    <row r="745" spans="2:13">
      <c r="B745" s="116">
        <v>737</v>
      </c>
      <c r="C745" s="124" t="s">
        <v>898</v>
      </c>
      <c r="D745" s="116" t="s">
        <v>29</v>
      </c>
      <c r="E745" s="125">
        <v>51</v>
      </c>
      <c r="F745" s="126">
        <v>53.5</v>
      </c>
      <c r="G745" s="126">
        <v>7</v>
      </c>
      <c r="I745" s="125">
        <f t="shared" si="11"/>
        <v>3</v>
      </c>
      <c r="J745" s="127">
        <v>1.7494499999999999</v>
      </c>
      <c r="M745" s="128"/>
    </row>
    <row r="746" spans="2:13">
      <c r="B746" s="116">
        <v>738</v>
      </c>
      <c r="C746" s="124" t="s">
        <v>899</v>
      </c>
      <c r="D746" s="116" t="s">
        <v>65</v>
      </c>
      <c r="E746" s="125">
        <v>47</v>
      </c>
      <c r="F746" s="126">
        <v>75</v>
      </c>
      <c r="G746" s="126">
        <v>8</v>
      </c>
      <c r="I746" s="125">
        <f t="shared" si="11"/>
        <v>3</v>
      </c>
      <c r="J746" s="127">
        <v>1.9575</v>
      </c>
      <c r="M746" s="128"/>
    </row>
    <row r="747" spans="2:13">
      <c r="B747" s="116">
        <v>739</v>
      </c>
      <c r="C747" s="124" t="s">
        <v>900</v>
      </c>
      <c r="D747" s="116" t="s">
        <v>84</v>
      </c>
      <c r="E747" s="125">
        <v>59</v>
      </c>
      <c r="F747" s="126">
        <v>80.5</v>
      </c>
      <c r="G747" s="126">
        <v>12</v>
      </c>
      <c r="I747" s="125">
        <f t="shared" si="11"/>
        <v>3</v>
      </c>
      <c r="J747" s="127">
        <v>2.2218</v>
      </c>
      <c r="M747" s="128"/>
    </row>
    <row r="748" spans="2:13">
      <c r="B748" s="116">
        <v>740</v>
      </c>
      <c r="C748" s="124" t="s">
        <v>901</v>
      </c>
      <c r="D748" s="116" t="s">
        <v>86</v>
      </c>
      <c r="E748" s="125">
        <v>66</v>
      </c>
      <c r="F748" s="126">
        <v>99.5</v>
      </c>
      <c r="G748" s="126">
        <v>17</v>
      </c>
      <c r="I748" s="125">
        <f t="shared" si="11"/>
        <v>3</v>
      </c>
      <c r="J748" s="127">
        <v>3.6417000000000002</v>
      </c>
      <c r="M748" s="128"/>
    </row>
    <row r="749" spans="2:13">
      <c r="B749" s="116">
        <v>741</v>
      </c>
      <c r="C749" s="124" t="s">
        <v>902</v>
      </c>
      <c r="D749" s="116" t="s">
        <v>60</v>
      </c>
      <c r="E749" s="125">
        <v>48</v>
      </c>
      <c r="F749" s="126">
        <v>91.5</v>
      </c>
      <c r="G749" s="126">
        <v>14</v>
      </c>
      <c r="I749" s="125">
        <f t="shared" si="11"/>
        <v>3</v>
      </c>
      <c r="J749" s="127">
        <v>2.2783499999999997</v>
      </c>
      <c r="M749" s="128"/>
    </row>
    <row r="750" spans="2:13">
      <c r="B750" s="116">
        <v>742</v>
      </c>
      <c r="C750" s="124" t="s">
        <v>903</v>
      </c>
      <c r="D750" s="116" t="s">
        <v>65</v>
      </c>
      <c r="E750" s="125">
        <v>59</v>
      </c>
      <c r="F750" s="126">
        <v>95.6</v>
      </c>
      <c r="G750" s="126">
        <v>18</v>
      </c>
      <c r="I750" s="125">
        <f t="shared" si="11"/>
        <v>3</v>
      </c>
      <c r="J750" s="127">
        <v>3.5849999999999995</v>
      </c>
      <c r="M750" s="128"/>
    </row>
    <row r="751" spans="2:13">
      <c r="B751" s="116">
        <v>743</v>
      </c>
      <c r="C751" s="124" t="s">
        <v>904</v>
      </c>
      <c r="D751" s="116" t="s">
        <v>65</v>
      </c>
      <c r="E751" s="125">
        <v>71</v>
      </c>
      <c r="F751" s="126">
        <v>97.1</v>
      </c>
      <c r="G751" s="126">
        <v>17</v>
      </c>
      <c r="I751" s="125">
        <f t="shared" si="11"/>
        <v>3</v>
      </c>
      <c r="J751" s="127">
        <v>3.6218299999999997</v>
      </c>
      <c r="M751" s="128"/>
    </row>
    <row r="752" spans="2:13">
      <c r="B752" s="116">
        <v>744</v>
      </c>
      <c r="C752" s="124" t="s">
        <v>905</v>
      </c>
      <c r="D752" s="116" t="s">
        <v>86</v>
      </c>
      <c r="E752" s="125">
        <v>72</v>
      </c>
      <c r="F752" s="126">
        <v>103</v>
      </c>
      <c r="G752" s="126">
        <v>21</v>
      </c>
      <c r="I752" s="125">
        <f t="shared" si="11"/>
        <v>4</v>
      </c>
      <c r="J752" s="127">
        <v>2.8222</v>
      </c>
      <c r="M752" s="128"/>
    </row>
    <row r="753" spans="2:13">
      <c r="B753" s="116">
        <v>745</v>
      </c>
      <c r="C753" s="124" t="s">
        <v>906</v>
      </c>
      <c r="D753" s="116" t="s">
        <v>84</v>
      </c>
      <c r="E753" s="125">
        <v>66</v>
      </c>
      <c r="F753" s="126">
        <v>84.4</v>
      </c>
      <c r="G753" s="126">
        <v>12</v>
      </c>
      <c r="I753" s="125">
        <f t="shared" si="11"/>
        <v>3</v>
      </c>
      <c r="J753" s="127">
        <v>1.89056</v>
      </c>
      <c r="M753" s="128"/>
    </row>
    <row r="754" spans="2:13">
      <c r="B754" s="116">
        <v>746</v>
      </c>
      <c r="C754" s="124" t="s">
        <v>907</v>
      </c>
      <c r="D754" s="116" t="s">
        <v>84</v>
      </c>
      <c r="E754" s="125">
        <v>82</v>
      </c>
      <c r="F754" s="126">
        <v>151</v>
      </c>
      <c r="G754" s="126">
        <v>18</v>
      </c>
      <c r="I754" s="125">
        <f t="shared" si="11"/>
        <v>5</v>
      </c>
      <c r="J754" s="127">
        <v>3.0804</v>
      </c>
      <c r="M754" s="128"/>
    </row>
    <row r="755" spans="2:13">
      <c r="B755" s="116">
        <v>747</v>
      </c>
      <c r="C755" s="124" t="s">
        <v>908</v>
      </c>
      <c r="D755" s="116" t="s">
        <v>84</v>
      </c>
      <c r="E755" s="125">
        <v>93</v>
      </c>
      <c r="F755" s="126">
        <v>137.19999999999999</v>
      </c>
      <c r="G755" s="126">
        <v>21</v>
      </c>
      <c r="I755" s="125">
        <f t="shared" si="11"/>
        <v>4</v>
      </c>
      <c r="J755" s="127">
        <v>4.07484</v>
      </c>
      <c r="M755" s="128"/>
    </row>
    <row r="756" spans="2:13">
      <c r="B756" s="116">
        <v>748</v>
      </c>
      <c r="C756" s="124" t="s">
        <v>909</v>
      </c>
      <c r="D756" s="116" t="s">
        <v>65</v>
      </c>
      <c r="E756" s="125">
        <v>73</v>
      </c>
      <c r="F756" s="126">
        <v>129.9</v>
      </c>
      <c r="G756" s="126">
        <v>16</v>
      </c>
      <c r="I756" s="125">
        <f t="shared" si="11"/>
        <v>4</v>
      </c>
      <c r="J756" s="127">
        <v>4.3126800000000003</v>
      </c>
      <c r="M756" s="128"/>
    </row>
    <row r="757" spans="2:13">
      <c r="B757" s="116">
        <v>749</v>
      </c>
      <c r="C757" s="124" t="s">
        <v>910</v>
      </c>
      <c r="D757" s="116" t="s">
        <v>65</v>
      </c>
      <c r="E757" s="125">
        <v>71</v>
      </c>
      <c r="F757" s="126">
        <v>91.6</v>
      </c>
      <c r="G757" s="126">
        <v>15</v>
      </c>
      <c r="I757" s="125">
        <f t="shared" si="11"/>
        <v>3</v>
      </c>
      <c r="J757" s="127">
        <v>2.5556399999999999</v>
      </c>
      <c r="M757" s="128"/>
    </row>
    <row r="758" spans="2:13">
      <c r="B758" s="116">
        <v>750</v>
      </c>
      <c r="C758" s="124" t="s">
        <v>911</v>
      </c>
      <c r="D758" s="116" t="s">
        <v>65</v>
      </c>
      <c r="E758" s="125">
        <v>85</v>
      </c>
      <c r="F758" s="126">
        <v>88.7</v>
      </c>
      <c r="G758" s="126">
        <v>17</v>
      </c>
      <c r="I758" s="125">
        <f t="shared" si="11"/>
        <v>3</v>
      </c>
      <c r="J758" s="127">
        <v>2.19089</v>
      </c>
      <c r="M758" s="128"/>
    </row>
    <row r="759" spans="2:13">
      <c r="B759" s="116">
        <v>751</v>
      </c>
      <c r="C759" s="124" t="s">
        <v>912</v>
      </c>
      <c r="D759" s="116" t="s">
        <v>86</v>
      </c>
      <c r="E759" s="125">
        <v>61</v>
      </c>
      <c r="F759" s="126">
        <v>65.8</v>
      </c>
      <c r="G759" s="126">
        <v>9</v>
      </c>
      <c r="I759" s="125">
        <f t="shared" si="11"/>
        <v>3</v>
      </c>
      <c r="J759" s="127">
        <v>1.69764</v>
      </c>
      <c r="M759" s="128"/>
    </row>
    <row r="760" spans="2:13">
      <c r="B760" s="116">
        <v>752</v>
      </c>
      <c r="C760" s="124" t="s">
        <v>913</v>
      </c>
      <c r="D760" s="116" t="s">
        <v>65</v>
      </c>
      <c r="E760" s="125">
        <v>71</v>
      </c>
      <c r="F760" s="126">
        <v>76.900000000000006</v>
      </c>
      <c r="G760" s="126">
        <v>13</v>
      </c>
      <c r="I760" s="125">
        <f t="shared" si="11"/>
        <v>3</v>
      </c>
      <c r="J760" s="127">
        <v>2.6915000000000004</v>
      </c>
      <c r="M760" s="128"/>
    </row>
    <row r="761" spans="2:13">
      <c r="B761" s="116">
        <v>753</v>
      </c>
      <c r="C761" s="124" t="s">
        <v>914</v>
      </c>
      <c r="D761" s="116" t="s">
        <v>84</v>
      </c>
      <c r="E761" s="125">
        <v>92</v>
      </c>
      <c r="F761" s="126">
        <v>97</v>
      </c>
      <c r="G761" s="126">
        <v>14</v>
      </c>
      <c r="I761" s="125">
        <f t="shared" si="11"/>
        <v>3</v>
      </c>
      <c r="J761" s="127">
        <v>3.3174000000000001</v>
      </c>
      <c r="M761" s="128"/>
    </row>
    <row r="762" spans="2:13">
      <c r="B762" s="116">
        <v>754</v>
      </c>
      <c r="C762" s="124" t="s">
        <v>915</v>
      </c>
      <c r="D762" s="116" t="s">
        <v>65</v>
      </c>
      <c r="E762" s="125">
        <v>80</v>
      </c>
      <c r="F762" s="126">
        <v>90.3</v>
      </c>
      <c r="G762" s="126">
        <v>15</v>
      </c>
      <c r="I762" s="125">
        <f t="shared" si="11"/>
        <v>3</v>
      </c>
      <c r="J762" s="127">
        <v>2.4110100000000001</v>
      </c>
      <c r="M762" s="128"/>
    </row>
    <row r="763" spans="2:13">
      <c r="B763" s="116">
        <v>755</v>
      </c>
      <c r="C763" s="124" t="s">
        <v>916</v>
      </c>
      <c r="D763" s="116" t="s">
        <v>65</v>
      </c>
      <c r="E763" s="125">
        <v>65</v>
      </c>
      <c r="F763" s="126">
        <v>94.1</v>
      </c>
      <c r="G763" s="126">
        <v>16</v>
      </c>
      <c r="I763" s="125">
        <f t="shared" si="11"/>
        <v>3</v>
      </c>
      <c r="J763" s="127">
        <v>3.2558599999999998</v>
      </c>
      <c r="M763" s="128"/>
    </row>
    <row r="764" spans="2:13">
      <c r="B764" s="116">
        <v>756</v>
      </c>
      <c r="C764" s="124" t="s">
        <v>917</v>
      </c>
      <c r="D764" s="116" t="s">
        <v>86</v>
      </c>
      <c r="E764" s="125">
        <v>44</v>
      </c>
      <c r="F764" s="126">
        <v>63.6</v>
      </c>
      <c r="G764" s="126">
        <v>10</v>
      </c>
      <c r="I764" s="125">
        <f t="shared" si="11"/>
        <v>3</v>
      </c>
      <c r="J764" s="127">
        <v>2.4167999999999998</v>
      </c>
      <c r="M764" s="128"/>
    </row>
    <row r="765" spans="2:13">
      <c r="B765" s="116">
        <v>757</v>
      </c>
      <c r="C765" s="124" t="s">
        <v>918</v>
      </c>
      <c r="D765" s="116" t="s">
        <v>63</v>
      </c>
      <c r="E765" s="125">
        <v>57</v>
      </c>
      <c r="F765" s="126">
        <v>100.5</v>
      </c>
      <c r="G765" s="126">
        <v>19</v>
      </c>
      <c r="I765" s="125">
        <f t="shared" si="11"/>
        <v>4</v>
      </c>
      <c r="J765" s="127">
        <v>3.3466500000000003</v>
      </c>
      <c r="M765" s="128"/>
    </row>
    <row r="766" spans="2:13">
      <c r="B766" s="116">
        <v>758</v>
      </c>
      <c r="C766" s="124" t="s">
        <v>919</v>
      </c>
      <c r="D766" s="116" t="s">
        <v>65</v>
      </c>
      <c r="E766" s="125">
        <v>60</v>
      </c>
      <c r="F766" s="126">
        <v>98.5</v>
      </c>
      <c r="G766" s="126">
        <v>12</v>
      </c>
      <c r="I766" s="125">
        <f t="shared" si="11"/>
        <v>3</v>
      </c>
      <c r="J766" s="127">
        <v>3.1913999999999998</v>
      </c>
      <c r="M766" s="128"/>
    </row>
    <row r="767" spans="2:13">
      <c r="B767" s="116">
        <v>759</v>
      </c>
      <c r="C767" s="124" t="s">
        <v>920</v>
      </c>
      <c r="D767" s="116" t="s">
        <v>65</v>
      </c>
      <c r="E767" s="125">
        <v>52</v>
      </c>
      <c r="F767" s="126">
        <v>93.2</v>
      </c>
      <c r="G767" s="126">
        <v>12</v>
      </c>
      <c r="I767" s="125">
        <f t="shared" si="11"/>
        <v>3</v>
      </c>
      <c r="J767" s="127">
        <v>2.8892000000000002</v>
      </c>
      <c r="M767" s="128"/>
    </row>
    <row r="768" spans="2:13">
      <c r="B768" s="116">
        <v>760</v>
      </c>
      <c r="C768" s="124" t="s">
        <v>921</v>
      </c>
      <c r="D768" s="116" t="s">
        <v>84</v>
      </c>
      <c r="E768" s="125">
        <v>72</v>
      </c>
      <c r="F768" s="126">
        <v>113</v>
      </c>
      <c r="G768" s="126">
        <v>19</v>
      </c>
      <c r="I768" s="125">
        <f t="shared" si="11"/>
        <v>4</v>
      </c>
      <c r="J768" s="127">
        <v>4.0453999999999999</v>
      </c>
      <c r="M768" s="128"/>
    </row>
    <row r="769" spans="2:13">
      <c r="B769" s="116">
        <v>761</v>
      </c>
      <c r="C769" s="124" t="s">
        <v>922</v>
      </c>
      <c r="D769" s="116" t="s">
        <v>76</v>
      </c>
      <c r="E769" s="125">
        <v>81</v>
      </c>
      <c r="F769" s="126">
        <v>108.7</v>
      </c>
      <c r="G769" s="126">
        <v>12</v>
      </c>
      <c r="I769" s="125">
        <f t="shared" si="11"/>
        <v>4</v>
      </c>
      <c r="J769" s="127">
        <v>3.8262400000000003</v>
      </c>
      <c r="M769" s="128"/>
    </row>
    <row r="770" spans="2:13">
      <c r="B770" s="116">
        <v>762</v>
      </c>
      <c r="C770" s="124" t="s">
        <v>923</v>
      </c>
      <c r="D770" s="116" t="s">
        <v>88</v>
      </c>
      <c r="E770" s="125">
        <v>57</v>
      </c>
      <c r="F770" s="126">
        <v>87.7</v>
      </c>
      <c r="G770" s="126">
        <v>18</v>
      </c>
      <c r="I770" s="125">
        <f t="shared" si="11"/>
        <v>3</v>
      </c>
      <c r="J770" s="127">
        <v>1.8943200000000002</v>
      </c>
      <c r="M770" s="128"/>
    </row>
    <row r="771" spans="2:13">
      <c r="B771" s="116">
        <v>763</v>
      </c>
      <c r="C771" s="124" t="s">
        <v>924</v>
      </c>
      <c r="D771" s="116" t="s">
        <v>60</v>
      </c>
      <c r="E771" s="125">
        <v>42</v>
      </c>
      <c r="F771" s="126">
        <v>52.2</v>
      </c>
      <c r="G771" s="126">
        <v>5</v>
      </c>
      <c r="I771" s="125">
        <f t="shared" si="11"/>
        <v>3</v>
      </c>
      <c r="J771" s="127">
        <v>1.3415400000000002</v>
      </c>
      <c r="M771" s="128"/>
    </row>
    <row r="772" spans="2:13">
      <c r="B772" s="116">
        <v>764</v>
      </c>
      <c r="C772" s="124" t="s">
        <v>925</v>
      </c>
      <c r="D772" s="116" t="s">
        <v>84</v>
      </c>
      <c r="E772" s="125">
        <v>44</v>
      </c>
      <c r="F772" s="126">
        <v>81.3</v>
      </c>
      <c r="G772" s="126">
        <v>10</v>
      </c>
      <c r="I772" s="125">
        <f t="shared" si="11"/>
        <v>3</v>
      </c>
      <c r="J772" s="127">
        <v>2.1625799999999997</v>
      </c>
      <c r="M772" s="128"/>
    </row>
    <row r="773" spans="2:13">
      <c r="B773" s="116">
        <v>765</v>
      </c>
      <c r="C773" s="124" t="s">
        <v>926</v>
      </c>
      <c r="D773" s="116" t="s">
        <v>88</v>
      </c>
      <c r="E773" s="125">
        <v>55</v>
      </c>
      <c r="F773" s="126">
        <v>83.7</v>
      </c>
      <c r="G773" s="126">
        <v>12</v>
      </c>
      <c r="I773" s="125">
        <f t="shared" si="11"/>
        <v>3</v>
      </c>
      <c r="J773" s="127">
        <v>2.6951399999999999</v>
      </c>
      <c r="M773" s="128"/>
    </row>
    <row r="774" spans="2:13">
      <c r="B774" s="116">
        <v>766</v>
      </c>
      <c r="C774" s="124" t="s">
        <v>927</v>
      </c>
      <c r="D774" s="116" t="s">
        <v>86</v>
      </c>
      <c r="E774" s="125">
        <v>87</v>
      </c>
      <c r="F774" s="126">
        <v>105.3</v>
      </c>
      <c r="G774" s="126">
        <v>14</v>
      </c>
      <c r="I774" s="125">
        <f t="shared" si="11"/>
        <v>4</v>
      </c>
      <c r="J774" s="127">
        <v>2.6640899999999998</v>
      </c>
      <c r="M774" s="128"/>
    </row>
    <row r="775" spans="2:13">
      <c r="B775" s="116">
        <v>767</v>
      </c>
      <c r="C775" s="124" t="s">
        <v>928</v>
      </c>
      <c r="D775" s="116" t="s">
        <v>66</v>
      </c>
      <c r="E775" s="125">
        <v>76</v>
      </c>
      <c r="F775" s="126">
        <v>145.9</v>
      </c>
      <c r="G775" s="126">
        <v>15</v>
      </c>
      <c r="I775" s="125">
        <f t="shared" si="11"/>
        <v>5</v>
      </c>
      <c r="J775" s="127">
        <v>4.6833899999999993</v>
      </c>
      <c r="M775" s="128"/>
    </row>
    <row r="776" spans="2:13">
      <c r="B776" s="116">
        <v>768</v>
      </c>
      <c r="C776" s="124" t="s">
        <v>929</v>
      </c>
      <c r="D776" s="116" t="s">
        <v>65</v>
      </c>
      <c r="E776" s="125">
        <v>81</v>
      </c>
      <c r="F776" s="126">
        <v>158.69999999999999</v>
      </c>
      <c r="G776" s="126">
        <v>32</v>
      </c>
      <c r="I776" s="125">
        <f t="shared" si="11"/>
        <v>5</v>
      </c>
      <c r="J776" s="127">
        <v>4.6816499999999994</v>
      </c>
      <c r="M776" s="128"/>
    </row>
    <row r="777" spans="2:13">
      <c r="B777" s="116">
        <v>769</v>
      </c>
      <c r="C777" s="124" t="s">
        <v>930</v>
      </c>
      <c r="D777" s="116" t="s">
        <v>65</v>
      </c>
      <c r="E777" s="125">
        <v>87</v>
      </c>
      <c r="F777" s="126">
        <v>99.6</v>
      </c>
      <c r="G777" s="126">
        <v>10</v>
      </c>
      <c r="I777" s="125">
        <f t="shared" ref="I777:I840" si="12">IF(F777&lt;=100,3,IF(F777&lt;=140,4,IF(F777&lt;=175,5,6)))</f>
        <v>3</v>
      </c>
      <c r="J777" s="127">
        <v>2.4601199999999999</v>
      </c>
      <c r="M777" s="128"/>
    </row>
    <row r="778" spans="2:13">
      <c r="B778" s="116">
        <v>770</v>
      </c>
      <c r="C778" s="124" t="s">
        <v>931</v>
      </c>
      <c r="D778" s="116" t="s">
        <v>86</v>
      </c>
      <c r="E778" s="125">
        <v>51</v>
      </c>
      <c r="F778" s="126">
        <v>92.4</v>
      </c>
      <c r="G778" s="126">
        <v>10</v>
      </c>
      <c r="I778" s="125">
        <f t="shared" si="12"/>
        <v>3</v>
      </c>
      <c r="J778" s="127">
        <v>3.2524800000000003</v>
      </c>
      <c r="M778" s="128"/>
    </row>
    <row r="779" spans="2:13">
      <c r="B779" s="116">
        <v>771</v>
      </c>
      <c r="C779" s="124" t="s">
        <v>932</v>
      </c>
      <c r="D779" s="116" t="s">
        <v>65</v>
      </c>
      <c r="E779" s="125">
        <v>73</v>
      </c>
      <c r="F779" s="126">
        <v>75</v>
      </c>
      <c r="G779" s="126">
        <v>9</v>
      </c>
      <c r="I779" s="125">
        <f t="shared" si="12"/>
        <v>3</v>
      </c>
      <c r="J779" s="127">
        <v>2.7974999999999999</v>
      </c>
      <c r="M779" s="128"/>
    </row>
    <row r="780" spans="2:13">
      <c r="B780" s="116">
        <v>772</v>
      </c>
      <c r="C780" s="124" t="s">
        <v>933</v>
      </c>
      <c r="D780" s="116" t="s">
        <v>86</v>
      </c>
      <c r="E780" s="125">
        <v>36</v>
      </c>
      <c r="F780" s="126">
        <v>51.6</v>
      </c>
      <c r="G780" s="126">
        <v>6</v>
      </c>
      <c r="I780" s="125">
        <f t="shared" si="12"/>
        <v>3</v>
      </c>
      <c r="J780" s="127">
        <v>2.0227200000000001</v>
      </c>
      <c r="M780" s="128"/>
    </row>
    <row r="781" spans="2:13">
      <c r="B781" s="116">
        <v>773</v>
      </c>
      <c r="C781" s="124" t="s">
        <v>934</v>
      </c>
      <c r="D781" s="116" t="s">
        <v>92</v>
      </c>
      <c r="E781" s="125">
        <v>65</v>
      </c>
      <c r="F781" s="126">
        <v>78.7</v>
      </c>
      <c r="G781" s="126">
        <v>9</v>
      </c>
      <c r="I781" s="125">
        <f t="shared" si="12"/>
        <v>3</v>
      </c>
      <c r="J781" s="127">
        <v>2.6364500000000004</v>
      </c>
      <c r="M781" s="128"/>
    </row>
    <row r="782" spans="2:13">
      <c r="B782" s="116">
        <v>774</v>
      </c>
      <c r="C782" s="124" t="s">
        <v>935</v>
      </c>
      <c r="D782" s="116" t="s">
        <v>65</v>
      </c>
      <c r="E782" s="125">
        <v>40</v>
      </c>
      <c r="F782" s="126">
        <v>47.8</v>
      </c>
      <c r="G782" s="126">
        <v>9</v>
      </c>
      <c r="I782" s="125">
        <f t="shared" si="12"/>
        <v>3</v>
      </c>
      <c r="J782" s="127">
        <v>1.7924999999999998</v>
      </c>
      <c r="M782" s="128"/>
    </row>
    <row r="783" spans="2:13">
      <c r="B783" s="116">
        <v>775</v>
      </c>
      <c r="C783" s="124" t="s">
        <v>936</v>
      </c>
      <c r="D783" s="116" t="s">
        <v>65</v>
      </c>
      <c r="E783" s="125">
        <v>46</v>
      </c>
      <c r="F783" s="126">
        <v>74.5</v>
      </c>
      <c r="G783" s="126">
        <v>15</v>
      </c>
      <c r="I783" s="125">
        <f t="shared" si="12"/>
        <v>3</v>
      </c>
      <c r="J783" s="127">
        <v>1.5495999999999999</v>
      </c>
      <c r="M783" s="128"/>
    </row>
    <row r="784" spans="2:13">
      <c r="B784" s="116">
        <v>776</v>
      </c>
      <c r="C784" s="124" t="s">
        <v>937</v>
      </c>
      <c r="D784" s="116" t="s">
        <v>84</v>
      </c>
      <c r="E784" s="125">
        <v>52</v>
      </c>
      <c r="F784" s="126">
        <v>53.8</v>
      </c>
      <c r="G784" s="126">
        <v>6</v>
      </c>
      <c r="I784" s="125">
        <f t="shared" si="12"/>
        <v>3</v>
      </c>
      <c r="J784" s="127">
        <v>1.5548199999999999</v>
      </c>
      <c r="M784" s="128"/>
    </row>
    <row r="785" spans="2:13">
      <c r="B785" s="116">
        <v>777</v>
      </c>
      <c r="C785" s="124" t="s">
        <v>938</v>
      </c>
      <c r="D785" s="116" t="s">
        <v>65</v>
      </c>
      <c r="E785" s="125">
        <v>83</v>
      </c>
      <c r="F785" s="126">
        <v>120.8</v>
      </c>
      <c r="G785" s="126">
        <v>24</v>
      </c>
      <c r="I785" s="125">
        <f t="shared" si="12"/>
        <v>4</v>
      </c>
      <c r="J785" s="127">
        <v>2.7663199999999999</v>
      </c>
      <c r="M785" s="128"/>
    </row>
    <row r="786" spans="2:13">
      <c r="B786" s="116">
        <v>778</v>
      </c>
      <c r="C786" s="124" t="s">
        <v>939</v>
      </c>
      <c r="D786" s="116" t="s">
        <v>84</v>
      </c>
      <c r="E786" s="125">
        <v>51</v>
      </c>
      <c r="F786" s="126">
        <v>88.2</v>
      </c>
      <c r="G786" s="126">
        <v>14</v>
      </c>
      <c r="I786" s="125">
        <f t="shared" si="12"/>
        <v>3</v>
      </c>
      <c r="J786" s="127">
        <v>2.4696000000000002</v>
      </c>
      <c r="M786" s="128"/>
    </row>
    <row r="787" spans="2:13">
      <c r="B787" s="116">
        <v>779</v>
      </c>
      <c r="C787" s="124" t="s">
        <v>940</v>
      </c>
      <c r="D787" s="116" t="s">
        <v>65</v>
      </c>
      <c r="E787" s="125">
        <v>84</v>
      </c>
      <c r="F787" s="126">
        <v>167.2</v>
      </c>
      <c r="G787" s="126">
        <v>20</v>
      </c>
      <c r="I787" s="125">
        <f t="shared" si="12"/>
        <v>5</v>
      </c>
      <c r="J787" s="127">
        <v>3.4944799999999994</v>
      </c>
      <c r="M787" s="128"/>
    </row>
    <row r="788" spans="2:13">
      <c r="B788" s="116">
        <v>780</v>
      </c>
      <c r="C788" s="124" t="s">
        <v>941</v>
      </c>
      <c r="D788" s="116" t="s">
        <v>65</v>
      </c>
      <c r="E788" s="125">
        <v>53</v>
      </c>
      <c r="F788" s="126">
        <v>87.1</v>
      </c>
      <c r="G788" s="126">
        <v>12</v>
      </c>
      <c r="I788" s="125">
        <f t="shared" si="12"/>
        <v>3</v>
      </c>
      <c r="J788" s="127">
        <v>3.2052799999999997</v>
      </c>
      <c r="M788" s="128"/>
    </row>
    <row r="789" spans="2:13">
      <c r="B789" s="116">
        <v>781</v>
      </c>
      <c r="C789" s="124" t="s">
        <v>942</v>
      </c>
      <c r="D789" s="116" t="s">
        <v>88</v>
      </c>
      <c r="E789" s="125">
        <v>53</v>
      </c>
      <c r="F789" s="126">
        <v>77.2</v>
      </c>
      <c r="G789" s="126">
        <v>12</v>
      </c>
      <c r="I789" s="125">
        <f t="shared" si="12"/>
        <v>3</v>
      </c>
      <c r="J789" s="127">
        <v>2.2156400000000001</v>
      </c>
      <c r="M789" s="128"/>
    </row>
    <row r="790" spans="2:13">
      <c r="B790" s="116">
        <v>782</v>
      </c>
      <c r="C790" s="124" t="s">
        <v>943</v>
      </c>
      <c r="D790" s="116" t="s">
        <v>84</v>
      </c>
      <c r="E790" s="125">
        <v>83</v>
      </c>
      <c r="F790" s="126">
        <v>135</v>
      </c>
      <c r="G790" s="126">
        <v>19</v>
      </c>
      <c r="I790" s="125">
        <f t="shared" si="12"/>
        <v>4</v>
      </c>
      <c r="J790" s="127">
        <v>3.4289999999999998</v>
      </c>
      <c r="M790" s="128"/>
    </row>
    <row r="791" spans="2:13">
      <c r="B791" s="116">
        <v>783</v>
      </c>
      <c r="C791" s="124" t="s">
        <v>944</v>
      </c>
      <c r="D791" s="116" t="s">
        <v>86</v>
      </c>
      <c r="E791" s="125">
        <v>35</v>
      </c>
      <c r="F791" s="126">
        <v>40.799999999999997</v>
      </c>
      <c r="G791" s="126">
        <v>8</v>
      </c>
      <c r="I791" s="125">
        <f t="shared" si="12"/>
        <v>3</v>
      </c>
      <c r="J791" s="127">
        <v>1.02816</v>
      </c>
      <c r="M791" s="128"/>
    </row>
    <row r="792" spans="2:13">
      <c r="B792" s="116">
        <v>784</v>
      </c>
      <c r="C792" s="124" t="s">
        <v>945</v>
      </c>
      <c r="D792" s="116" t="s">
        <v>84</v>
      </c>
      <c r="E792" s="125">
        <v>94</v>
      </c>
      <c r="F792" s="126">
        <v>177.8</v>
      </c>
      <c r="G792" s="126">
        <v>34</v>
      </c>
      <c r="I792" s="125">
        <f t="shared" si="12"/>
        <v>6</v>
      </c>
      <c r="J792" s="127">
        <v>3.5915600000000003</v>
      </c>
      <c r="M792" s="128"/>
    </row>
    <row r="793" spans="2:13">
      <c r="B793" s="116">
        <v>785</v>
      </c>
      <c r="C793" s="124" t="s">
        <v>946</v>
      </c>
      <c r="D793" s="116" t="s">
        <v>72</v>
      </c>
      <c r="E793" s="125">
        <v>79</v>
      </c>
      <c r="F793" s="126">
        <v>86.7</v>
      </c>
      <c r="G793" s="126">
        <v>16</v>
      </c>
      <c r="I793" s="125">
        <f t="shared" si="12"/>
        <v>3</v>
      </c>
      <c r="J793" s="127">
        <v>1.89873</v>
      </c>
      <c r="M793" s="128"/>
    </row>
    <row r="794" spans="2:13">
      <c r="B794" s="116">
        <v>786</v>
      </c>
      <c r="C794" s="124" t="s">
        <v>947</v>
      </c>
      <c r="D794" s="116" t="s">
        <v>63</v>
      </c>
      <c r="E794" s="125">
        <v>61</v>
      </c>
      <c r="F794" s="126">
        <v>99.6</v>
      </c>
      <c r="G794" s="126">
        <v>16</v>
      </c>
      <c r="I794" s="125">
        <f t="shared" si="12"/>
        <v>3</v>
      </c>
      <c r="J794" s="127">
        <v>3.0975599999999996</v>
      </c>
      <c r="M794" s="128"/>
    </row>
    <row r="795" spans="2:13">
      <c r="B795" s="116">
        <v>787</v>
      </c>
      <c r="C795" s="124" t="s">
        <v>948</v>
      </c>
      <c r="D795" s="116" t="s">
        <v>86</v>
      </c>
      <c r="E795" s="125">
        <v>41</v>
      </c>
      <c r="F795" s="126">
        <v>70.599999999999994</v>
      </c>
      <c r="G795" s="126">
        <v>11</v>
      </c>
      <c r="I795" s="125">
        <f t="shared" si="12"/>
        <v>3</v>
      </c>
      <c r="J795" s="127">
        <v>1.8567799999999999</v>
      </c>
      <c r="M795" s="128"/>
    </row>
    <row r="796" spans="2:13">
      <c r="B796" s="116">
        <v>788</v>
      </c>
      <c r="C796" s="124" t="s">
        <v>949</v>
      </c>
      <c r="D796" s="116" t="s">
        <v>65</v>
      </c>
      <c r="E796" s="125">
        <v>57</v>
      </c>
      <c r="F796" s="126">
        <v>66</v>
      </c>
      <c r="G796" s="126">
        <v>9</v>
      </c>
      <c r="I796" s="125">
        <f t="shared" si="12"/>
        <v>3</v>
      </c>
      <c r="J796" s="127">
        <v>2.3231999999999999</v>
      </c>
      <c r="M796" s="128"/>
    </row>
    <row r="797" spans="2:13">
      <c r="B797" s="116">
        <v>789</v>
      </c>
      <c r="C797" s="124" t="s">
        <v>950</v>
      </c>
      <c r="D797" s="116" t="s">
        <v>65</v>
      </c>
      <c r="E797" s="125">
        <v>36</v>
      </c>
      <c r="F797" s="126">
        <v>39.799999999999997</v>
      </c>
      <c r="G797" s="126">
        <v>6</v>
      </c>
      <c r="I797" s="125">
        <f t="shared" si="12"/>
        <v>3</v>
      </c>
      <c r="J797" s="127">
        <v>0.79997999999999991</v>
      </c>
      <c r="M797" s="128"/>
    </row>
    <row r="798" spans="2:13">
      <c r="B798" s="116">
        <v>790</v>
      </c>
      <c r="C798" s="124" t="s">
        <v>951</v>
      </c>
      <c r="D798" s="116" t="s">
        <v>86</v>
      </c>
      <c r="E798" s="125">
        <v>82</v>
      </c>
      <c r="F798" s="126">
        <v>161.4</v>
      </c>
      <c r="G798" s="126">
        <v>21</v>
      </c>
      <c r="I798" s="125">
        <f t="shared" si="12"/>
        <v>5</v>
      </c>
      <c r="J798" s="127">
        <v>3.3894000000000002</v>
      </c>
      <c r="M798" s="128"/>
    </row>
    <row r="799" spans="2:13">
      <c r="B799" s="116">
        <v>791</v>
      </c>
      <c r="C799" s="124" t="s">
        <v>952</v>
      </c>
      <c r="D799" s="116" t="s">
        <v>84</v>
      </c>
      <c r="E799" s="125">
        <v>89</v>
      </c>
      <c r="F799" s="126">
        <v>173.6</v>
      </c>
      <c r="G799" s="126">
        <v>24</v>
      </c>
      <c r="I799" s="125">
        <f t="shared" si="12"/>
        <v>5</v>
      </c>
      <c r="J799" s="127">
        <v>4.3226399999999998</v>
      </c>
      <c r="M799" s="128"/>
    </row>
    <row r="800" spans="2:13">
      <c r="B800" s="116">
        <v>792</v>
      </c>
      <c r="C800" s="124" t="s">
        <v>953</v>
      </c>
      <c r="D800" s="116" t="s">
        <v>86</v>
      </c>
      <c r="E800" s="125">
        <v>55</v>
      </c>
      <c r="F800" s="126">
        <v>95.5</v>
      </c>
      <c r="G800" s="126">
        <v>15</v>
      </c>
      <c r="I800" s="125">
        <f t="shared" si="12"/>
        <v>3</v>
      </c>
      <c r="J800" s="127">
        <v>2.6549</v>
      </c>
      <c r="M800" s="128"/>
    </row>
    <row r="801" spans="2:13">
      <c r="B801" s="116">
        <v>793</v>
      </c>
      <c r="C801" s="124" t="s">
        <v>954</v>
      </c>
      <c r="D801" s="116" t="s">
        <v>63</v>
      </c>
      <c r="E801" s="125">
        <v>49</v>
      </c>
      <c r="F801" s="126">
        <v>68.3</v>
      </c>
      <c r="G801" s="126">
        <v>8</v>
      </c>
      <c r="I801" s="125">
        <f t="shared" si="12"/>
        <v>3</v>
      </c>
      <c r="J801" s="127">
        <v>2.41099</v>
      </c>
      <c r="M801" s="128"/>
    </row>
    <row r="802" spans="2:13">
      <c r="B802" s="116">
        <v>794</v>
      </c>
      <c r="C802" s="124" t="s">
        <v>955</v>
      </c>
      <c r="D802" s="116" t="s">
        <v>84</v>
      </c>
      <c r="E802" s="125">
        <v>61</v>
      </c>
      <c r="F802" s="126">
        <v>79.400000000000006</v>
      </c>
      <c r="G802" s="126">
        <v>11</v>
      </c>
      <c r="I802" s="125">
        <f t="shared" si="12"/>
        <v>3</v>
      </c>
      <c r="J802" s="127">
        <v>2.6440200000000003</v>
      </c>
      <c r="M802" s="128"/>
    </row>
    <row r="803" spans="2:13">
      <c r="B803" s="116">
        <v>795</v>
      </c>
      <c r="C803" s="124" t="s">
        <v>956</v>
      </c>
      <c r="D803" s="116" t="s">
        <v>86</v>
      </c>
      <c r="E803" s="125">
        <v>42</v>
      </c>
      <c r="F803" s="126">
        <v>44</v>
      </c>
      <c r="G803" s="126">
        <v>9</v>
      </c>
      <c r="I803" s="125">
        <f t="shared" si="12"/>
        <v>3</v>
      </c>
      <c r="J803" s="127">
        <v>1.6764000000000001</v>
      </c>
      <c r="M803" s="128"/>
    </row>
    <row r="804" spans="2:13">
      <c r="B804" s="116">
        <v>796</v>
      </c>
      <c r="C804" s="124" t="s">
        <v>957</v>
      </c>
      <c r="D804" s="116" t="s">
        <v>86</v>
      </c>
      <c r="E804" s="125">
        <v>49</v>
      </c>
      <c r="F804" s="126">
        <v>63.5</v>
      </c>
      <c r="G804" s="126">
        <v>13</v>
      </c>
      <c r="I804" s="125">
        <f t="shared" si="12"/>
        <v>3</v>
      </c>
      <c r="J804" s="127">
        <v>2.4066500000000004</v>
      </c>
      <c r="M804" s="128"/>
    </row>
    <row r="805" spans="2:13">
      <c r="B805" s="116">
        <v>797</v>
      </c>
      <c r="C805" s="124" t="s">
        <v>958</v>
      </c>
      <c r="D805" s="116" t="s">
        <v>65</v>
      </c>
      <c r="E805" s="125">
        <v>97</v>
      </c>
      <c r="F805" s="126">
        <v>132.9</v>
      </c>
      <c r="G805" s="126">
        <v>24</v>
      </c>
      <c r="I805" s="125">
        <f t="shared" si="12"/>
        <v>4</v>
      </c>
      <c r="J805" s="127">
        <v>3.4952700000000001</v>
      </c>
      <c r="M805" s="128"/>
    </row>
    <row r="806" spans="2:13">
      <c r="B806" s="116">
        <v>798</v>
      </c>
      <c r="C806" s="124" t="s">
        <v>959</v>
      </c>
      <c r="D806" s="116" t="s">
        <v>92</v>
      </c>
      <c r="E806" s="125">
        <v>94</v>
      </c>
      <c r="F806" s="126">
        <v>177.6</v>
      </c>
      <c r="G806" s="126">
        <v>36</v>
      </c>
      <c r="I806" s="125">
        <f t="shared" si="12"/>
        <v>6</v>
      </c>
      <c r="J806" s="127">
        <v>6.1449599999999993</v>
      </c>
      <c r="M806" s="128"/>
    </row>
    <row r="807" spans="2:13">
      <c r="B807" s="116">
        <v>799</v>
      </c>
      <c r="C807" s="124" t="s">
        <v>960</v>
      </c>
      <c r="D807" s="116" t="s">
        <v>84</v>
      </c>
      <c r="E807" s="125">
        <v>54</v>
      </c>
      <c r="F807" s="126">
        <v>63</v>
      </c>
      <c r="G807" s="126">
        <v>10</v>
      </c>
      <c r="I807" s="125">
        <f t="shared" si="12"/>
        <v>3</v>
      </c>
      <c r="J807" s="127">
        <v>2.1735000000000002</v>
      </c>
      <c r="M807" s="128"/>
    </row>
    <row r="808" spans="2:13">
      <c r="B808" s="116">
        <v>800</v>
      </c>
      <c r="C808" s="124" t="s">
        <v>961</v>
      </c>
      <c r="D808" s="116" t="s">
        <v>65</v>
      </c>
      <c r="E808" s="125">
        <v>71</v>
      </c>
      <c r="F808" s="126">
        <v>116.4</v>
      </c>
      <c r="G808" s="126">
        <v>19</v>
      </c>
      <c r="I808" s="125">
        <f t="shared" si="12"/>
        <v>4</v>
      </c>
      <c r="J808" s="127">
        <v>2.4560400000000002</v>
      </c>
      <c r="M808" s="128"/>
    </row>
    <row r="809" spans="2:13">
      <c r="B809" s="116">
        <v>801</v>
      </c>
      <c r="C809" s="124" t="s">
        <v>962</v>
      </c>
      <c r="D809" s="116" t="s">
        <v>65</v>
      </c>
      <c r="E809" s="125">
        <v>61</v>
      </c>
      <c r="F809" s="126">
        <v>119.6</v>
      </c>
      <c r="G809" s="126">
        <v>14</v>
      </c>
      <c r="I809" s="125">
        <f t="shared" si="12"/>
        <v>4</v>
      </c>
      <c r="J809" s="127">
        <v>4.62852</v>
      </c>
      <c r="M809" s="128"/>
    </row>
    <row r="810" spans="2:13">
      <c r="B810" s="116">
        <v>802</v>
      </c>
      <c r="C810" s="124" t="s">
        <v>963</v>
      </c>
      <c r="D810" s="116" t="s">
        <v>63</v>
      </c>
      <c r="E810" s="125">
        <v>52</v>
      </c>
      <c r="F810" s="126">
        <v>82.2</v>
      </c>
      <c r="G810" s="126">
        <v>16</v>
      </c>
      <c r="I810" s="125">
        <f t="shared" si="12"/>
        <v>3</v>
      </c>
      <c r="J810" s="127">
        <v>3.0413999999999999</v>
      </c>
      <c r="M810" s="128"/>
    </row>
    <row r="811" spans="2:13">
      <c r="B811" s="116">
        <v>803</v>
      </c>
      <c r="C811" s="124" t="s">
        <v>964</v>
      </c>
      <c r="D811" s="116" t="s">
        <v>63</v>
      </c>
      <c r="E811" s="125">
        <v>46</v>
      </c>
      <c r="F811" s="126">
        <v>51.1</v>
      </c>
      <c r="G811" s="126">
        <v>8</v>
      </c>
      <c r="I811" s="125">
        <f t="shared" si="12"/>
        <v>3</v>
      </c>
      <c r="J811" s="127">
        <v>1.7527299999999999</v>
      </c>
      <c r="M811" s="128"/>
    </row>
    <row r="812" spans="2:13">
      <c r="B812" s="116">
        <v>804</v>
      </c>
      <c r="C812" s="124" t="s">
        <v>965</v>
      </c>
      <c r="D812" s="116" t="s">
        <v>65</v>
      </c>
      <c r="E812" s="125">
        <v>55</v>
      </c>
      <c r="F812" s="126">
        <v>88.3</v>
      </c>
      <c r="G812" s="126">
        <v>10</v>
      </c>
      <c r="I812" s="125">
        <f t="shared" si="12"/>
        <v>3</v>
      </c>
      <c r="J812" s="127">
        <v>3.3024200000000001</v>
      </c>
      <c r="M812" s="128"/>
    </row>
    <row r="813" spans="2:13">
      <c r="B813" s="116">
        <v>805</v>
      </c>
      <c r="C813" s="124" t="s">
        <v>966</v>
      </c>
      <c r="D813" s="116" t="s">
        <v>84</v>
      </c>
      <c r="E813" s="125">
        <v>65</v>
      </c>
      <c r="F813" s="126">
        <v>117</v>
      </c>
      <c r="G813" s="126">
        <v>15</v>
      </c>
      <c r="I813" s="125">
        <f t="shared" si="12"/>
        <v>4</v>
      </c>
      <c r="J813" s="127">
        <v>3.2993999999999999</v>
      </c>
      <c r="M813" s="128"/>
    </row>
    <row r="814" spans="2:13">
      <c r="B814" s="116">
        <v>806</v>
      </c>
      <c r="C814" s="124" t="s">
        <v>967</v>
      </c>
      <c r="D814" s="116" t="s">
        <v>78</v>
      </c>
      <c r="E814" s="125">
        <v>70</v>
      </c>
      <c r="F814" s="126">
        <v>136.6</v>
      </c>
      <c r="G814" s="126">
        <v>27</v>
      </c>
      <c r="I814" s="125">
        <f t="shared" si="12"/>
        <v>4</v>
      </c>
      <c r="J814" s="127">
        <v>2.8003</v>
      </c>
      <c r="M814" s="128"/>
    </row>
    <row r="815" spans="2:13">
      <c r="B815" s="116">
        <v>807</v>
      </c>
      <c r="C815" s="124" t="s">
        <v>968</v>
      </c>
      <c r="D815" s="116" t="s">
        <v>51</v>
      </c>
      <c r="E815" s="125">
        <v>66</v>
      </c>
      <c r="F815" s="126">
        <v>78.099999999999994</v>
      </c>
      <c r="G815" s="126">
        <v>8</v>
      </c>
      <c r="I815" s="125">
        <f t="shared" si="12"/>
        <v>3</v>
      </c>
      <c r="J815" s="127">
        <v>2.1946099999999999</v>
      </c>
      <c r="M815" s="128"/>
    </row>
    <row r="816" spans="2:13">
      <c r="B816" s="116">
        <v>808</v>
      </c>
      <c r="C816" s="124" t="s">
        <v>969</v>
      </c>
      <c r="D816" s="116" t="s">
        <v>51</v>
      </c>
      <c r="E816" s="125">
        <v>72</v>
      </c>
      <c r="F816" s="126">
        <v>135.69999999999999</v>
      </c>
      <c r="G816" s="126">
        <v>20</v>
      </c>
      <c r="I816" s="125">
        <f t="shared" si="12"/>
        <v>4</v>
      </c>
      <c r="J816" s="127">
        <v>2.7818499999999999</v>
      </c>
      <c r="M816" s="128"/>
    </row>
    <row r="817" spans="2:13">
      <c r="B817" s="116">
        <v>809</v>
      </c>
      <c r="C817" s="124" t="s">
        <v>970</v>
      </c>
      <c r="D817" s="116" t="s">
        <v>92</v>
      </c>
      <c r="E817" s="125">
        <v>57</v>
      </c>
      <c r="F817" s="126">
        <v>64.400000000000006</v>
      </c>
      <c r="G817" s="126">
        <v>11</v>
      </c>
      <c r="I817" s="125">
        <f t="shared" si="12"/>
        <v>3</v>
      </c>
      <c r="J817" s="127">
        <v>1.9062400000000002</v>
      </c>
      <c r="M817" s="128"/>
    </row>
    <row r="818" spans="2:13">
      <c r="B818" s="116">
        <v>810</v>
      </c>
      <c r="C818" s="124" t="s">
        <v>971</v>
      </c>
      <c r="D818" s="116" t="s">
        <v>84</v>
      </c>
      <c r="E818" s="125">
        <v>41</v>
      </c>
      <c r="F818" s="126">
        <v>78.400000000000006</v>
      </c>
      <c r="G818" s="126">
        <v>14</v>
      </c>
      <c r="I818" s="125">
        <f t="shared" si="12"/>
        <v>3</v>
      </c>
      <c r="J818" s="127">
        <v>1.6856</v>
      </c>
      <c r="M818" s="128"/>
    </row>
    <row r="819" spans="2:13">
      <c r="B819" s="116">
        <v>811</v>
      </c>
      <c r="C819" s="124" t="s">
        <v>972</v>
      </c>
      <c r="D819" s="116" t="s">
        <v>84</v>
      </c>
      <c r="E819" s="125">
        <v>73</v>
      </c>
      <c r="F819" s="126">
        <v>84.7</v>
      </c>
      <c r="G819" s="126">
        <v>14</v>
      </c>
      <c r="I819" s="125">
        <f t="shared" si="12"/>
        <v>3</v>
      </c>
      <c r="J819" s="127">
        <v>2.17679</v>
      </c>
      <c r="M819" s="128"/>
    </row>
    <row r="820" spans="2:13">
      <c r="B820" s="116">
        <v>812</v>
      </c>
      <c r="C820" s="124" t="s">
        <v>973</v>
      </c>
      <c r="D820" s="116" t="s">
        <v>66</v>
      </c>
      <c r="E820" s="125">
        <v>98</v>
      </c>
      <c r="F820" s="126">
        <v>103.5</v>
      </c>
      <c r="G820" s="126">
        <v>18</v>
      </c>
      <c r="I820" s="125">
        <f t="shared" si="12"/>
        <v>4</v>
      </c>
      <c r="J820" s="127">
        <v>3.59145</v>
      </c>
      <c r="M820" s="128"/>
    </row>
    <row r="821" spans="2:13">
      <c r="B821" s="116">
        <v>813</v>
      </c>
      <c r="C821" s="124" t="s">
        <v>974</v>
      </c>
      <c r="D821" s="116" t="s">
        <v>65</v>
      </c>
      <c r="E821" s="125">
        <v>93</v>
      </c>
      <c r="F821" s="126">
        <v>141.30000000000001</v>
      </c>
      <c r="G821" s="126">
        <v>20</v>
      </c>
      <c r="I821" s="125">
        <f t="shared" si="12"/>
        <v>5</v>
      </c>
      <c r="J821" s="127">
        <v>4.2248700000000001</v>
      </c>
      <c r="M821" s="128"/>
    </row>
    <row r="822" spans="2:13">
      <c r="B822" s="116">
        <v>814</v>
      </c>
      <c r="C822" s="124" t="s">
        <v>975</v>
      </c>
      <c r="D822" s="116" t="s">
        <v>84</v>
      </c>
      <c r="E822" s="125">
        <v>70</v>
      </c>
      <c r="F822" s="126">
        <v>120.3</v>
      </c>
      <c r="G822" s="126">
        <v>20</v>
      </c>
      <c r="I822" s="125">
        <f t="shared" si="12"/>
        <v>4</v>
      </c>
      <c r="J822" s="127">
        <v>2.8029899999999999</v>
      </c>
      <c r="M822" s="128"/>
    </row>
    <row r="823" spans="2:13">
      <c r="B823" s="116">
        <v>815</v>
      </c>
      <c r="C823" s="124" t="s">
        <v>976</v>
      </c>
      <c r="D823" s="116" t="s">
        <v>51</v>
      </c>
      <c r="E823" s="125">
        <v>65</v>
      </c>
      <c r="F823" s="126">
        <v>82.3</v>
      </c>
      <c r="G823" s="126">
        <v>13</v>
      </c>
      <c r="I823" s="125">
        <f t="shared" si="12"/>
        <v>3</v>
      </c>
      <c r="J823" s="127">
        <v>2.7652799999999997</v>
      </c>
      <c r="M823" s="128"/>
    </row>
    <row r="824" spans="2:13">
      <c r="B824" s="116">
        <v>816</v>
      </c>
      <c r="C824" s="124" t="s">
        <v>977</v>
      </c>
      <c r="D824" s="116" t="s">
        <v>66</v>
      </c>
      <c r="E824" s="125">
        <v>39</v>
      </c>
      <c r="F824" s="126">
        <v>49.7</v>
      </c>
      <c r="G824" s="126">
        <v>7</v>
      </c>
      <c r="I824" s="125">
        <f t="shared" si="12"/>
        <v>3</v>
      </c>
      <c r="J824" s="127">
        <v>1.8935700000000002</v>
      </c>
      <c r="M824" s="128"/>
    </row>
    <row r="825" spans="2:13">
      <c r="B825" s="116">
        <v>817</v>
      </c>
      <c r="C825" s="124" t="s">
        <v>978</v>
      </c>
      <c r="D825" s="116" t="s">
        <v>65</v>
      </c>
      <c r="E825" s="125">
        <v>67</v>
      </c>
      <c r="F825" s="126">
        <v>93.3</v>
      </c>
      <c r="G825" s="126">
        <v>15</v>
      </c>
      <c r="I825" s="125">
        <f t="shared" si="12"/>
        <v>3</v>
      </c>
      <c r="J825" s="127">
        <v>3.2655000000000003</v>
      </c>
      <c r="M825" s="128"/>
    </row>
    <row r="826" spans="2:13">
      <c r="B826" s="116">
        <v>818</v>
      </c>
      <c r="C826" s="124" t="s">
        <v>979</v>
      </c>
      <c r="D826" s="116" t="s">
        <v>65</v>
      </c>
      <c r="E826" s="125">
        <v>50</v>
      </c>
      <c r="F826" s="126">
        <v>54.5</v>
      </c>
      <c r="G826" s="126">
        <v>9</v>
      </c>
      <c r="I826" s="125">
        <f t="shared" si="12"/>
        <v>3</v>
      </c>
      <c r="J826" s="127">
        <v>1.7385499999999998</v>
      </c>
      <c r="M826" s="128"/>
    </row>
    <row r="827" spans="2:13">
      <c r="B827" s="116">
        <v>819</v>
      </c>
      <c r="C827" s="124" t="s">
        <v>980</v>
      </c>
      <c r="D827" s="116" t="s">
        <v>86</v>
      </c>
      <c r="E827" s="125">
        <v>51</v>
      </c>
      <c r="F827" s="126">
        <v>95.6</v>
      </c>
      <c r="G827" s="126">
        <v>13</v>
      </c>
      <c r="I827" s="125">
        <f t="shared" si="12"/>
        <v>3</v>
      </c>
      <c r="J827" s="127">
        <v>2.30396</v>
      </c>
      <c r="M827" s="128"/>
    </row>
    <row r="828" spans="2:13">
      <c r="B828" s="116">
        <v>820</v>
      </c>
      <c r="C828" s="124" t="s">
        <v>981</v>
      </c>
      <c r="D828" s="116" t="s">
        <v>66</v>
      </c>
      <c r="E828" s="125">
        <v>55</v>
      </c>
      <c r="F828" s="126">
        <v>80.900000000000006</v>
      </c>
      <c r="G828" s="126">
        <v>15</v>
      </c>
      <c r="I828" s="125">
        <f t="shared" si="12"/>
        <v>3</v>
      </c>
      <c r="J828" s="127">
        <v>1.9496900000000001</v>
      </c>
      <c r="M828" s="128"/>
    </row>
    <row r="829" spans="2:13">
      <c r="B829" s="116">
        <v>821</v>
      </c>
      <c r="C829" s="124" t="s">
        <v>982</v>
      </c>
      <c r="D829" s="116" t="s">
        <v>84</v>
      </c>
      <c r="E829" s="125">
        <v>41</v>
      </c>
      <c r="F829" s="126">
        <v>53.3</v>
      </c>
      <c r="G829" s="126">
        <v>9</v>
      </c>
      <c r="I829" s="125">
        <f t="shared" si="12"/>
        <v>3</v>
      </c>
      <c r="J829" s="127">
        <v>1.6736199999999997</v>
      </c>
      <c r="M829" s="128"/>
    </row>
    <row r="830" spans="2:13">
      <c r="B830" s="116">
        <v>822</v>
      </c>
      <c r="C830" s="124" t="s">
        <v>983</v>
      </c>
      <c r="D830" s="116" t="s">
        <v>88</v>
      </c>
      <c r="E830" s="125">
        <v>41</v>
      </c>
      <c r="F830" s="126">
        <v>41.7</v>
      </c>
      <c r="G830" s="126">
        <v>8</v>
      </c>
      <c r="I830" s="125">
        <f t="shared" si="12"/>
        <v>3</v>
      </c>
      <c r="J830" s="127">
        <v>1.3552500000000001</v>
      </c>
      <c r="M830" s="128"/>
    </row>
    <row r="831" spans="2:13">
      <c r="B831" s="116">
        <v>823</v>
      </c>
      <c r="C831" s="124" t="s">
        <v>984</v>
      </c>
      <c r="D831" s="116" t="s">
        <v>88</v>
      </c>
      <c r="E831" s="125">
        <v>94</v>
      </c>
      <c r="F831" s="126">
        <v>106.2</v>
      </c>
      <c r="G831" s="126">
        <v>17</v>
      </c>
      <c r="I831" s="125">
        <f t="shared" si="12"/>
        <v>4</v>
      </c>
      <c r="J831" s="127">
        <v>2.58066</v>
      </c>
      <c r="M831" s="128"/>
    </row>
    <row r="832" spans="2:13">
      <c r="B832" s="116">
        <v>824</v>
      </c>
      <c r="C832" s="124" t="s">
        <v>985</v>
      </c>
      <c r="D832" s="116" t="s">
        <v>65</v>
      </c>
      <c r="E832" s="125">
        <v>47</v>
      </c>
      <c r="F832" s="126">
        <v>87.6</v>
      </c>
      <c r="G832" s="126">
        <v>17</v>
      </c>
      <c r="I832" s="125">
        <f t="shared" si="12"/>
        <v>3</v>
      </c>
      <c r="J832" s="127">
        <v>3.4864799999999998</v>
      </c>
      <c r="M832" s="128"/>
    </row>
    <row r="833" spans="2:13">
      <c r="B833" s="116">
        <v>825</v>
      </c>
      <c r="C833" s="124" t="s">
        <v>986</v>
      </c>
      <c r="D833" s="116" t="s">
        <v>84</v>
      </c>
      <c r="E833" s="125">
        <v>53</v>
      </c>
      <c r="F833" s="126">
        <v>54.4</v>
      </c>
      <c r="G833" s="126">
        <v>8</v>
      </c>
      <c r="I833" s="125">
        <f t="shared" si="12"/>
        <v>3</v>
      </c>
      <c r="J833" s="127">
        <v>2.04</v>
      </c>
      <c r="M833" s="128"/>
    </row>
    <row r="834" spans="2:13">
      <c r="B834" s="116">
        <v>826</v>
      </c>
      <c r="C834" s="124" t="s">
        <v>987</v>
      </c>
      <c r="D834" s="116" t="s">
        <v>92</v>
      </c>
      <c r="E834" s="125">
        <v>60</v>
      </c>
      <c r="F834" s="126">
        <v>72.400000000000006</v>
      </c>
      <c r="G834" s="126">
        <v>9</v>
      </c>
      <c r="I834" s="125">
        <f t="shared" si="12"/>
        <v>3</v>
      </c>
      <c r="J834" s="127">
        <v>1.6941600000000001</v>
      </c>
      <c r="M834" s="128"/>
    </row>
    <row r="835" spans="2:13">
      <c r="B835" s="116">
        <v>827</v>
      </c>
      <c r="C835" s="124" t="s">
        <v>988</v>
      </c>
      <c r="D835" s="116" t="s">
        <v>65</v>
      </c>
      <c r="E835" s="125">
        <v>43</v>
      </c>
      <c r="F835" s="126">
        <v>80.2</v>
      </c>
      <c r="G835" s="126">
        <v>11</v>
      </c>
      <c r="I835" s="125">
        <f t="shared" si="12"/>
        <v>3</v>
      </c>
      <c r="J835" s="127">
        <v>3.1678999999999999</v>
      </c>
      <c r="M835" s="128"/>
    </row>
    <row r="836" spans="2:13">
      <c r="B836" s="116">
        <v>828</v>
      </c>
      <c r="C836" s="124" t="s">
        <v>989</v>
      </c>
      <c r="D836" s="116" t="s">
        <v>65</v>
      </c>
      <c r="E836" s="125">
        <v>56</v>
      </c>
      <c r="F836" s="126">
        <v>63.4</v>
      </c>
      <c r="G836" s="126">
        <v>10</v>
      </c>
      <c r="I836" s="125">
        <f t="shared" si="12"/>
        <v>3</v>
      </c>
      <c r="J836" s="127">
        <v>2.2190000000000003</v>
      </c>
      <c r="M836" s="128"/>
    </row>
    <row r="837" spans="2:13">
      <c r="B837" s="116">
        <v>829</v>
      </c>
      <c r="C837" s="124" t="s">
        <v>990</v>
      </c>
      <c r="D837" s="116" t="s">
        <v>88</v>
      </c>
      <c r="E837" s="125">
        <v>58</v>
      </c>
      <c r="F837" s="126">
        <v>98.4</v>
      </c>
      <c r="G837" s="126">
        <v>11</v>
      </c>
      <c r="I837" s="125">
        <f t="shared" si="12"/>
        <v>3</v>
      </c>
      <c r="J837" s="127">
        <v>2.5780800000000004</v>
      </c>
      <c r="M837" s="128"/>
    </row>
    <row r="838" spans="2:13">
      <c r="B838" s="116">
        <v>830</v>
      </c>
      <c r="C838" s="124" t="s">
        <v>991</v>
      </c>
      <c r="D838" s="116" t="s">
        <v>84</v>
      </c>
      <c r="E838" s="125">
        <v>55</v>
      </c>
      <c r="F838" s="126">
        <v>109.5</v>
      </c>
      <c r="G838" s="126">
        <v>19</v>
      </c>
      <c r="I838" s="125">
        <f t="shared" si="12"/>
        <v>4</v>
      </c>
      <c r="J838" s="127">
        <v>2.847</v>
      </c>
      <c r="M838" s="128"/>
    </row>
    <row r="839" spans="2:13">
      <c r="B839" s="116">
        <v>831</v>
      </c>
      <c r="C839" s="124" t="s">
        <v>992</v>
      </c>
      <c r="D839" s="116" t="s">
        <v>101</v>
      </c>
      <c r="E839" s="125">
        <v>67</v>
      </c>
      <c r="F839" s="126">
        <v>75.2</v>
      </c>
      <c r="G839" s="126">
        <v>8</v>
      </c>
      <c r="I839" s="125">
        <f t="shared" si="12"/>
        <v>3</v>
      </c>
      <c r="J839" s="127">
        <v>1.51152</v>
      </c>
      <c r="M839" s="128"/>
    </row>
    <row r="840" spans="2:13">
      <c r="B840" s="116">
        <v>832</v>
      </c>
      <c r="C840" s="124" t="s">
        <v>993</v>
      </c>
      <c r="D840" s="116" t="s">
        <v>84</v>
      </c>
      <c r="E840" s="125">
        <v>61</v>
      </c>
      <c r="F840" s="126">
        <v>96.4</v>
      </c>
      <c r="G840" s="126">
        <v>12</v>
      </c>
      <c r="I840" s="125">
        <f t="shared" si="12"/>
        <v>3</v>
      </c>
      <c r="J840" s="127">
        <v>1.9762000000000002</v>
      </c>
      <c r="M840" s="128"/>
    </row>
    <row r="841" spans="2:13">
      <c r="B841" s="116">
        <v>833</v>
      </c>
      <c r="C841" s="124" t="s">
        <v>994</v>
      </c>
      <c r="D841" s="116" t="s">
        <v>63</v>
      </c>
      <c r="E841" s="125">
        <v>64</v>
      </c>
      <c r="F841" s="126">
        <v>107.3</v>
      </c>
      <c r="G841" s="126">
        <v>14</v>
      </c>
      <c r="I841" s="125">
        <f t="shared" ref="I841:I904" si="13">IF(F841&lt;=100,3,IF(F841&lt;=140,4,IF(F841&lt;=175,5,6)))</f>
        <v>4</v>
      </c>
      <c r="J841" s="127">
        <v>2.5108199999999998</v>
      </c>
      <c r="M841" s="128"/>
    </row>
    <row r="842" spans="2:13">
      <c r="B842" s="116">
        <v>834</v>
      </c>
      <c r="C842" s="124" t="s">
        <v>995</v>
      </c>
      <c r="D842" s="116" t="s">
        <v>54</v>
      </c>
      <c r="E842" s="125">
        <v>58</v>
      </c>
      <c r="F842" s="126">
        <v>65.5</v>
      </c>
      <c r="G842" s="126">
        <v>9</v>
      </c>
      <c r="I842" s="125">
        <f t="shared" si="13"/>
        <v>3</v>
      </c>
      <c r="J842" s="127">
        <v>2.0698000000000003</v>
      </c>
      <c r="M842" s="128"/>
    </row>
    <row r="843" spans="2:13">
      <c r="B843" s="116">
        <v>835</v>
      </c>
      <c r="C843" s="124" t="s">
        <v>996</v>
      </c>
      <c r="D843" s="116" t="s">
        <v>65</v>
      </c>
      <c r="E843" s="125">
        <v>42</v>
      </c>
      <c r="F843" s="126">
        <v>71.400000000000006</v>
      </c>
      <c r="G843" s="126">
        <v>9</v>
      </c>
      <c r="I843" s="125">
        <f t="shared" si="13"/>
        <v>3</v>
      </c>
      <c r="J843" s="127">
        <v>2.3347800000000003</v>
      </c>
      <c r="M843" s="128"/>
    </row>
    <row r="844" spans="2:13">
      <c r="B844" s="116">
        <v>836</v>
      </c>
      <c r="C844" s="124" t="s">
        <v>997</v>
      </c>
      <c r="D844" s="116" t="s">
        <v>86</v>
      </c>
      <c r="E844" s="125">
        <v>50</v>
      </c>
      <c r="F844" s="126">
        <v>73.400000000000006</v>
      </c>
      <c r="G844" s="126">
        <v>12</v>
      </c>
      <c r="I844" s="125">
        <f t="shared" si="13"/>
        <v>3</v>
      </c>
      <c r="J844" s="127">
        <v>2.5690000000000004</v>
      </c>
      <c r="M844" s="128"/>
    </row>
    <row r="845" spans="2:13">
      <c r="B845" s="116">
        <v>837</v>
      </c>
      <c r="C845" s="124" t="s">
        <v>998</v>
      </c>
      <c r="D845" s="116" t="s">
        <v>84</v>
      </c>
      <c r="E845" s="125">
        <v>43</v>
      </c>
      <c r="F845" s="126">
        <v>64.599999999999994</v>
      </c>
      <c r="G845" s="126">
        <v>8</v>
      </c>
      <c r="I845" s="125">
        <f t="shared" si="13"/>
        <v>3</v>
      </c>
      <c r="J845" s="127">
        <v>2.0542799999999999</v>
      </c>
      <c r="M845" s="128"/>
    </row>
    <row r="846" spans="2:13">
      <c r="B846" s="116">
        <v>838</v>
      </c>
      <c r="C846" s="124" t="s">
        <v>999</v>
      </c>
      <c r="D846" s="116" t="s">
        <v>65</v>
      </c>
      <c r="E846" s="125">
        <v>46</v>
      </c>
      <c r="F846" s="126">
        <v>62.4</v>
      </c>
      <c r="G846" s="126">
        <v>8</v>
      </c>
      <c r="I846" s="125">
        <f t="shared" si="13"/>
        <v>3</v>
      </c>
      <c r="J846" s="127">
        <v>1.7035200000000001</v>
      </c>
      <c r="M846" s="128"/>
    </row>
    <row r="847" spans="2:13">
      <c r="B847" s="116">
        <v>839</v>
      </c>
      <c r="C847" s="124" t="s">
        <v>1000</v>
      </c>
      <c r="D847" s="116" t="s">
        <v>65</v>
      </c>
      <c r="E847" s="125">
        <v>36</v>
      </c>
      <c r="F847" s="126">
        <v>60.8</v>
      </c>
      <c r="G847" s="126">
        <v>7</v>
      </c>
      <c r="I847" s="125">
        <f t="shared" si="13"/>
        <v>3</v>
      </c>
      <c r="J847" s="127">
        <v>2.3104</v>
      </c>
      <c r="M847" s="128"/>
    </row>
    <row r="848" spans="2:13">
      <c r="B848" s="116">
        <v>840</v>
      </c>
      <c r="C848" s="124" t="s">
        <v>1001</v>
      </c>
      <c r="D848" s="116" t="s">
        <v>86</v>
      </c>
      <c r="E848" s="125">
        <v>83</v>
      </c>
      <c r="F848" s="126">
        <v>144.9</v>
      </c>
      <c r="G848" s="126">
        <v>19</v>
      </c>
      <c r="I848" s="125">
        <f t="shared" si="13"/>
        <v>5</v>
      </c>
      <c r="J848" s="127">
        <v>4.6947599999999996</v>
      </c>
      <c r="M848" s="128"/>
    </row>
    <row r="849" spans="2:13">
      <c r="B849" s="116">
        <v>841</v>
      </c>
      <c r="C849" s="124" t="s">
        <v>1002</v>
      </c>
      <c r="D849" s="116" t="s">
        <v>84</v>
      </c>
      <c r="E849" s="125">
        <v>56</v>
      </c>
      <c r="F849" s="126">
        <v>90.4</v>
      </c>
      <c r="G849" s="126">
        <v>10</v>
      </c>
      <c r="I849" s="125">
        <f t="shared" si="13"/>
        <v>3</v>
      </c>
      <c r="J849" s="127">
        <v>1.9887999999999999</v>
      </c>
      <c r="M849" s="128"/>
    </row>
    <row r="850" spans="2:13">
      <c r="B850" s="116">
        <v>842</v>
      </c>
      <c r="C850" s="124" t="s">
        <v>1003</v>
      </c>
      <c r="D850" s="116" t="s">
        <v>65</v>
      </c>
      <c r="E850" s="125">
        <v>74</v>
      </c>
      <c r="F850" s="126">
        <v>103.4</v>
      </c>
      <c r="G850" s="126">
        <v>13</v>
      </c>
      <c r="I850" s="125">
        <f t="shared" si="13"/>
        <v>4</v>
      </c>
      <c r="J850" s="127">
        <v>2.7918000000000003</v>
      </c>
      <c r="M850" s="128"/>
    </row>
    <row r="851" spans="2:13">
      <c r="B851" s="116">
        <v>843</v>
      </c>
      <c r="C851" s="124" t="s">
        <v>1004</v>
      </c>
      <c r="D851" s="116" t="s">
        <v>86</v>
      </c>
      <c r="E851" s="125">
        <v>95</v>
      </c>
      <c r="F851" s="126">
        <v>162.69999999999999</v>
      </c>
      <c r="G851" s="126">
        <v>24</v>
      </c>
      <c r="I851" s="125">
        <f t="shared" si="13"/>
        <v>5</v>
      </c>
      <c r="J851" s="127">
        <v>4.9948899999999998</v>
      </c>
      <c r="M851" s="128"/>
    </row>
    <row r="852" spans="2:13">
      <c r="B852" s="116">
        <v>844</v>
      </c>
      <c r="C852" s="124" t="s">
        <v>1005</v>
      </c>
      <c r="D852" s="116" t="s">
        <v>86</v>
      </c>
      <c r="E852" s="125">
        <v>81</v>
      </c>
      <c r="F852" s="126">
        <v>85.1</v>
      </c>
      <c r="G852" s="126">
        <v>14</v>
      </c>
      <c r="I852" s="125">
        <f t="shared" si="13"/>
        <v>3</v>
      </c>
      <c r="J852" s="127">
        <v>2.3572699999999998</v>
      </c>
      <c r="M852" s="128"/>
    </row>
    <row r="853" spans="2:13">
      <c r="B853" s="116">
        <v>845</v>
      </c>
      <c r="C853" s="124" t="s">
        <v>1006</v>
      </c>
      <c r="D853" s="116" t="s">
        <v>86</v>
      </c>
      <c r="E853" s="125">
        <v>46</v>
      </c>
      <c r="F853" s="126">
        <v>54.4</v>
      </c>
      <c r="G853" s="126">
        <v>11</v>
      </c>
      <c r="I853" s="125">
        <f t="shared" si="13"/>
        <v>3</v>
      </c>
      <c r="J853" s="127">
        <v>1.4470399999999999</v>
      </c>
      <c r="M853" s="128"/>
    </row>
    <row r="854" spans="2:13">
      <c r="B854" s="116">
        <v>846</v>
      </c>
      <c r="C854" s="124" t="s">
        <v>1007</v>
      </c>
      <c r="D854" s="116" t="s">
        <v>68</v>
      </c>
      <c r="E854" s="125">
        <v>99</v>
      </c>
      <c r="F854" s="126">
        <v>142.6</v>
      </c>
      <c r="G854" s="126">
        <v>23</v>
      </c>
      <c r="I854" s="125">
        <f t="shared" si="13"/>
        <v>5</v>
      </c>
      <c r="J854" s="127">
        <v>2.9518199999999997</v>
      </c>
      <c r="M854" s="128"/>
    </row>
    <row r="855" spans="2:13">
      <c r="B855" s="116">
        <v>847</v>
      </c>
      <c r="C855" s="124" t="s">
        <v>1008</v>
      </c>
      <c r="D855" s="116" t="s">
        <v>65</v>
      </c>
      <c r="E855" s="125">
        <v>56</v>
      </c>
      <c r="F855" s="126">
        <v>86.2</v>
      </c>
      <c r="G855" s="126">
        <v>11</v>
      </c>
      <c r="I855" s="125">
        <f t="shared" si="13"/>
        <v>3</v>
      </c>
      <c r="J855" s="127">
        <v>2.9394200000000001</v>
      </c>
      <c r="M855" s="128"/>
    </row>
    <row r="856" spans="2:13">
      <c r="B856" s="116">
        <v>848</v>
      </c>
      <c r="C856" s="124" t="s">
        <v>1009</v>
      </c>
      <c r="D856" s="116" t="s">
        <v>88</v>
      </c>
      <c r="E856" s="125">
        <v>95</v>
      </c>
      <c r="F856" s="126">
        <v>133.9</v>
      </c>
      <c r="G856" s="126">
        <v>23</v>
      </c>
      <c r="I856" s="125">
        <f t="shared" si="13"/>
        <v>4</v>
      </c>
      <c r="J856" s="127">
        <v>4.3785300000000005</v>
      </c>
      <c r="M856" s="128"/>
    </row>
    <row r="857" spans="2:13">
      <c r="B857" s="116">
        <v>849</v>
      </c>
      <c r="C857" s="124" t="s">
        <v>1010</v>
      </c>
      <c r="D857" s="116" t="s">
        <v>84</v>
      </c>
      <c r="E857" s="125">
        <v>53</v>
      </c>
      <c r="F857" s="126">
        <v>73.2</v>
      </c>
      <c r="G857" s="126">
        <v>11</v>
      </c>
      <c r="I857" s="125">
        <f t="shared" si="13"/>
        <v>3</v>
      </c>
      <c r="J857" s="127">
        <v>2.7889200000000001</v>
      </c>
      <c r="M857" s="128"/>
    </row>
    <row r="858" spans="2:13">
      <c r="B858" s="116">
        <v>850</v>
      </c>
      <c r="C858" s="124" t="s">
        <v>1011</v>
      </c>
      <c r="D858" s="116" t="s">
        <v>65</v>
      </c>
      <c r="E858" s="125">
        <v>85</v>
      </c>
      <c r="F858" s="126">
        <v>155.6</v>
      </c>
      <c r="G858" s="126">
        <v>26</v>
      </c>
      <c r="I858" s="125">
        <f t="shared" si="13"/>
        <v>5</v>
      </c>
      <c r="J858" s="127">
        <v>5.8816800000000002</v>
      </c>
      <c r="M858" s="128"/>
    </row>
    <row r="859" spans="2:13">
      <c r="B859" s="116">
        <v>851</v>
      </c>
      <c r="C859" s="124" t="s">
        <v>1012</v>
      </c>
      <c r="D859" s="116" t="s">
        <v>86</v>
      </c>
      <c r="E859" s="125">
        <v>72</v>
      </c>
      <c r="F859" s="126">
        <v>139.19999999999999</v>
      </c>
      <c r="G859" s="126">
        <v>25</v>
      </c>
      <c r="I859" s="125">
        <f t="shared" si="13"/>
        <v>4</v>
      </c>
      <c r="J859" s="127">
        <v>5.5401600000000002</v>
      </c>
      <c r="M859" s="128"/>
    </row>
    <row r="860" spans="2:13">
      <c r="B860" s="116">
        <v>852</v>
      </c>
      <c r="C860" s="124" t="s">
        <v>1013</v>
      </c>
      <c r="D860" s="116" t="s">
        <v>65</v>
      </c>
      <c r="E860" s="125">
        <v>53</v>
      </c>
      <c r="F860" s="126">
        <v>53.6</v>
      </c>
      <c r="G860" s="126">
        <v>8</v>
      </c>
      <c r="I860" s="125">
        <f t="shared" si="13"/>
        <v>3</v>
      </c>
      <c r="J860" s="127">
        <v>1.9242400000000002</v>
      </c>
      <c r="M860" s="128"/>
    </row>
    <row r="861" spans="2:13">
      <c r="B861" s="116">
        <v>853</v>
      </c>
      <c r="C861" s="124" t="s">
        <v>1014</v>
      </c>
      <c r="D861" s="116" t="s">
        <v>63</v>
      </c>
      <c r="E861" s="125">
        <v>53</v>
      </c>
      <c r="F861" s="126">
        <v>84.6</v>
      </c>
      <c r="G861" s="126">
        <v>17</v>
      </c>
      <c r="I861" s="125">
        <f t="shared" si="13"/>
        <v>3</v>
      </c>
      <c r="J861" s="127">
        <v>2.2418999999999998</v>
      </c>
      <c r="M861" s="128"/>
    </row>
    <row r="862" spans="2:13">
      <c r="B862" s="116">
        <v>854</v>
      </c>
      <c r="C862" s="124" t="s">
        <v>1015</v>
      </c>
      <c r="D862" s="116" t="s">
        <v>84</v>
      </c>
      <c r="E862" s="125">
        <v>80</v>
      </c>
      <c r="F862" s="126">
        <v>99.1</v>
      </c>
      <c r="G862" s="126">
        <v>11</v>
      </c>
      <c r="I862" s="125">
        <f t="shared" si="13"/>
        <v>3</v>
      </c>
      <c r="J862" s="127">
        <v>3.1117399999999997</v>
      </c>
      <c r="M862" s="128"/>
    </row>
    <row r="863" spans="2:13">
      <c r="B863" s="116">
        <v>855</v>
      </c>
      <c r="C863" s="124" t="s">
        <v>1016</v>
      </c>
      <c r="D863" s="116" t="s">
        <v>86</v>
      </c>
      <c r="E863" s="125">
        <v>96</v>
      </c>
      <c r="F863" s="126">
        <v>103.9</v>
      </c>
      <c r="G863" s="126">
        <v>14</v>
      </c>
      <c r="I863" s="125">
        <f t="shared" si="13"/>
        <v>4</v>
      </c>
      <c r="J863" s="127">
        <v>2.5351600000000003</v>
      </c>
      <c r="M863" s="128"/>
    </row>
    <row r="864" spans="2:13">
      <c r="B864" s="116">
        <v>856</v>
      </c>
      <c r="C864" s="124" t="s">
        <v>1017</v>
      </c>
      <c r="D864" s="116" t="s">
        <v>84</v>
      </c>
      <c r="E864" s="125">
        <v>87</v>
      </c>
      <c r="F864" s="126">
        <v>118.5</v>
      </c>
      <c r="G864" s="126">
        <v>20</v>
      </c>
      <c r="I864" s="125">
        <f t="shared" si="13"/>
        <v>4</v>
      </c>
      <c r="J864" s="127">
        <v>3.0573000000000001</v>
      </c>
      <c r="M864" s="128"/>
    </row>
    <row r="865" spans="2:13">
      <c r="B865" s="116">
        <v>857</v>
      </c>
      <c r="C865" s="124" t="s">
        <v>1018</v>
      </c>
      <c r="D865" s="116" t="s">
        <v>84</v>
      </c>
      <c r="E865" s="125">
        <v>55</v>
      </c>
      <c r="F865" s="126">
        <v>93.7</v>
      </c>
      <c r="G865" s="126">
        <v>9</v>
      </c>
      <c r="I865" s="125">
        <f t="shared" si="13"/>
        <v>3</v>
      </c>
      <c r="J865" s="127">
        <v>3.1389500000000004</v>
      </c>
      <c r="M865" s="128"/>
    </row>
    <row r="866" spans="2:13">
      <c r="B866" s="116">
        <v>858</v>
      </c>
      <c r="C866" s="124" t="s">
        <v>1019</v>
      </c>
      <c r="D866" s="116" t="s">
        <v>51</v>
      </c>
      <c r="E866" s="125">
        <v>55</v>
      </c>
      <c r="F866" s="126">
        <v>62.2</v>
      </c>
      <c r="G866" s="126">
        <v>11</v>
      </c>
      <c r="I866" s="125">
        <f t="shared" si="13"/>
        <v>3</v>
      </c>
      <c r="J866" s="127">
        <v>1.34352</v>
      </c>
      <c r="M866" s="128"/>
    </row>
    <row r="867" spans="2:13">
      <c r="B867" s="116">
        <v>859</v>
      </c>
      <c r="C867" s="124" t="s">
        <v>1020</v>
      </c>
      <c r="D867" s="116" t="s">
        <v>86</v>
      </c>
      <c r="E867" s="125">
        <v>49</v>
      </c>
      <c r="F867" s="126">
        <v>86.9</v>
      </c>
      <c r="G867" s="126">
        <v>14</v>
      </c>
      <c r="I867" s="125">
        <f t="shared" si="13"/>
        <v>3</v>
      </c>
      <c r="J867" s="127">
        <v>3.25875</v>
      </c>
      <c r="M867" s="128"/>
    </row>
    <row r="868" spans="2:13">
      <c r="B868" s="116">
        <v>860</v>
      </c>
      <c r="C868" s="124" t="s">
        <v>1021</v>
      </c>
      <c r="D868" s="116" t="s">
        <v>88</v>
      </c>
      <c r="E868" s="125">
        <v>59</v>
      </c>
      <c r="F868" s="126">
        <v>94.6</v>
      </c>
      <c r="G868" s="126">
        <v>18</v>
      </c>
      <c r="I868" s="125">
        <f t="shared" si="13"/>
        <v>3</v>
      </c>
      <c r="J868" s="127">
        <v>3.0839599999999994</v>
      </c>
      <c r="M868" s="128"/>
    </row>
    <row r="869" spans="2:13">
      <c r="B869" s="116">
        <v>861</v>
      </c>
      <c r="C869" s="124" t="s">
        <v>1022</v>
      </c>
      <c r="D869" s="116" t="s">
        <v>86</v>
      </c>
      <c r="E869" s="125">
        <v>59</v>
      </c>
      <c r="F869" s="126">
        <v>101.5</v>
      </c>
      <c r="G869" s="126">
        <v>14</v>
      </c>
      <c r="I869" s="125">
        <f t="shared" si="13"/>
        <v>4</v>
      </c>
      <c r="J869" s="127">
        <v>2.16195</v>
      </c>
      <c r="M869" s="128"/>
    </row>
    <row r="870" spans="2:13">
      <c r="B870" s="116">
        <v>862</v>
      </c>
      <c r="C870" s="124" t="s">
        <v>1023</v>
      </c>
      <c r="D870" s="116" t="s">
        <v>78</v>
      </c>
      <c r="E870" s="125">
        <v>60</v>
      </c>
      <c r="F870" s="126">
        <v>113.9</v>
      </c>
      <c r="G870" s="126">
        <v>21</v>
      </c>
      <c r="I870" s="125">
        <f t="shared" si="13"/>
        <v>4</v>
      </c>
      <c r="J870" s="127">
        <v>4.4307099999999995</v>
      </c>
      <c r="M870" s="128"/>
    </row>
    <row r="871" spans="2:13">
      <c r="B871" s="116">
        <v>863</v>
      </c>
      <c r="C871" s="124" t="s">
        <v>1024</v>
      </c>
      <c r="D871" s="116" t="s">
        <v>51</v>
      </c>
      <c r="E871" s="125">
        <v>48</v>
      </c>
      <c r="F871" s="126">
        <v>68.400000000000006</v>
      </c>
      <c r="G871" s="126">
        <v>14</v>
      </c>
      <c r="I871" s="125">
        <f t="shared" si="13"/>
        <v>3</v>
      </c>
      <c r="J871" s="127">
        <v>1.5663600000000002</v>
      </c>
      <c r="M871" s="128"/>
    </row>
    <row r="872" spans="2:13">
      <c r="B872" s="116">
        <v>864</v>
      </c>
      <c r="C872" s="124" t="s">
        <v>1025</v>
      </c>
      <c r="D872" s="116" t="s">
        <v>84</v>
      </c>
      <c r="E872" s="125">
        <v>61</v>
      </c>
      <c r="F872" s="126">
        <v>111.6</v>
      </c>
      <c r="G872" s="126">
        <v>20</v>
      </c>
      <c r="I872" s="125">
        <f t="shared" si="13"/>
        <v>4</v>
      </c>
      <c r="J872" s="127">
        <v>3.2698799999999997</v>
      </c>
      <c r="M872" s="128"/>
    </row>
    <row r="873" spans="2:13">
      <c r="B873" s="116">
        <v>865</v>
      </c>
      <c r="C873" s="124" t="s">
        <v>1026</v>
      </c>
      <c r="D873" s="116" t="s">
        <v>86</v>
      </c>
      <c r="E873" s="125">
        <v>41</v>
      </c>
      <c r="F873" s="126">
        <v>64.5</v>
      </c>
      <c r="G873" s="126">
        <v>10</v>
      </c>
      <c r="I873" s="125">
        <f t="shared" si="13"/>
        <v>3</v>
      </c>
      <c r="J873" s="127">
        <v>2.5542000000000002</v>
      </c>
      <c r="M873" s="128"/>
    </row>
    <row r="874" spans="2:13">
      <c r="B874" s="116">
        <v>866</v>
      </c>
      <c r="C874" s="124" t="s">
        <v>1027</v>
      </c>
      <c r="D874" s="116" t="s">
        <v>65</v>
      </c>
      <c r="E874" s="125">
        <v>83</v>
      </c>
      <c r="F874" s="126">
        <v>135</v>
      </c>
      <c r="G874" s="126">
        <v>14</v>
      </c>
      <c r="I874" s="125">
        <f t="shared" si="13"/>
        <v>4</v>
      </c>
      <c r="J874" s="127">
        <v>3.3614999999999999</v>
      </c>
      <c r="M874" s="128"/>
    </row>
    <row r="875" spans="2:13">
      <c r="B875" s="116">
        <v>867</v>
      </c>
      <c r="C875" s="124" t="s">
        <v>1028</v>
      </c>
      <c r="D875" s="116" t="s">
        <v>63</v>
      </c>
      <c r="E875" s="125">
        <v>63</v>
      </c>
      <c r="F875" s="126">
        <v>111.2</v>
      </c>
      <c r="G875" s="126">
        <v>13</v>
      </c>
      <c r="I875" s="125">
        <f t="shared" si="13"/>
        <v>4</v>
      </c>
      <c r="J875" s="127">
        <v>3.42496</v>
      </c>
      <c r="M875" s="128"/>
    </row>
    <row r="876" spans="2:13">
      <c r="B876" s="116">
        <v>868</v>
      </c>
      <c r="C876" s="124" t="s">
        <v>1029</v>
      </c>
      <c r="D876" s="116" t="s">
        <v>65</v>
      </c>
      <c r="E876" s="125">
        <v>89</v>
      </c>
      <c r="F876" s="126">
        <v>164.1</v>
      </c>
      <c r="G876" s="126">
        <v>25</v>
      </c>
      <c r="I876" s="125">
        <f t="shared" si="13"/>
        <v>5</v>
      </c>
      <c r="J876" s="127">
        <v>3.8891699999999996</v>
      </c>
      <c r="M876" s="128"/>
    </row>
    <row r="877" spans="2:13">
      <c r="B877" s="116">
        <v>869</v>
      </c>
      <c r="C877" s="124" t="s">
        <v>1030</v>
      </c>
      <c r="D877" s="116" t="s">
        <v>63</v>
      </c>
      <c r="E877" s="125">
        <v>78</v>
      </c>
      <c r="F877" s="126">
        <v>148.30000000000001</v>
      </c>
      <c r="G877" s="126">
        <v>24</v>
      </c>
      <c r="I877" s="125">
        <f t="shared" si="13"/>
        <v>5</v>
      </c>
      <c r="J877" s="127">
        <v>5.576080000000001</v>
      </c>
      <c r="M877" s="128"/>
    </row>
    <row r="878" spans="2:13">
      <c r="B878" s="116">
        <v>870</v>
      </c>
      <c r="C878" s="124" t="s">
        <v>1031</v>
      </c>
      <c r="D878" s="116" t="s">
        <v>78</v>
      </c>
      <c r="E878" s="125">
        <v>81</v>
      </c>
      <c r="F878" s="126">
        <v>145.1</v>
      </c>
      <c r="G878" s="126">
        <v>25</v>
      </c>
      <c r="I878" s="125">
        <f t="shared" si="13"/>
        <v>5</v>
      </c>
      <c r="J878" s="127">
        <v>4.3529999999999998</v>
      </c>
      <c r="M878" s="128"/>
    </row>
    <row r="879" spans="2:13">
      <c r="B879" s="116">
        <v>871</v>
      </c>
      <c r="C879" s="124" t="s">
        <v>1032</v>
      </c>
      <c r="D879" s="116" t="s">
        <v>66</v>
      </c>
      <c r="E879" s="125">
        <v>43</v>
      </c>
      <c r="F879" s="126">
        <v>57.8</v>
      </c>
      <c r="G879" s="126">
        <v>8</v>
      </c>
      <c r="I879" s="125">
        <f t="shared" si="13"/>
        <v>3</v>
      </c>
      <c r="J879" s="127">
        <v>1.3987599999999998</v>
      </c>
      <c r="M879" s="128"/>
    </row>
    <row r="880" spans="2:13">
      <c r="B880" s="116">
        <v>872</v>
      </c>
      <c r="C880" s="124" t="s">
        <v>1033</v>
      </c>
      <c r="D880" s="116" t="s">
        <v>84</v>
      </c>
      <c r="E880" s="125">
        <v>44</v>
      </c>
      <c r="F880" s="126">
        <v>53.2</v>
      </c>
      <c r="G880" s="126">
        <v>9</v>
      </c>
      <c r="I880" s="125">
        <f t="shared" si="13"/>
        <v>3</v>
      </c>
      <c r="J880" s="127">
        <v>2.0215999999999998</v>
      </c>
      <c r="M880" s="128"/>
    </row>
    <row r="881" spans="2:13">
      <c r="B881" s="116">
        <v>873</v>
      </c>
      <c r="C881" s="124" t="s">
        <v>1034</v>
      </c>
      <c r="D881" s="116" t="s">
        <v>86</v>
      </c>
      <c r="E881" s="125">
        <v>59</v>
      </c>
      <c r="F881" s="126">
        <v>83.4</v>
      </c>
      <c r="G881" s="126">
        <v>13</v>
      </c>
      <c r="I881" s="125">
        <f t="shared" si="13"/>
        <v>3</v>
      </c>
      <c r="J881" s="127">
        <v>3.3276599999999998</v>
      </c>
      <c r="M881" s="128"/>
    </row>
    <row r="882" spans="2:13">
      <c r="B882" s="116">
        <v>874</v>
      </c>
      <c r="C882" s="124" t="s">
        <v>1035</v>
      </c>
      <c r="D882" s="116" t="s">
        <v>86</v>
      </c>
      <c r="E882" s="125">
        <v>56</v>
      </c>
      <c r="F882" s="126">
        <v>76.8</v>
      </c>
      <c r="G882" s="126">
        <v>11</v>
      </c>
      <c r="I882" s="125">
        <f t="shared" si="13"/>
        <v>3</v>
      </c>
      <c r="J882" s="127">
        <v>1.83552</v>
      </c>
      <c r="M882" s="128"/>
    </row>
    <row r="883" spans="2:13">
      <c r="B883" s="116">
        <v>875</v>
      </c>
      <c r="C883" s="124" t="s">
        <v>1036</v>
      </c>
      <c r="D883" s="116" t="s">
        <v>84</v>
      </c>
      <c r="E883" s="125">
        <v>80</v>
      </c>
      <c r="F883" s="126">
        <v>131</v>
      </c>
      <c r="G883" s="126">
        <v>21</v>
      </c>
      <c r="I883" s="125">
        <f t="shared" si="13"/>
        <v>4</v>
      </c>
      <c r="J883" s="127">
        <v>3.5763000000000003</v>
      </c>
      <c r="M883" s="128"/>
    </row>
    <row r="884" spans="2:13">
      <c r="B884" s="116">
        <v>876</v>
      </c>
      <c r="C884" s="124" t="s">
        <v>1037</v>
      </c>
      <c r="D884" s="116" t="s">
        <v>65</v>
      </c>
      <c r="E884" s="125">
        <v>100</v>
      </c>
      <c r="F884" s="126">
        <v>160.1</v>
      </c>
      <c r="G884" s="126">
        <v>22</v>
      </c>
      <c r="I884" s="125">
        <f t="shared" si="13"/>
        <v>5</v>
      </c>
      <c r="J884" s="127">
        <v>3.47417</v>
      </c>
      <c r="M884" s="128"/>
    </row>
    <row r="885" spans="2:13">
      <c r="B885" s="116">
        <v>877</v>
      </c>
      <c r="C885" s="124" t="s">
        <v>1038</v>
      </c>
      <c r="D885" s="116" t="s">
        <v>65</v>
      </c>
      <c r="E885" s="125">
        <v>79</v>
      </c>
      <c r="F885" s="126">
        <v>157.69999999999999</v>
      </c>
      <c r="G885" s="126">
        <v>16</v>
      </c>
      <c r="I885" s="125">
        <f t="shared" si="13"/>
        <v>5</v>
      </c>
      <c r="J885" s="127">
        <v>3.5482499999999995</v>
      </c>
      <c r="M885" s="128"/>
    </row>
    <row r="886" spans="2:13">
      <c r="B886" s="116">
        <v>878</v>
      </c>
      <c r="C886" s="124" t="s">
        <v>1039</v>
      </c>
      <c r="D886" s="116" t="s">
        <v>78</v>
      </c>
      <c r="E886" s="125">
        <v>58</v>
      </c>
      <c r="F886" s="126">
        <v>97.3</v>
      </c>
      <c r="G886" s="126">
        <v>18</v>
      </c>
      <c r="I886" s="125">
        <f t="shared" si="13"/>
        <v>3</v>
      </c>
      <c r="J886" s="127">
        <v>2.37412</v>
      </c>
      <c r="M886" s="128"/>
    </row>
    <row r="887" spans="2:13">
      <c r="B887" s="116">
        <v>879</v>
      </c>
      <c r="C887" s="124" t="s">
        <v>1040</v>
      </c>
      <c r="D887" s="116" t="s">
        <v>84</v>
      </c>
      <c r="E887" s="125">
        <v>59</v>
      </c>
      <c r="F887" s="126">
        <v>82.2</v>
      </c>
      <c r="G887" s="126">
        <v>12</v>
      </c>
      <c r="I887" s="125">
        <f t="shared" si="13"/>
        <v>3</v>
      </c>
      <c r="J887" s="127">
        <v>1.7179799999999998</v>
      </c>
      <c r="M887" s="128"/>
    </row>
    <row r="888" spans="2:13">
      <c r="B888" s="116">
        <v>880</v>
      </c>
      <c r="C888" s="124" t="s">
        <v>1041</v>
      </c>
      <c r="D888" s="116" t="s">
        <v>65</v>
      </c>
      <c r="E888" s="125">
        <v>97</v>
      </c>
      <c r="F888" s="126">
        <v>181.6</v>
      </c>
      <c r="G888" s="126">
        <v>24</v>
      </c>
      <c r="I888" s="125">
        <f t="shared" si="13"/>
        <v>6</v>
      </c>
      <c r="J888" s="127">
        <v>5.0303199999999997</v>
      </c>
      <c r="M888" s="128"/>
    </row>
    <row r="889" spans="2:13">
      <c r="B889" s="116">
        <v>881</v>
      </c>
      <c r="C889" s="124" t="s">
        <v>1042</v>
      </c>
      <c r="D889" s="116" t="s">
        <v>86</v>
      </c>
      <c r="E889" s="125">
        <v>70</v>
      </c>
      <c r="F889" s="126">
        <v>71.8</v>
      </c>
      <c r="G889" s="126">
        <v>8</v>
      </c>
      <c r="I889" s="125">
        <f t="shared" si="13"/>
        <v>3</v>
      </c>
      <c r="J889" s="127">
        <v>2.1683599999999998</v>
      </c>
      <c r="M889" s="128"/>
    </row>
    <row r="890" spans="2:13">
      <c r="B890" s="116">
        <v>882</v>
      </c>
      <c r="C890" s="124" t="s">
        <v>1043</v>
      </c>
      <c r="D890" s="116" t="s">
        <v>51</v>
      </c>
      <c r="E890" s="125">
        <v>73</v>
      </c>
      <c r="F890" s="126">
        <v>86</v>
      </c>
      <c r="G890" s="126">
        <v>15</v>
      </c>
      <c r="I890" s="125">
        <f t="shared" si="13"/>
        <v>3</v>
      </c>
      <c r="J890" s="127">
        <v>2.9497999999999998</v>
      </c>
      <c r="M890" s="128"/>
    </row>
    <row r="891" spans="2:13">
      <c r="B891" s="116">
        <v>883</v>
      </c>
      <c r="C891" s="124" t="s">
        <v>1044</v>
      </c>
      <c r="D891" s="116" t="s">
        <v>51</v>
      </c>
      <c r="E891" s="125">
        <v>47</v>
      </c>
      <c r="F891" s="126">
        <v>52.6</v>
      </c>
      <c r="G891" s="126">
        <v>9</v>
      </c>
      <c r="I891" s="125">
        <f t="shared" si="13"/>
        <v>3</v>
      </c>
      <c r="J891" s="127">
        <v>1.5043600000000001</v>
      </c>
      <c r="M891" s="128"/>
    </row>
    <row r="892" spans="2:13">
      <c r="B892" s="116">
        <v>884</v>
      </c>
      <c r="C892" s="124" t="s">
        <v>1045</v>
      </c>
      <c r="D892" s="116" t="s">
        <v>86</v>
      </c>
      <c r="E892" s="125">
        <v>57</v>
      </c>
      <c r="F892" s="126">
        <v>96.8</v>
      </c>
      <c r="G892" s="126">
        <v>15</v>
      </c>
      <c r="I892" s="125">
        <f t="shared" si="13"/>
        <v>3</v>
      </c>
      <c r="J892" s="127">
        <v>3.0588800000000003</v>
      </c>
      <c r="M892" s="128"/>
    </row>
    <row r="893" spans="2:13">
      <c r="B893" s="116">
        <v>885</v>
      </c>
      <c r="C893" s="124" t="s">
        <v>1046</v>
      </c>
      <c r="D893" s="116" t="s">
        <v>63</v>
      </c>
      <c r="E893" s="125">
        <v>100</v>
      </c>
      <c r="F893" s="126">
        <v>141.1</v>
      </c>
      <c r="G893" s="126">
        <v>16</v>
      </c>
      <c r="I893" s="125">
        <f t="shared" si="13"/>
        <v>5</v>
      </c>
      <c r="J893" s="127">
        <v>3.4146199999999998</v>
      </c>
      <c r="M893" s="128"/>
    </row>
    <row r="894" spans="2:13">
      <c r="B894" s="116">
        <v>886</v>
      </c>
      <c r="C894" s="124" t="s">
        <v>1047</v>
      </c>
      <c r="D894" s="116" t="s">
        <v>63</v>
      </c>
      <c r="E894" s="125">
        <v>98</v>
      </c>
      <c r="F894" s="126">
        <v>196</v>
      </c>
      <c r="G894" s="126">
        <v>39</v>
      </c>
      <c r="I894" s="125">
        <f t="shared" si="13"/>
        <v>6</v>
      </c>
      <c r="J894" s="127">
        <v>4.1551999999999998</v>
      </c>
      <c r="M894" s="128"/>
    </row>
    <row r="895" spans="2:13">
      <c r="B895" s="116">
        <v>887</v>
      </c>
      <c r="C895" s="124" t="s">
        <v>1048</v>
      </c>
      <c r="D895" s="116" t="s">
        <v>63</v>
      </c>
      <c r="E895" s="125">
        <v>51</v>
      </c>
      <c r="F895" s="126">
        <v>85.7</v>
      </c>
      <c r="G895" s="126">
        <v>15</v>
      </c>
      <c r="I895" s="125">
        <f t="shared" si="13"/>
        <v>3</v>
      </c>
      <c r="J895" s="127">
        <v>2.8195299999999999</v>
      </c>
      <c r="M895" s="128"/>
    </row>
    <row r="896" spans="2:13">
      <c r="B896" s="116">
        <v>888</v>
      </c>
      <c r="C896" s="124" t="s">
        <v>1049</v>
      </c>
      <c r="D896" s="116" t="s">
        <v>78</v>
      </c>
      <c r="E896" s="125">
        <v>95</v>
      </c>
      <c r="F896" s="126">
        <v>161.19999999999999</v>
      </c>
      <c r="G896" s="126">
        <v>23</v>
      </c>
      <c r="I896" s="125">
        <f t="shared" si="13"/>
        <v>5</v>
      </c>
      <c r="J896" s="127">
        <v>4.7070400000000001</v>
      </c>
      <c r="M896" s="128"/>
    </row>
    <row r="897" spans="2:13">
      <c r="B897" s="116">
        <v>889</v>
      </c>
      <c r="C897" s="124" t="s">
        <v>1050</v>
      </c>
      <c r="D897" s="116" t="s">
        <v>78</v>
      </c>
      <c r="E897" s="125">
        <v>65</v>
      </c>
      <c r="F897" s="126">
        <v>118.1</v>
      </c>
      <c r="G897" s="126">
        <v>18</v>
      </c>
      <c r="I897" s="125">
        <f t="shared" si="13"/>
        <v>4</v>
      </c>
      <c r="J897" s="127">
        <v>2.6100099999999999</v>
      </c>
      <c r="M897" s="128"/>
    </row>
    <row r="898" spans="2:13">
      <c r="B898" s="116">
        <v>890</v>
      </c>
      <c r="C898" s="124" t="s">
        <v>1051</v>
      </c>
      <c r="D898" s="116" t="s">
        <v>65</v>
      </c>
      <c r="E898" s="125">
        <v>87</v>
      </c>
      <c r="F898" s="126">
        <v>139.6</v>
      </c>
      <c r="G898" s="126">
        <v>14</v>
      </c>
      <c r="I898" s="125">
        <f t="shared" si="13"/>
        <v>4</v>
      </c>
      <c r="J898" s="127">
        <v>5.0535199999999998</v>
      </c>
      <c r="M898" s="128"/>
    </row>
    <row r="899" spans="2:13">
      <c r="B899" s="116">
        <v>891</v>
      </c>
      <c r="C899" s="124" t="s">
        <v>1052</v>
      </c>
      <c r="D899" s="116" t="s">
        <v>65</v>
      </c>
      <c r="E899" s="125">
        <v>62</v>
      </c>
      <c r="F899" s="126">
        <v>72.3</v>
      </c>
      <c r="G899" s="126">
        <v>13</v>
      </c>
      <c r="I899" s="125">
        <f t="shared" si="13"/>
        <v>3</v>
      </c>
      <c r="J899" s="127">
        <v>1.8291899999999999</v>
      </c>
      <c r="M899" s="128"/>
    </row>
    <row r="900" spans="2:13">
      <c r="B900" s="116">
        <v>892</v>
      </c>
      <c r="C900" s="124" t="s">
        <v>1053</v>
      </c>
      <c r="D900" s="116" t="s">
        <v>93</v>
      </c>
      <c r="E900" s="125">
        <v>41</v>
      </c>
      <c r="F900" s="126">
        <v>61.5</v>
      </c>
      <c r="G900" s="126">
        <v>10</v>
      </c>
      <c r="I900" s="125">
        <f t="shared" si="13"/>
        <v>3</v>
      </c>
      <c r="J900" s="127">
        <v>2.1771000000000003</v>
      </c>
      <c r="M900" s="128"/>
    </row>
    <row r="901" spans="2:13">
      <c r="B901" s="116">
        <v>893</v>
      </c>
      <c r="C901" s="124" t="s">
        <v>1054</v>
      </c>
      <c r="D901" s="116" t="s">
        <v>65</v>
      </c>
      <c r="E901" s="125">
        <v>87</v>
      </c>
      <c r="F901" s="126">
        <v>166</v>
      </c>
      <c r="G901" s="126">
        <v>30</v>
      </c>
      <c r="I901" s="125">
        <f t="shared" si="13"/>
        <v>5</v>
      </c>
      <c r="J901" s="127">
        <v>5.6273999999999997</v>
      </c>
      <c r="M901" s="128"/>
    </row>
    <row r="902" spans="2:13">
      <c r="B902" s="116">
        <v>894</v>
      </c>
      <c r="C902" s="124" t="s">
        <v>1055</v>
      </c>
      <c r="D902" s="116" t="s">
        <v>66</v>
      </c>
      <c r="E902" s="125">
        <v>57</v>
      </c>
      <c r="F902" s="126">
        <v>81</v>
      </c>
      <c r="G902" s="126">
        <v>11</v>
      </c>
      <c r="I902" s="125">
        <f t="shared" si="13"/>
        <v>3</v>
      </c>
      <c r="J902" s="127">
        <v>1.7658</v>
      </c>
      <c r="M902" s="128"/>
    </row>
    <row r="903" spans="2:13">
      <c r="B903" s="116">
        <v>895</v>
      </c>
      <c r="C903" s="124" t="s">
        <v>1056</v>
      </c>
      <c r="D903" s="116" t="s">
        <v>86</v>
      </c>
      <c r="E903" s="125">
        <v>88</v>
      </c>
      <c r="F903" s="126">
        <v>94.2</v>
      </c>
      <c r="G903" s="126">
        <v>16</v>
      </c>
      <c r="I903" s="125">
        <f t="shared" si="13"/>
        <v>3</v>
      </c>
      <c r="J903" s="127">
        <v>2.06298</v>
      </c>
      <c r="M903" s="128"/>
    </row>
    <row r="904" spans="2:13">
      <c r="B904" s="116">
        <v>896</v>
      </c>
      <c r="C904" s="124" t="s">
        <v>1057</v>
      </c>
      <c r="D904" s="116" t="s">
        <v>66</v>
      </c>
      <c r="E904" s="125">
        <v>86</v>
      </c>
      <c r="F904" s="126">
        <v>161.4</v>
      </c>
      <c r="G904" s="126">
        <v>26</v>
      </c>
      <c r="I904" s="125">
        <f t="shared" si="13"/>
        <v>5</v>
      </c>
      <c r="J904" s="127">
        <v>4.6160399999999999</v>
      </c>
      <c r="M904" s="128"/>
    </row>
    <row r="905" spans="2:13">
      <c r="B905" s="116">
        <v>897</v>
      </c>
      <c r="C905" s="124" t="s">
        <v>1058</v>
      </c>
      <c r="D905" s="116" t="s">
        <v>65</v>
      </c>
      <c r="E905" s="125">
        <v>69</v>
      </c>
      <c r="F905" s="126">
        <v>124</v>
      </c>
      <c r="G905" s="126">
        <v>21</v>
      </c>
      <c r="I905" s="125">
        <f t="shared" ref="I905:I968" si="14">IF(F905&lt;=100,3,IF(F905&lt;=140,4,IF(F905&lt;=175,5,6)))</f>
        <v>4</v>
      </c>
      <c r="J905" s="127">
        <v>4.4143999999999997</v>
      </c>
      <c r="M905" s="128"/>
    </row>
    <row r="906" spans="2:13">
      <c r="B906" s="116">
        <v>898</v>
      </c>
      <c r="C906" s="124" t="s">
        <v>1059</v>
      </c>
      <c r="D906" s="116" t="s">
        <v>65</v>
      </c>
      <c r="E906" s="125">
        <v>52</v>
      </c>
      <c r="F906" s="126">
        <v>55</v>
      </c>
      <c r="G906" s="126">
        <v>7</v>
      </c>
      <c r="I906" s="125">
        <f t="shared" si="14"/>
        <v>3</v>
      </c>
      <c r="J906" s="127">
        <v>1.419</v>
      </c>
      <c r="M906" s="128"/>
    </row>
    <row r="907" spans="2:13">
      <c r="B907" s="116">
        <v>899</v>
      </c>
      <c r="C907" s="124" t="s">
        <v>1060</v>
      </c>
      <c r="D907" s="116" t="s">
        <v>84</v>
      </c>
      <c r="E907" s="125">
        <v>65</v>
      </c>
      <c r="F907" s="126">
        <v>80.7</v>
      </c>
      <c r="G907" s="126">
        <v>13</v>
      </c>
      <c r="I907" s="125">
        <f t="shared" si="14"/>
        <v>3</v>
      </c>
      <c r="J907" s="127">
        <v>2.4774900000000004</v>
      </c>
      <c r="M907" s="128"/>
    </row>
    <row r="908" spans="2:13">
      <c r="B908" s="116">
        <v>900</v>
      </c>
      <c r="C908" s="124" t="s">
        <v>1061</v>
      </c>
      <c r="D908" s="116" t="s">
        <v>93</v>
      </c>
      <c r="E908" s="125">
        <v>43</v>
      </c>
      <c r="F908" s="126">
        <v>82.1</v>
      </c>
      <c r="G908" s="126">
        <v>11</v>
      </c>
      <c r="I908" s="125">
        <f t="shared" si="14"/>
        <v>3</v>
      </c>
      <c r="J908" s="127">
        <v>1.73231</v>
      </c>
      <c r="M908" s="128"/>
    </row>
    <row r="909" spans="2:13">
      <c r="B909" s="116">
        <v>901</v>
      </c>
      <c r="C909" s="124" t="s">
        <v>1062</v>
      </c>
      <c r="D909" s="116" t="s">
        <v>95</v>
      </c>
      <c r="E909" s="125">
        <v>86</v>
      </c>
      <c r="F909" s="126">
        <v>164.4</v>
      </c>
      <c r="G909" s="126">
        <v>23</v>
      </c>
      <c r="I909" s="125">
        <f t="shared" si="14"/>
        <v>5</v>
      </c>
      <c r="J909" s="127">
        <v>4.7840400000000001</v>
      </c>
      <c r="M909" s="128"/>
    </row>
    <row r="910" spans="2:13">
      <c r="B910" s="116">
        <v>902</v>
      </c>
      <c r="C910" s="124" t="s">
        <v>1063</v>
      </c>
      <c r="D910" s="116" t="s">
        <v>82</v>
      </c>
      <c r="E910" s="125">
        <v>66</v>
      </c>
      <c r="F910" s="126">
        <v>70.599999999999994</v>
      </c>
      <c r="G910" s="126">
        <v>13</v>
      </c>
      <c r="I910" s="125">
        <f t="shared" si="14"/>
        <v>3</v>
      </c>
      <c r="J910" s="127">
        <v>2.2027199999999998</v>
      </c>
      <c r="M910" s="128"/>
    </row>
    <row r="911" spans="2:13">
      <c r="B911" s="116">
        <v>903</v>
      </c>
      <c r="C911" s="124" t="s">
        <v>1064</v>
      </c>
      <c r="D911" s="116" t="s">
        <v>84</v>
      </c>
      <c r="E911" s="125">
        <v>58</v>
      </c>
      <c r="F911" s="126">
        <v>68.400000000000006</v>
      </c>
      <c r="G911" s="126">
        <v>14</v>
      </c>
      <c r="I911" s="125">
        <f t="shared" si="14"/>
        <v>3</v>
      </c>
      <c r="J911" s="127">
        <v>1.8604800000000001</v>
      </c>
      <c r="M911" s="128"/>
    </row>
    <row r="912" spans="2:13">
      <c r="B912" s="116">
        <v>904</v>
      </c>
      <c r="C912" s="124" t="s">
        <v>1065</v>
      </c>
      <c r="D912" s="116" t="s">
        <v>86</v>
      </c>
      <c r="E912" s="125">
        <v>54</v>
      </c>
      <c r="F912" s="126">
        <v>104</v>
      </c>
      <c r="G912" s="126">
        <v>11</v>
      </c>
      <c r="I912" s="125">
        <f t="shared" si="14"/>
        <v>4</v>
      </c>
      <c r="J912" s="127">
        <v>3.9832000000000001</v>
      </c>
      <c r="M912" s="128"/>
    </row>
    <row r="913" spans="2:13">
      <c r="B913" s="116">
        <v>905</v>
      </c>
      <c r="C913" s="124" t="s">
        <v>1066</v>
      </c>
      <c r="D913" s="116" t="s">
        <v>55</v>
      </c>
      <c r="E913" s="125">
        <v>48</v>
      </c>
      <c r="F913" s="126">
        <v>85.6</v>
      </c>
      <c r="G913" s="126">
        <v>11</v>
      </c>
      <c r="I913" s="125">
        <f t="shared" si="14"/>
        <v>3</v>
      </c>
      <c r="J913" s="127">
        <v>2.9532000000000003</v>
      </c>
      <c r="M913" s="128"/>
    </row>
    <row r="914" spans="2:13">
      <c r="B914" s="116">
        <v>906</v>
      </c>
      <c r="C914" s="124" t="s">
        <v>1067</v>
      </c>
      <c r="D914" s="116" t="s">
        <v>86</v>
      </c>
      <c r="E914" s="125">
        <v>78</v>
      </c>
      <c r="F914" s="126">
        <v>138.6</v>
      </c>
      <c r="G914" s="126">
        <v>15</v>
      </c>
      <c r="I914" s="125">
        <f t="shared" si="14"/>
        <v>4</v>
      </c>
      <c r="J914" s="127">
        <v>3.1184999999999996</v>
      </c>
      <c r="M914" s="128"/>
    </row>
    <row r="915" spans="2:13">
      <c r="B915" s="116">
        <v>907</v>
      </c>
      <c r="C915" s="124" t="s">
        <v>1068</v>
      </c>
      <c r="D915" s="116" t="s">
        <v>84</v>
      </c>
      <c r="E915" s="125">
        <v>70</v>
      </c>
      <c r="F915" s="126">
        <v>128.30000000000001</v>
      </c>
      <c r="G915" s="126">
        <v>14</v>
      </c>
      <c r="I915" s="125">
        <f t="shared" si="14"/>
        <v>4</v>
      </c>
      <c r="J915" s="127">
        <v>4.6316300000000004</v>
      </c>
      <c r="M915" s="128"/>
    </row>
    <row r="916" spans="2:13">
      <c r="B916" s="116">
        <v>908</v>
      </c>
      <c r="C916" s="124" t="s">
        <v>1069</v>
      </c>
      <c r="D916" s="116" t="s">
        <v>93</v>
      </c>
      <c r="E916" s="125">
        <v>61</v>
      </c>
      <c r="F916" s="126">
        <v>106.5</v>
      </c>
      <c r="G916" s="126">
        <v>21</v>
      </c>
      <c r="I916" s="125">
        <f t="shared" si="14"/>
        <v>4</v>
      </c>
      <c r="J916" s="127">
        <v>3.2482500000000001</v>
      </c>
      <c r="M916" s="128"/>
    </row>
    <row r="917" spans="2:13">
      <c r="B917" s="116">
        <v>909</v>
      </c>
      <c r="C917" s="124" t="s">
        <v>1070</v>
      </c>
      <c r="D917" s="116" t="s">
        <v>84</v>
      </c>
      <c r="E917" s="125">
        <v>50</v>
      </c>
      <c r="F917" s="126">
        <v>77</v>
      </c>
      <c r="G917" s="126">
        <v>12</v>
      </c>
      <c r="I917" s="125">
        <f t="shared" si="14"/>
        <v>3</v>
      </c>
      <c r="J917" s="127">
        <v>1.8556999999999999</v>
      </c>
      <c r="M917" s="128"/>
    </row>
    <row r="918" spans="2:13">
      <c r="B918" s="116">
        <v>910</v>
      </c>
      <c r="C918" s="124" t="s">
        <v>1071</v>
      </c>
      <c r="D918" s="116" t="s">
        <v>65</v>
      </c>
      <c r="E918" s="125">
        <v>100</v>
      </c>
      <c r="F918" s="126">
        <v>117.8</v>
      </c>
      <c r="G918" s="126">
        <v>19</v>
      </c>
      <c r="I918" s="125">
        <f t="shared" si="14"/>
        <v>4</v>
      </c>
      <c r="J918" s="127">
        <v>3.3337399999999997</v>
      </c>
      <c r="M918" s="128"/>
    </row>
    <row r="919" spans="2:13">
      <c r="B919" s="116">
        <v>911</v>
      </c>
      <c r="C919" s="124" t="s">
        <v>1072</v>
      </c>
      <c r="D919" s="116" t="s">
        <v>65</v>
      </c>
      <c r="E919" s="125">
        <v>70</v>
      </c>
      <c r="F919" s="126">
        <v>88.8</v>
      </c>
      <c r="G919" s="126">
        <v>13</v>
      </c>
      <c r="I919" s="125">
        <f t="shared" si="14"/>
        <v>3</v>
      </c>
      <c r="J919" s="127">
        <v>2.4597599999999997</v>
      </c>
      <c r="M919" s="128"/>
    </row>
    <row r="920" spans="2:13">
      <c r="B920" s="116">
        <v>912</v>
      </c>
      <c r="C920" s="124" t="s">
        <v>1073</v>
      </c>
      <c r="D920" s="116" t="s">
        <v>63</v>
      </c>
      <c r="E920" s="125">
        <v>50</v>
      </c>
      <c r="F920" s="126">
        <v>58.5</v>
      </c>
      <c r="G920" s="126">
        <v>7</v>
      </c>
      <c r="I920" s="125">
        <f t="shared" si="14"/>
        <v>3</v>
      </c>
      <c r="J920" s="127">
        <v>1.5560999999999998</v>
      </c>
      <c r="M920" s="128"/>
    </row>
    <row r="921" spans="2:13">
      <c r="B921" s="116">
        <v>913</v>
      </c>
      <c r="C921" s="124" t="s">
        <v>1074</v>
      </c>
      <c r="D921" s="116" t="s">
        <v>55</v>
      </c>
      <c r="E921" s="125">
        <v>67</v>
      </c>
      <c r="F921" s="126">
        <v>104</v>
      </c>
      <c r="G921" s="126">
        <v>17</v>
      </c>
      <c r="I921" s="125">
        <f t="shared" si="14"/>
        <v>4</v>
      </c>
      <c r="J921" s="127">
        <v>2.4336000000000002</v>
      </c>
      <c r="M921" s="128"/>
    </row>
    <row r="922" spans="2:13">
      <c r="B922" s="116">
        <v>914</v>
      </c>
      <c r="C922" s="124" t="s">
        <v>1075</v>
      </c>
      <c r="D922" s="116" t="s">
        <v>86</v>
      </c>
      <c r="E922" s="125">
        <v>65</v>
      </c>
      <c r="F922" s="126">
        <v>127.8</v>
      </c>
      <c r="G922" s="126">
        <v>23</v>
      </c>
      <c r="I922" s="125">
        <f t="shared" si="14"/>
        <v>4</v>
      </c>
      <c r="J922" s="127">
        <v>3.37392</v>
      </c>
      <c r="M922" s="128"/>
    </row>
    <row r="923" spans="2:13">
      <c r="B923" s="116">
        <v>915</v>
      </c>
      <c r="C923" s="124" t="s">
        <v>1076</v>
      </c>
      <c r="D923" s="116" t="s">
        <v>72</v>
      </c>
      <c r="E923" s="125">
        <v>92</v>
      </c>
      <c r="F923" s="126">
        <v>99.4</v>
      </c>
      <c r="G923" s="126">
        <v>19</v>
      </c>
      <c r="I923" s="125">
        <f t="shared" si="14"/>
        <v>3</v>
      </c>
      <c r="J923" s="127">
        <v>2.4353000000000002</v>
      </c>
      <c r="M923" s="128"/>
    </row>
    <row r="924" spans="2:13">
      <c r="B924" s="116">
        <v>916</v>
      </c>
      <c r="C924" s="124" t="s">
        <v>1077</v>
      </c>
      <c r="D924" s="116" t="s">
        <v>63</v>
      </c>
      <c r="E924" s="125">
        <v>74</v>
      </c>
      <c r="F924" s="126">
        <v>145</v>
      </c>
      <c r="G924" s="126">
        <v>20</v>
      </c>
      <c r="I924" s="125">
        <f t="shared" si="14"/>
        <v>5</v>
      </c>
      <c r="J924" s="127">
        <v>5.0025000000000004</v>
      </c>
      <c r="M924" s="128"/>
    </row>
    <row r="925" spans="2:13">
      <c r="B925" s="116">
        <v>917</v>
      </c>
      <c r="C925" s="124" t="s">
        <v>1078</v>
      </c>
      <c r="D925" s="116" t="s">
        <v>65</v>
      </c>
      <c r="E925" s="125">
        <v>41</v>
      </c>
      <c r="F925" s="126">
        <v>65.599999999999994</v>
      </c>
      <c r="G925" s="126">
        <v>11</v>
      </c>
      <c r="I925" s="125">
        <f t="shared" si="14"/>
        <v>3</v>
      </c>
      <c r="J925" s="127">
        <v>2.5977600000000001</v>
      </c>
      <c r="M925" s="128"/>
    </row>
    <row r="926" spans="2:13">
      <c r="B926" s="116">
        <v>918</v>
      </c>
      <c r="C926" s="124" t="s">
        <v>1079</v>
      </c>
      <c r="D926" s="116" t="s">
        <v>63</v>
      </c>
      <c r="E926" s="125">
        <v>88</v>
      </c>
      <c r="F926" s="126">
        <v>94.1</v>
      </c>
      <c r="G926" s="126">
        <v>15</v>
      </c>
      <c r="I926" s="125">
        <f t="shared" si="14"/>
        <v>3</v>
      </c>
      <c r="J926" s="127">
        <v>2.05138</v>
      </c>
      <c r="M926" s="128"/>
    </row>
    <row r="927" spans="2:13">
      <c r="B927" s="116">
        <v>919</v>
      </c>
      <c r="C927" s="124" t="s">
        <v>1080</v>
      </c>
      <c r="D927" s="116" t="s">
        <v>76</v>
      </c>
      <c r="E927" s="125">
        <v>70</v>
      </c>
      <c r="F927" s="126">
        <v>121.5</v>
      </c>
      <c r="G927" s="126">
        <v>21</v>
      </c>
      <c r="I927" s="125">
        <f t="shared" si="14"/>
        <v>4</v>
      </c>
      <c r="J927" s="127">
        <v>2.56365</v>
      </c>
      <c r="M927" s="128"/>
    </row>
    <row r="928" spans="2:13">
      <c r="B928" s="116">
        <v>920</v>
      </c>
      <c r="C928" s="124" t="s">
        <v>1081</v>
      </c>
      <c r="D928" s="116" t="s">
        <v>65</v>
      </c>
      <c r="E928" s="125">
        <v>80</v>
      </c>
      <c r="F928" s="126">
        <v>85.4</v>
      </c>
      <c r="G928" s="126">
        <v>9</v>
      </c>
      <c r="I928" s="125">
        <f t="shared" si="14"/>
        <v>3</v>
      </c>
      <c r="J928" s="127">
        <v>2.5449200000000003</v>
      </c>
      <c r="M928" s="128"/>
    </row>
    <row r="929" spans="2:13">
      <c r="B929" s="116">
        <v>921</v>
      </c>
      <c r="C929" s="124" t="s">
        <v>1082</v>
      </c>
      <c r="D929" s="116" t="s">
        <v>51</v>
      </c>
      <c r="E929" s="125">
        <v>88</v>
      </c>
      <c r="F929" s="126">
        <v>123.6</v>
      </c>
      <c r="G929" s="126">
        <v>16</v>
      </c>
      <c r="I929" s="125">
        <f t="shared" si="14"/>
        <v>4</v>
      </c>
      <c r="J929" s="127">
        <v>3.54732</v>
      </c>
      <c r="M929" s="128"/>
    </row>
    <row r="930" spans="2:13">
      <c r="B930" s="116">
        <v>922</v>
      </c>
      <c r="C930" s="124" t="s">
        <v>1083</v>
      </c>
      <c r="D930" s="116" t="s">
        <v>65</v>
      </c>
      <c r="E930" s="125">
        <v>90</v>
      </c>
      <c r="F930" s="126">
        <v>149.30000000000001</v>
      </c>
      <c r="G930" s="126">
        <v>27</v>
      </c>
      <c r="I930" s="125">
        <f t="shared" si="14"/>
        <v>5</v>
      </c>
      <c r="J930" s="127">
        <v>4.8970400000000005</v>
      </c>
      <c r="M930" s="128"/>
    </row>
    <row r="931" spans="2:13">
      <c r="B931" s="116">
        <v>923</v>
      </c>
      <c r="C931" s="124" t="s">
        <v>1084</v>
      </c>
      <c r="D931" s="116" t="s">
        <v>86</v>
      </c>
      <c r="E931" s="125">
        <v>41</v>
      </c>
      <c r="F931" s="126">
        <v>43.9</v>
      </c>
      <c r="G931" s="126">
        <v>9</v>
      </c>
      <c r="I931" s="125">
        <f t="shared" si="14"/>
        <v>3</v>
      </c>
      <c r="J931" s="127">
        <v>1.1457900000000001</v>
      </c>
      <c r="M931" s="128"/>
    </row>
    <row r="932" spans="2:13">
      <c r="B932" s="116">
        <v>924</v>
      </c>
      <c r="C932" s="124" t="s">
        <v>1085</v>
      </c>
      <c r="D932" s="116" t="s">
        <v>86</v>
      </c>
      <c r="E932" s="125">
        <v>49</v>
      </c>
      <c r="F932" s="126">
        <v>55.9</v>
      </c>
      <c r="G932" s="126">
        <v>8</v>
      </c>
      <c r="I932" s="125">
        <f t="shared" si="14"/>
        <v>3</v>
      </c>
      <c r="J932" s="127">
        <v>2.0794799999999998</v>
      </c>
      <c r="M932" s="128"/>
    </row>
    <row r="933" spans="2:13">
      <c r="B933" s="116">
        <v>925</v>
      </c>
      <c r="C933" s="124" t="s">
        <v>1086</v>
      </c>
      <c r="D933" s="116" t="s">
        <v>29</v>
      </c>
      <c r="E933" s="125">
        <v>89</v>
      </c>
      <c r="F933" s="126">
        <v>170.4</v>
      </c>
      <c r="G933" s="126">
        <v>17</v>
      </c>
      <c r="I933" s="125">
        <f t="shared" si="14"/>
        <v>5</v>
      </c>
      <c r="J933" s="127">
        <v>4.5667200000000001</v>
      </c>
      <c r="M933" s="128"/>
    </row>
    <row r="934" spans="2:13">
      <c r="B934" s="116">
        <v>926</v>
      </c>
      <c r="C934" s="124" t="s">
        <v>1087</v>
      </c>
      <c r="D934" s="116" t="s">
        <v>86</v>
      </c>
      <c r="E934" s="125">
        <v>44</v>
      </c>
      <c r="F934" s="126">
        <v>86.2</v>
      </c>
      <c r="G934" s="126">
        <v>9</v>
      </c>
      <c r="I934" s="125">
        <f t="shared" si="14"/>
        <v>3</v>
      </c>
      <c r="J934" s="127">
        <v>2.6118600000000001</v>
      </c>
      <c r="M934" s="128"/>
    </row>
    <row r="935" spans="2:13">
      <c r="B935" s="116">
        <v>927</v>
      </c>
      <c r="C935" s="124" t="s">
        <v>1088</v>
      </c>
      <c r="D935" s="116" t="s">
        <v>92</v>
      </c>
      <c r="E935" s="125">
        <v>51</v>
      </c>
      <c r="F935" s="126">
        <v>65.8</v>
      </c>
      <c r="G935" s="126">
        <v>9</v>
      </c>
      <c r="I935" s="125">
        <f t="shared" si="14"/>
        <v>3</v>
      </c>
      <c r="J935" s="127">
        <v>1.7634399999999999</v>
      </c>
      <c r="M935" s="128"/>
    </row>
    <row r="936" spans="2:13">
      <c r="B936" s="116">
        <v>928</v>
      </c>
      <c r="C936" s="124" t="s">
        <v>1089</v>
      </c>
      <c r="D936" s="116" t="s">
        <v>65</v>
      </c>
      <c r="E936" s="125">
        <v>68</v>
      </c>
      <c r="F936" s="126">
        <v>129.4</v>
      </c>
      <c r="G936" s="126">
        <v>25</v>
      </c>
      <c r="I936" s="125">
        <f t="shared" si="14"/>
        <v>4</v>
      </c>
      <c r="J936" s="127">
        <v>4.1666800000000004</v>
      </c>
      <c r="M936" s="128"/>
    </row>
    <row r="937" spans="2:13">
      <c r="B937" s="116">
        <v>929</v>
      </c>
      <c r="C937" s="124" t="s">
        <v>1090</v>
      </c>
      <c r="D937" s="116" t="s">
        <v>84</v>
      </c>
      <c r="E937" s="125">
        <v>86</v>
      </c>
      <c r="F937" s="126">
        <v>99.1</v>
      </c>
      <c r="G937" s="126">
        <v>19</v>
      </c>
      <c r="I937" s="125">
        <f t="shared" si="14"/>
        <v>3</v>
      </c>
      <c r="J937" s="127">
        <v>2.9234499999999999</v>
      </c>
      <c r="M937" s="128"/>
    </row>
    <row r="938" spans="2:13">
      <c r="B938" s="116">
        <v>930</v>
      </c>
      <c r="C938" s="124" t="s">
        <v>1091</v>
      </c>
      <c r="D938" s="116" t="s">
        <v>65</v>
      </c>
      <c r="E938" s="125">
        <v>60</v>
      </c>
      <c r="F938" s="126">
        <v>118.4</v>
      </c>
      <c r="G938" s="126">
        <v>19</v>
      </c>
      <c r="I938" s="125">
        <f t="shared" si="14"/>
        <v>4</v>
      </c>
      <c r="J938" s="127">
        <v>2.8179200000000004</v>
      </c>
      <c r="M938" s="128"/>
    </row>
    <row r="939" spans="2:13">
      <c r="B939" s="116">
        <v>931</v>
      </c>
      <c r="C939" s="124" t="s">
        <v>1092</v>
      </c>
      <c r="D939" s="116" t="s">
        <v>92</v>
      </c>
      <c r="E939" s="125">
        <v>70</v>
      </c>
      <c r="F939" s="126">
        <v>103</v>
      </c>
      <c r="G939" s="126">
        <v>20</v>
      </c>
      <c r="I939" s="125">
        <f t="shared" si="14"/>
        <v>4</v>
      </c>
      <c r="J939" s="127">
        <v>2.9663999999999997</v>
      </c>
      <c r="M939" s="128"/>
    </row>
    <row r="940" spans="2:13">
      <c r="B940" s="116">
        <v>932</v>
      </c>
      <c r="C940" s="124" t="s">
        <v>1093</v>
      </c>
      <c r="D940" s="116" t="s">
        <v>65</v>
      </c>
      <c r="E940" s="125">
        <v>68</v>
      </c>
      <c r="F940" s="126">
        <v>126.3</v>
      </c>
      <c r="G940" s="126">
        <v>24</v>
      </c>
      <c r="I940" s="125">
        <f t="shared" si="14"/>
        <v>4</v>
      </c>
      <c r="J940" s="127">
        <v>4.1679000000000004</v>
      </c>
      <c r="M940" s="128"/>
    </row>
    <row r="941" spans="2:13">
      <c r="B941" s="116">
        <v>933</v>
      </c>
      <c r="C941" s="124" t="s">
        <v>1094</v>
      </c>
      <c r="D941" s="116" t="s">
        <v>84</v>
      </c>
      <c r="E941" s="125">
        <v>53</v>
      </c>
      <c r="F941" s="126">
        <v>104.2</v>
      </c>
      <c r="G941" s="126">
        <v>20</v>
      </c>
      <c r="I941" s="125">
        <f t="shared" si="14"/>
        <v>4</v>
      </c>
      <c r="J941" s="127">
        <v>4.0846400000000003</v>
      </c>
      <c r="M941" s="128"/>
    </row>
    <row r="942" spans="2:13">
      <c r="B942" s="116">
        <v>934</v>
      </c>
      <c r="C942" s="124" t="s">
        <v>1095</v>
      </c>
      <c r="D942" s="116" t="s">
        <v>84</v>
      </c>
      <c r="E942" s="125">
        <v>94</v>
      </c>
      <c r="F942" s="126">
        <v>173.5</v>
      </c>
      <c r="G942" s="126">
        <v>35</v>
      </c>
      <c r="I942" s="125">
        <f t="shared" si="14"/>
        <v>5</v>
      </c>
      <c r="J942" s="127">
        <v>6.7838500000000002</v>
      </c>
      <c r="M942" s="128"/>
    </row>
    <row r="943" spans="2:13">
      <c r="B943" s="116">
        <v>935</v>
      </c>
      <c r="C943" s="124" t="s">
        <v>1096</v>
      </c>
      <c r="D943" s="116" t="s">
        <v>84</v>
      </c>
      <c r="E943" s="125">
        <v>43</v>
      </c>
      <c r="F943" s="126">
        <v>61.7</v>
      </c>
      <c r="G943" s="126">
        <v>12</v>
      </c>
      <c r="I943" s="125">
        <f t="shared" si="14"/>
        <v>3</v>
      </c>
      <c r="J943" s="127">
        <v>1.6227100000000001</v>
      </c>
      <c r="M943" s="128"/>
    </row>
    <row r="944" spans="2:13">
      <c r="B944" s="116">
        <v>936</v>
      </c>
      <c r="C944" s="124" t="s">
        <v>1097</v>
      </c>
      <c r="D944" s="116" t="s">
        <v>86</v>
      </c>
      <c r="E944" s="125">
        <v>76</v>
      </c>
      <c r="F944" s="126">
        <v>115.3</v>
      </c>
      <c r="G944" s="126">
        <v>23</v>
      </c>
      <c r="I944" s="125">
        <f t="shared" si="14"/>
        <v>4</v>
      </c>
      <c r="J944" s="127">
        <v>4.4275199999999995</v>
      </c>
      <c r="M944" s="128"/>
    </row>
    <row r="945" spans="2:13">
      <c r="B945" s="116">
        <v>937</v>
      </c>
      <c r="C945" s="124" t="s">
        <v>1098</v>
      </c>
      <c r="D945" s="116" t="s">
        <v>65</v>
      </c>
      <c r="E945" s="125">
        <v>53</v>
      </c>
      <c r="F945" s="126">
        <v>97.9</v>
      </c>
      <c r="G945" s="126">
        <v>16</v>
      </c>
      <c r="I945" s="125">
        <f t="shared" si="14"/>
        <v>3</v>
      </c>
      <c r="J945" s="127">
        <v>3.5244</v>
      </c>
      <c r="M945" s="128"/>
    </row>
    <row r="946" spans="2:13">
      <c r="B946" s="116">
        <v>938</v>
      </c>
      <c r="C946" s="124" t="s">
        <v>1099</v>
      </c>
      <c r="D946" s="116" t="s">
        <v>63</v>
      </c>
      <c r="E946" s="125">
        <v>66</v>
      </c>
      <c r="F946" s="126">
        <v>87.6</v>
      </c>
      <c r="G946" s="126">
        <v>11</v>
      </c>
      <c r="I946" s="125">
        <f t="shared" si="14"/>
        <v>3</v>
      </c>
      <c r="J946" s="127">
        <v>3.1623599999999996</v>
      </c>
      <c r="M946" s="128"/>
    </row>
    <row r="947" spans="2:13">
      <c r="B947" s="116">
        <v>939</v>
      </c>
      <c r="C947" s="124" t="s">
        <v>1100</v>
      </c>
      <c r="D947" s="116" t="s">
        <v>63</v>
      </c>
      <c r="E947" s="125">
        <v>56</v>
      </c>
      <c r="F947" s="126">
        <v>56.8</v>
      </c>
      <c r="G947" s="126">
        <v>8</v>
      </c>
      <c r="I947" s="125">
        <f t="shared" si="14"/>
        <v>3</v>
      </c>
      <c r="J947" s="127">
        <v>1.3972799999999999</v>
      </c>
      <c r="M947" s="128"/>
    </row>
    <row r="948" spans="2:13">
      <c r="B948" s="116">
        <v>940</v>
      </c>
      <c r="C948" s="124" t="s">
        <v>1101</v>
      </c>
      <c r="D948" s="116" t="s">
        <v>84</v>
      </c>
      <c r="E948" s="125">
        <v>86</v>
      </c>
      <c r="F948" s="126">
        <v>102.3</v>
      </c>
      <c r="G948" s="126">
        <v>15</v>
      </c>
      <c r="I948" s="125">
        <f t="shared" si="14"/>
        <v>4</v>
      </c>
      <c r="J948" s="127">
        <v>2.1789899999999998</v>
      </c>
      <c r="M948" s="128"/>
    </row>
    <row r="949" spans="2:13">
      <c r="B949" s="116">
        <v>941</v>
      </c>
      <c r="C949" s="124" t="s">
        <v>1102</v>
      </c>
      <c r="D949" s="116" t="s">
        <v>84</v>
      </c>
      <c r="E949" s="125">
        <v>61</v>
      </c>
      <c r="F949" s="126">
        <v>64.099999999999994</v>
      </c>
      <c r="G949" s="126">
        <v>10</v>
      </c>
      <c r="I949" s="125">
        <f t="shared" si="14"/>
        <v>3</v>
      </c>
      <c r="J949" s="127">
        <v>2.3973399999999998</v>
      </c>
      <c r="M949" s="128"/>
    </row>
    <row r="950" spans="2:13">
      <c r="B950" s="116">
        <v>942</v>
      </c>
      <c r="C950" s="124" t="s">
        <v>1103</v>
      </c>
      <c r="D950" s="116" t="s">
        <v>84</v>
      </c>
      <c r="E950" s="125">
        <v>65</v>
      </c>
      <c r="F950" s="126">
        <v>122.1</v>
      </c>
      <c r="G950" s="126">
        <v>13</v>
      </c>
      <c r="I950" s="125">
        <f t="shared" si="14"/>
        <v>4</v>
      </c>
      <c r="J950" s="127">
        <v>3.1135499999999996</v>
      </c>
      <c r="M950" s="128"/>
    </row>
    <row r="951" spans="2:13">
      <c r="B951" s="116">
        <v>943</v>
      </c>
      <c r="C951" s="124" t="s">
        <v>1104</v>
      </c>
      <c r="D951" s="116" t="s">
        <v>86</v>
      </c>
      <c r="E951" s="125">
        <v>67</v>
      </c>
      <c r="F951" s="126">
        <v>115.4</v>
      </c>
      <c r="G951" s="126">
        <v>14</v>
      </c>
      <c r="I951" s="125">
        <f t="shared" si="14"/>
        <v>4</v>
      </c>
      <c r="J951" s="127">
        <v>3.19658</v>
      </c>
      <c r="M951" s="128"/>
    </row>
    <row r="952" spans="2:13">
      <c r="B952" s="116">
        <v>944</v>
      </c>
      <c r="C952" s="124" t="s">
        <v>1105</v>
      </c>
      <c r="D952" s="116" t="s">
        <v>82</v>
      </c>
      <c r="E952" s="125">
        <v>56</v>
      </c>
      <c r="F952" s="126">
        <v>80.2</v>
      </c>
      <c r="G952" s="126">
        <v>10</v>
      </c>
      <c r="I952" s="125">
        <f t="shared" si="14"/>
        <v>3</v>
      </c>
      <c r="J952" s="127">
        <v>1.93282</v>
      </c>
      <c r="M952" s="128"/>
    </row>
    <row r="953" spans="2:13">
      <c r="B953" s="116">
        <v>945</v>
      </c>
      <c r="C953" s="124" t="s">
        <v>1106</v>
      </c>
      <c r="D953" s="116" t="s">
        <v>84</v>
      </c>
      <c r="E953" s="125">
        <v>51</v>
      </c>
      <c r="F953" s="126">
        <v>67.3</v>
      </c>
      <c r="G953" s="126">
        <v>7</v>
      </c>
      <c r="I953" s="125">
        <f t="shared" si="14"/>
        <v>3</v>
      </c>
      <c r="J953" s="127">
        <v>1.9113200000000001</v>
      </c>
      <c r="M953" s="128"/>
    </row>
    <row r="954" spans="2:13">
      <c r="B954" s="116">
        <v>946</v>
      </c>
      <c r="C954" s="124" t="s">
        <v>1107</v>
      </c>
      <c r="D954" s="116" t="s">
        <v>86</v>
      </c>
      <c r="E954" s="125">
        <v>46</v>
      </c>
      <c r="F954" s="126">
        <v>53.8</v>
      </c>
      <c r="G954" s="126">
        <v>9</v>
      </c>
      <c r="I954" s="125">
        <f t="shared" si="14"/>
        <v>3</v>
      </c>
      <c r="J954" s="127">
        <v>1.2750599999999999</v>
      </c>
      <c r="M954" s="128"/>
    </row>
    <row r="955" spans="2:13">
      <c r="B955" s="116">
        <v>947</v>
      </c>
      <c r="C955" s="124" t="s">
        <v>1108</v>
      </c>
      <c r="D955" s="116" t="s">
        <v>65</v>
      </c>
      <c r="E955" s="125">
        <v>68</v>
      </c>
      <c r="F955" s="126">
        <v>104.7</v>
      </c>
      <c r="G955" s="126">
        <v>13</v>
      </c>
      <c r="I955" s="125">
        <f t="shared" si="14"/>
        <v>4</v>
      </c>
      <c r="J955" s="127">
        <v>3.5074500000000004</v>
      </c>
      <c r="M955" s="128"/>
    </row>
    <row r="956" spans="2:13">
      <c r="B956" s="116">
        <v>948</v>
      </c>
      <c r="C956" s="124" t="s">
        <v>1109</v>
      </c>
      <c r="D956" s="116" t="s">
        <v>93</v>
      </c>
      <c r="E956" s="125">
        <v>57</v>
      </c>
      <c r="F956" s="126">
        <v>97.8</v>
      </c>
      <c r="G956" s="126">
        <v>17</v>
      </c>
      <c r="I956" s="125">
        <f t="shared" si="14"/>
        <v>3</v>
      </c>
      <c r="J956" s="127">
        <v>2.0146799999999998</v>
      </c>
      <c r="M956" s="128"/>
    </row>
    <row r="957" spans="2:13">
      <c r="B957" s="116">
        <v>949</v>
      </c>
      <c r="C957" s="124" t="s">
        <v>1110</v>
      </c>
      <c r="D957" s="116" t="s">
        <v>88</v>
      </c>
      <c r="E957" s="125">
        <v>59</v>
      </c>
      <c r="F957" s="126">
        <v>82.2</v>
      </c>
      <c r="G957" s="126">
        <v>13</v>
      </c>
      <c r="I957" s="125">
        <f t="shared" si="14"/>
        <v>3</v>
      </c>
      <c r="J957" s="127">
        <v>2.82768</v>
      </c>
      <c r="M957" s="128"/>
    </row>
    <row r="958" spans="2:13">
      <c r="B958" s="116">
        <v>950</v>
      </c>
      <c r="C958" s="124" t="s">
        <v>1111</v>
      </c>
      <c r="D958" s="116" t="s">
        <v>63</v>
      </c>
      <c r="E958" s="125">
        <v>58</v>
      </c>
      <c r="F958" s="126">
        <v>107.6</v>
      </c>
      <c r="G958" s="126">
        <v>18</v>
      </c>
      <c r="I958" s="125">
        <f t="shared" si="14"/>
        <v>4</v>
      </c>
      <c r="J958" s="127">
        <v>4.2179199999999994</v>
      </c>
      <c r="M958" s="128"/>
    </row>
    <row r="959" spans="2:13">
      <c r="B959" s="116">
        <v>951</v>
      </c>
      <c r="C959" s="124" t="s">
        <v>1112</v>
      </c>
      <c r="D959" s="116" t="s">
        <v>65</v>
      </c>
      <c r="E959" s="125">
        <v>44</v>
      </c>
      <c r="F959" s="126">
        <v>61.7</v>
      </c>
      <c r="G959" s="126">
        <v>12</v>
      </c>
      <c r="I959" s="125">
        <f t="shared" si="14"/>
        <v>3</v>
      </c>
      <c r="J959" s="127">
        <v>1.98674</v>
      </c>
      <c r="M959" s="128"/>
    </row>
    <row r="960" spans="2:13">
      <c r="B960" s="116">
        <v>952</v>
      </c>
      <c r="C960" s="124" t="s">
        <v>1113</v>
      </c>
      <c r="D960" s="116" t="s">
        <v>55</v>
      </c>
      <c r="E960" s="125">
        <v>56</v>
      </c>
      <c r="F960" s="126">
        <v>107.6</v>
      </c>
      <c r="G960" s="126">
        <v>19</v>
      </c>
      <c r="I960" s="125">
        <f t="shared" si="14"/>
        <v>4</v>
      </c>
      <c r="J960" s="127">
        <v>3.9058799999999998</v>
      </c>
      <c r="M960" s="128"/>
    </row>
    <row r="961" spans="2:13">
      <c r="B961" s="116">
        <v>953</v>
      </c>
      <c r="C961" s="124" t="s">
        <v>1114</v>
      </c>
      <c r="D961" s="116" t="s">
        <v>55</v>
      </c>
      <c r="E961" s="125">
        <v>46</v>
      </c>
      <c r="F961" s="126">
        <v>91.3</v>
      </c>
      <c r="G961" s="126">
        <v>9</v>
      </c>
      <c r="I961" s="125">
        <f t="shared" si="14"/>
        <v>3</v>
      </c>
      <c r="J961" s="127">
        <v>3.2776700000000001</v>
      </c>
      <c r="M961" s="128"/>
    </row>
    <row r="962" spans="2:13">
      <c r="B962" s="116">
        <v>954</v>
      </c>
      <c r="C962" s="124" t="s">
        <v>1115</v>
      </c>
      <c r="D962" s="116" t="s">
        <v>65</v>
      </c>
      <c r="E962" s="125">
        <v>57</v>
      </c>
      <c r="F962" s="126">
        <v>95.6</v>
      </c>
      <c r="G962" s="126">
        <v>15</v>
      </c>
      <c r="I962" s="125">
        <f t="shared" si="14"/>
        <v>3</v>
      </c>
      <c r="J962" s="127">
        <v>2.8871199999999999</v>
      </c>
      <c r="M962" s="128"/>
    </row>
    <row r="963" spans="2:13">
      <c r="B963" s="116">
        <v>955</v>
      </c>
      <c r="C963" s="124" t="s">
        <v>1116</v>
      </c>
      <c r="D963" s="116" t="s">
        <v>84</v>
      </c>
      <c r="E963" s="125">
        <v>62</v>
      </c>
      <c r="F963" s="126">
        <v>114.2</v>
      </c>
      <c r="G963" s="126">
        <v>18</v>
      </c>
      <c r="I963" s="125">
        <f t="shared" si="14"/>
        <v>4</v>
      </c>
      <c r="J963" s="127">
        <v>4.4309600000000007</v>
      </c>
      <c r="M963" s="128"/>
    </row>
    <row r="964" spans="2:13">
      <c r="B964" s="116">
        <v>956</v>
      </c>
      <c r="C964" s="124" t="s">
        <v>1117</v>
      </c>
      <c r="D964" s="116" t="s">
        <v>86</v>
      </c>
      <c r="E964" s="125">
        <v>41</v>
      </c>
      <c r="F964" s="126">
        <v>74.900000000000006</v>
      </c>
      <c r="G964" s="126">
        <v>13</v>
      </c>
      <c r="I964" s="125">
        <f t="shared" si="14"/>
        <v>3</v>
      </c>
      <c r="J964" s="127">
        <v>2.2844500000000001</v>
      </c>
      <c r="M964" s="128"/>
    </row>
    <row r="965" spans="2:13">
      <c r="B965" s="116">
        <v>957</v>
      </c>
      <c r="C965" s="124" t="s">
        <v>1118</v>
      </c>
      <c r="D965" s="116" t="s">
        <v>65</v>
      </c>
      <c r="E965" s="125">
        <v>37</v>
      </c>
      <c r="F965" s="126">
        <v>53.4</v>
      </c>
      <c r="G965" s="126">
        <v>7</v>
      </c>
      <c r="I965" s="125">
        <f t="shared" si="14"/>
        <v>3</v>
      </c>
      <c r="J965" s="127">
        <v>1.5272399999999999</v>
      </c>
      <c r="M965" s="128"/>
    </row>
    <row r="966" spans="2:13">
      <c r="B966" s="116">
        <v>958</v>
      </c>
      <c r="C966" s="124" t="s">
        <v>1119</v>
      </c>
      <c r="D966" s="116" t="s">
        <v>55</v>
      </c>
      <c r="E966" s="125">
        <v>84</v>
      </c>
      <c r="F966" s="126">
        <v>160.6</v>
      </c>
      <c r="G966" s="126">
        <v>26</v>
      </c>
      <c r="I966" s="125">
        <f t="shared" si="14"/>
        <v>5</v>
      </c>
      <c r="J966" s="127">
        <v>4.3843800000000002</v>
      </c>
      <c r="M966" s="128"/>
    </row>
    <row r="967" spans="2:13">
      <c r="B967" s="116">
        <v>959</v>
      </c>
      <c r="C967" s="124" t="s">
        <v>1120</v>
      </c>
      <c r="D967" s="116" t="s">
        <v>86</v>
      </c>
      <c r="E967" s="125">
        <v>78</v>
      </c>
      <c r="F967" s="126">
        <v>79.099999999999994</v>
      </c>
      <c r="G967" s="126">
        <v>13</v>
      </c>
      <c r="I967" s="125">
        <f t="shared" si="14"/>
        <v>3</v>
      </c>
      <c r="J967" s="127">
        <v>2.6894</v>
      </c>
      <c r="M967" s="128"/>
    </row>
    <row r="968" spans="2:13">
      <c r="B968" s="116">
        <v>960</v>
      </c>
      <c r="C968" s="124" t="s">
        <v>1121</v>
      </c>
      <c r="D968" s="116" t="s">
        <v>76</v>
      </c>
      <c r="E968" s="125">
        <v>35</v>
      </c>
      <c r="F968" s="126">
        <v>40.5</v>
      </c>
      <c r="G968" s="126">
        <v>5</v>
      </c>
      <c r="I968" s="125">
        <f t="shared" si="14"/>
        <v>3</v>
      </c>
      <c r="J968" s="127">
        <v>1.4903999999999999</v>
      </c>
      <c r="M968" s="128"/>
    </row>
    <row r="969" spans="2:13">
      <c r="B969" s="116">
        <v>961</v>
      </c>
      <c r="C969" s="124" t="s">
        <v>1122</v>
      </c>
      <c r="D969" s="116" t="s">
        <v>65</v>
      </c>
      <c r="E969" s="125">
        <v>43</v>
      </c>
      <c r="F969" s="126">
        <v>61.2</v>
      </c>
      <c r="G969" s="126">
        <v>7</v>
      </c>
      <c r="I969" s="125">
        <f t="shared" ref="I969:I1008" si="15">IF(F969&lt;=100,3,IF(F969&lt;=140,4,IF(F969&lt;=175,5,6)))</f>
        <v>3</v>
      </c>
      <c r="J969" s="127">
        <v>1.8360000000000001</v>
      </c>
      <c r="M969" s="128"/>
    </row>
    <row r="970" spans="2:13">
      <c r="B970" s="116">
        <v>962</v>
      </c>
      <c r="C970" s="124" t="s">
        <v>1123</v>
      </c>
      <c r="D970" s="116" t="s">
        <v>84</v>
      </c>
      <c r="E970" s="125">
        <v>45</v>
      </c>
      <c r="F970" s="126">
        <v>80.099999999999994</v>
      </c>
      <c r="G970" s="126">
        <v>13</v>
      </c>
      <c r="I970" s="125">
        <f t="shared" si="15"/>
        <v>3</v>
      </c>
      <c r="J970" s="127">
        <v>1.6660799999999998</v>
      </c>
      <c r="M970" s="128"/>
    </row>
    <row r="971" spans="2:13">
      <c r="B971" s="116">
        <v>963</v>
      </c>
      <c r="C971" s="124" t="s">
        <v>1124</v>
      </c>
      <c r="D971" s="116" t="s">
        <v>65</v>
      </c>
      <c r="E971" s="125">
        <v>46</v>
      </c>
      <c r="F971" s="126">
        <v>50.7</v>
      </c>
      <c r="G971" s="126">
        <v>9</v>
      </c>
      <c r="I971" s="125">
        <f t="shared" si="15"/>
        <v>3</v>
      </c>
      <c r="J971" s="127">
        <v>1.09005</v>
      </c>
      <c r="M971" s="128"/>
    </row>
    <row r="972" spans="2:13">
      <c r="B972" s="116">
        <v>964</v>
      </c>
      <c r="C972" s="124" t="s">
        <v>1125</v>
      </c>
      <c r="D972" s="116" t="s">
        <v>88</v>
      </c>
      <c r="E972" s="125">
        <v>56</v>
      </c>
      <c r="F972" s="126">
        <v>61.2</v>
      </c>
      <c r="G972" s="126">
        <v>12</v>
      </c>
      <c r="I972" s="125">
        <f t="shared" si="15"/>
        <v>3</v>
      </c>
      <c r="J972" s="127">
        <v>1.5238799999999999</v>
      </c>
      <c r="M972" s="128"/>
    </row>
    <row r="973" spans="2:13">
      <c r="B973" s="116">
        <v>965</v>
      </c>
      <c r="C973" s="124" t="s">
        <v>1126</v>
      </c>
      <c r="D973" s="116" t="s">
        <v>65</v>
      </c>
      <c r="E973" s="125">
        <v>43</v>
      </c>
      <c r="F973" s="126">
        <v>71.2</v>
      </c>
      <c r="G973" s="126">
        <v>14</v>
      </c>
      <c r="I973" s="125">
        <f t="shared" si="15"/>
        <v>3</v>
      </c>
      <c r="J973" s="127">
        <v>2.47776</v>
      </c>
      <c r="M973" s="128"/>
    </row>
    <row r="974" spans="2:13">
      <c r="B974" s="116">
        <v>966</v>
      </c>
      <c r="C974" s="124" t="s">
        <v>1127</v>
      </c>
      <c r="D974" s="116" t="s">
        <v>92</v>
      </c>
      <c r="E974" s="125">
        <v>86</v>
      </c>
      <c r="F974" s="126">
        <v>154.19999999999999</v>
      </c>
      <c r="G974" s="126">
        <v>31</v>
      </c>
      <c r="I974" s="125">
        <f t="shared" si="15"/>
        <v>5</v>
      </c>
      <c r="J974" s="127">
        <v>3.50034</v>
      </c>
      <c r="M974" s="128"/>
    </row>
    <row r="975" spans="2:13">
      <c r="B975" s="116">
        <v>967</v>
      </c>
      <c r="C975" s="124" t="s">
        <v>1128</v>
      </c>
      <c r="D975" s="116" t="s">
        <v>84</v>
      </c>
      <c r="E975" s="125">
        <v>46</v>
      </c>
      <c r="F975" s="126">
        <v>47</v>
      </c>
      <c r="G975" s="126">
        <v>8</v>
      </c>
      <c r="I975" s="125">
        <f t="shared" si="15"/>
        <v>3</v>
      </c>
      <c r="J975" s="127">
        <v>1.2689999999999999</v>
      </c>
      <c r="M975" s="128"/>
    </row>
    <row r="976" spans="2:13">
      <c r="B976" s="116">
        <v>968</v>
      </c>
      <c r="C976" s="124" t="s">
        <v>1129</v>
      </c>
      <c r="D976" s="116" t="s">
        <v>65</v>
      </c>
      <c r="E976" s="125">
        <v>62</v>
      </c>
      <c r="F976" s="126">
        <v>88.8</v>
      </c>
      <c r="G976" s="126">
        <v>15</v>
      </c>
      <c r="I976" s="125">
        <f t="shared" si="15"/>
        <v>3</v>
      </c>
      <c r="J976" s="127">
        <v>3.2411999999999996</v>
      </c>
      <c r="M976" s="128"/>
    </row>
    <row r="977" spans="2:13">
      <c r="B977" s="116">
        <v>969</v>
      </c>
      <c r="C977" s="124" t="s">
        <v>1130</v>
      </c>
      <c r="D977" s="116" t="s">
        <v>65</v>
      </c>
      <c r="E977" s="125">
        <v>46</v>
      </c>
      <c r="F977" s="126">
        <v>51.7</v>
      </c>
      <c r="G977" s="126">
        <v>6</v>
      </c>
      <c r="I977" s="125">
        <f t="shared" si="15"/>
        <v>3</v>
      </c>
      <c r="J977" s="127">
        <v>1.0598500000000002</v>
      </c>
      <c r="M977" s="128"/>
    </row>
    <row r="978" spans="2:13">
      <c r="B978" s="116">
        <v>970</v>
      </c>
      <c r="C978" s="124" t="s">
        <v>1131</v>
      </c>
      <c r="D978" s="116" t="s">
        <v>65</v>
      </c>
      <c r="E978" s="125">
        <v>74</v>
      </c>
      <c r="F978" s="126">
        <v>125.6</v>
      </c>
      <c r="G978" s="126">
        <v>20</v>
      </c>
      <c r="I978" s="125">
        <f t="shared" si="15"/>
        <v>4</v>
      </c>
      <c r="J978" s="127">
        <v>3.3660800000000002</v>
      </c>
      <c r="M978" s="128"/>
    </row>
    <row r="979" spans="2:13">
      <c r="B979" s="116">
        <v>971</v>
      </c>
      <c r="C979" s="124" t="s">
        <v>1132</v>
      </c>
      <c r="D979" s="116" t="s">
        <v>98</v>
      </c>
      <c r="E979" s="125">
        <v>38</v>
      </c>
      <c r="F979" s="126">
        <v>74.599999999999994</v>
      </c>
      <c r="G979" s="126">
        <v>8</v>
      </c>
      <c r="I979" s="125">
        <f t="shared" si="15"/>
        <v>3</v>
      </c>
      <c r="J979" s="127">
        <v>2.2976799999999997</v>
      </c>
      <c r="M979" s="128"/>
    </row>
    <row r="980" spans="2:13">
      <c r="B980" s="116">
        <v>972</v>
      </c>
      <c r="C980" s="124" t="s">
        <v>1133</v>
      </c>
      <c r="D980" s="116" t="s">
        <v>51</v>
      </c>
      <c r="E980" s="125">
        <v>79</v>
      </c>
      <c r="F980" s="126">
        <v>92.8</v>
      </c>
      <c r="G980" s="126">
        <v>15</v>
      </c>
      <c r="I980" s="125">
        <f t="shared" si="15"/>
        <v>3</v>
      </c>
      <c r="J980" s="127">
        <v>3.5542400000000001</v>
      </c>
      <c r="M980" s="128"/>
    </row>
    <row r="981" spans="2:13">
      <c r="B981" s="116">
        <v>973</v>
      </c>
      <c r="C981" s="124" t="s">
        <v>1134</v>
      </c>
      <c r="D981" s="116" t="s">
        <v>84</v>
      </c>
      <c r="E981" s="125">
        <v>84</v>
      </c>
      <c r="F981" s="126">
        <v>139.30000000000001</v>
      </c>
      <c r="G981" s="126">
        <v>14</v>
      </c>
      <c r="I981" s="125">
        <f t="shared" si="15"/>
        <v>4</v>
      </c>
      <c r="J981" s="127">
        <v>5.0426600000000006</v>
      </c>
      <c r="M981" s="128"/>
    </row>
    <row r="982" spans="2:13">
      <c r="B982" s="116">
        <v>974</v>
      </c>
      <c r="C982" s="124" t="s">
        <v>1135</v>
      </c>
      <c r="D982" s="116" t="s">
        <v>88</v>
      </c>
      <c r="E982" s="125">
        <v>80</v>
      </c>
      <c r="F982" s="126">
        <v>142.30000000000001</v>
      </c>
      <c r="G982" s="126">
        <v>20</v>
      </c>
      <c r="I982" s="125">
        <f t="shared" si="15"/>
        <v>5</v>
      </c>
      <c r="J982" s="127">
        <v>3.78518</v>
      </c>
      <c r="M982" s="128"/>
    </row>
    <row r="983" spans="2:13">
      <c r="B983" s="116">
        <v>975</v>
      </c>
      <c r="C983" s="124" t="s">
        <v>1136</v>
      </c>
      <c r="D983" s="116" t="s">
        <v>65</v>
      </c>
      <c r="E983" s="125">
        <v>91</v>
      </c>
      <c r="F983" s="126">
        <v>142</v>
      </c>
      <c r="G983" s="126">
        <v>17</v>
      </c>
      <c r="I983" s="125">
        <f t="shared" si="15"/>
        <v>5</v>
      </c>
      <c r="J983" s="127">
        <v>5.3250000000000002</v>
      </c>
      <c r="M983" s="128"/>
    </row>
    <row r="984" spans="2:13">
      <c r="B984" s="116">
        <v>976</v>
      </c>
      <c r="C984" s="124" t="s">
        <v>1137</v>
      </c>
      <c r="D984" s="116" t="s">
        <v>65</v>
      </c>
      <c r="E984" s="125">
        <v>44</v>
      </c>
      <c r="F984" s="126">
        <v>59.1</v>
      </c>
      <c r="G984" s="126">
        <v>9</v>
      </c>
      <c r="I984" s="125">
        <f t="shared" si="15"/>
        <v>3</v>
      </c>
      <c r="J984" s="127">
        <v>2.1630600000000002</v>
      </c>
      <c r="M984" s="128"/>
    </row>
    <row r="985" spans="2:13">
      <c r="B985" s="116">
        <v>977</v>
      </c>
      <c r="C985" s="124" t="s">
        <v>1138</v>
      </c>
      <c r="D985" s="116" t="s">
        <v>65</v>
      </c>
      <c r="E985" s="125">
        <v>50</v>
      </c>
      <c r="F985" s="126">
        <v>80.599999999999994</v>
      </c>
      <c r="G985" s="126">
        <v>10</v>
      </c>
      <c r="I985" s="125">
        <f t="shared" si="15"/>
        <v>3</v>
      </c>
      <c r="J985" s="127">
        <v>2.1439599999999999</v>
      </c>
      <c r="M985" s="128"/>
    </row>
    <row r="986" spans="2:13">
      <c r="B986" s="116">
        <v>978</v>
      </c>
      <c r="C986" s="124" t="s">
        <v>1139</v>
      </c>
      <c r="D986" s="116" t="s">
        <v>84</v>
      </c>
      <c r="E986" s="125">
        <v>59</v>
      </c>
      <c r="F986" s="126">
        <v>60.1</v>
      </c>
      <c r="G986" s="126">
        <v>10</v>
      </c>
      <c r="I986" s="125">
        <f t="shared" si="15"/>
        <v>3</v>
      </c>
      <c r="J986" s="127">
        <v>2.4039999999999999</v>
      </c>
      <c r="M986" s="128"/>
    </row>
    <row r="987" spans="2:13">
      <c r="B987" s="116">
        <v>979</v>
      </c>
      <c r="C987" s="124" t="s">
        <v>1140</v>
      </c>
      <c r="D987" s="116" t="s">
        <v>68</v>
      </c>
      <c r="E987" s="125">
        <v>65</v>
      </c>
      <c r="F987" s="126">
        <v>128.9</v>
      </c>
      <c r="G987" s="126">
        <v>24</v>
      </c>
      <c r="I987" s="125">
        <f t="shared" si="15"/>
        <v>4</v>
      </c>
      <c r="J987" s="127">
        <v>5.1044400000000003</v>
      </c>
      <c r="M987" s="128"/>
    </row>
    <row r="988" spans="2:13">
      <c r="B988" s="116">
        <v>980</v>
      </c>
      <c r="C988" s="124" t="s">
        <v>1141</v>
      </c>
      <c r="D988" s="116" t="s">
        <v>86</v>
      </c>
      <c r="E988" s="125">
        <v>57</v>
      </c>
      <c r="F988" s="126">
        <v>63.3</v>
      </c>
      <c r="G988" s="126">
        <v>11</v>
      </c>
      <c r="I988" s="125">
        <f t="shared" si="15"/>
        <v>3</v>
      </c>
      <c r="J988" s="127">
        <v>1.40526</v>
      </c>
      <c r="M988" s="128"/>
    </row>
    <row r="989" spans="2:13">
      <c r="B989" s="116">
        <v>981</v>
      </c>
      <c r="C989" s="124" t="s">
        <v>1142</v>
      </c>
      <c r="D989" s="116" t="s">
        <v>84</v>
      </c>
      <c r="E989" s="125">
        <v>92</v>
      </c>
      <c r="F989" s="126">
        <v>101.8</v>
      </c>
      <c r="G989" s="126">
        <v>14</v>
      </c>
      <c r="I989" s="125">
        <f t="shared" si="15"/>
        <v>4</v>
      </c>
      <c r="J989" s="127">
        <v>3.65462</v>
      </c>
      <c r="M989" s="128"/>
    </row>
    <row r="990" spans="2:13">
      <c r="B990" s="116">
        <v>982</v>
      </c>
      <c r="C990" s="124" t="s">
        <v>1143</v>
      </c>
      <c r="D990" s="116" t="s">
        <v>65</v>
      </c>
      <c r="E990" s="125">
        <v>65</v>
      </c>
      <c r="F990" s="126">
        <v>73.2</v>
      </c>
      <c r="G990" s="126">
        <v>7</v>
      </c>
      <c r="I990" s="125">
        <f t="shared" si="15"/>
        <v>3</v>
      </c>
      <c r="J990" s="127">
        <v>1.5225599999999999</v>
      </c>
      <c r="M990" s="128"/>
    </row>
    <row r="991" spans="2:13">
      <c r="B991" s="116">
        <v>983</v>
      </c>
      <c r="C991" s="124" t="s">
        <v>1144</v>
      </c>
      <c r="D991" s="116" t="s">
        <v>65</v>
      </c>
      <c r="E991" s="125">
        <v>70</v>
      </c>
      <c r="F991" s="126">
        <v>134.6</v>
      </c>
      <c r="G991" s="126">
        <v>20</v>
      </c>
      <c r="I991" s="125">
        <f t="shared" si="15"/>
        <v>4</v>
      </c>
      <c r="J991" s="127">
        <v>3.8361000000000001</v>
      </c>
      <c r="M991" s="128"/>
    </row>
    <row r="992" spans="2:13">
      <c r="B992" s="116">
        <v>984</v>
      </c>
      <c r="C992" s="124" t="s">
        <v>1145</v>
      </c>
      <c r="D992" s="116" t="s">
        <v>65</v>
      </c>
      <c r="E992" s="125">
        <v>44</v>
      </c>
      <c r="F992" s="126">
        <v>60.9</v>
      </c>
      <c r="G992" s="126">
        <v>8</v>
      </c>
      <c r="I992" s="125">
        <f t="shared" si="15"/>
        <v>3</v>
      </c>
      <c r="J992" s="127">
        <v>1.4128799999999999</v>
      </c>
      <c r="M992" s="128"/>
    </row>
    <row r="993" spans="2:13">
      <c r="B993" s="116">
        <v>985</v>
      </c>
      <c r="C993" s="124" t="s">
        <v>1146</v>
      </c>
      <c r="D993" s="116" t="s">
        <v>65</v>
      </c>
      <c r="E993" s="125">
        <v>41</v>
      </c>
      <c r="F993" s="126">
        <v>69.400000000000006</v>
      </c>
      <c r="G993" s="126">
        <v>8</v>
      </c>
      <c r="I993" s="125">
        <f t="shared" si="15"/>
        <v>3</v>
      </c>
      <c r="J993" s="127">
        <v>1.9015600000000001</v>
      </c>
      <c r="M993" s="128"/>
    </row>
    <row r="994" spans="2:13">
      <c r="B994" s="116">
        <v>986</v>
      </c>
      <c r="C994" s="124" t="s">
        <v>1147</v>
      </c>
      <c r="D994" s="116" t="s">
        <v>84</v>
      </c>
      <c r="E994" s="125">
        <v>60</v>
      </c>
      <c r="F994" s="126">
        <v>73.900000000000006</v>
      </c>
      <c r="G994" s="126">
        <v>13</v>
      </c>
      <c r="I994" s="125">
        <f t="shared" si="15"/>
        <v>3</v>
      </c>
      <c r="J994" s="127">
        <v>1.9731300000000003</v>
      </c>
      <c r="M994" s="128"/>
    </row>
    <row r="995" spans="2:13">
      <c r="B995" s="116">
        <v>987</v>
      </c>
      <c r="C995" s="124" t="s">
        <v>1148</v>
      </c>
      <c r="D995" s="116" t="s">
        <v>86</v>
      </c>
      <c r="E995" s="125">
        <v>51</v>
      </c>
      <c r="F995" s="126">
        <v>51.2</v>
      </c>
      <c r="G995" s="126">
        <v>9</v>
      </c>
      <c r="I995" s="125">
        <f t="shared" si="15"/>
        <v>3</v>
      </c>
      <c r="J995" s="127">
        <v>1.2134400000000001</v>
      </c>
      <c r="M995" s="128"/>
    </row>
    <row r="996" spans="2:13">
      <c r="B996" s="116">
        <v>988</v>
      </c>
      <c r="C996" s="124" t="s">
        <v>1149</v>
      </c>
      <c r="D996" s="116" t="s">
        <v>78</v>
      </c>
      <c r="E996" s="125">
        <v>81</v>
      </c>
      <c r="F996" s="126">
        <v>114.9</v>
      </c>
      <c r="G996" s="126">
        <v>11</v>
      </c>
      <c r="I996" s="125">
        <f t="shared" si="15"/>
        <v>4</v>
      </c>
      <c r="J996" s="127">
        <v>2.8150500000000003</v>
      </c>
      <c r="M996" s="128"/>
    </row>
    <row r="997" spans="2:13">
      <c r="B997" s="116">
        <v>989</v>
      </c>
      <c r="C997" s="124" t="s">
        <v>1150</v>
      </c>
      <c r="D997" s="116" t="s">
        <v>29</v>
      </c>
      <c r="E997" s="125">
        <v>57</v>
      </c>
      <c r="F997" s="126">
        <v>102</v>
      </c>
      <c r="G997" s="126">
        <v>20</v>
      </c>
      <c r="I997" s="125">
        <f t="shared" si="15"/>
        <v>4</v>
      </c>
      <c r="J997" s="127">
        <v>3.8351999999999999</v>
      </c>
      <c r="M997" s="128"/>
    </row>
    <row r="998" spans="2:13">
      <c r="B998" s="116">
        <v>990</v>
      </c>
      <c r="C998" s="124" t="s">
        <v>1151</v>
      </c>
      <c r="D998" s="116" t="s">
        <v>55</v>
      </c>
      <c r="E998" s="125">
        <v>59</v>
      </c>
      <c r="F998" s="126">
        <v>74.900000000000006</v>
      </c>
      <c r="G998" s="126">
        <v>13</v>
      </c>
      <c r="I998" s="125">
        <f t="shared" si="15"/>
        <v>3</v>
      </c>
      <c r="J998" s="127">
        <v>2.6589499999999999</v>
      </c>
      <c r="M998" s="128"/>
    </row>
    <row r="999" spans="2:13">
      <c r="B999" s="116">
        <v>991</v>
      </c>
      <c r="C999" s="124" t="s">
        <v>1152</v>
      </c>
      <c r="D999" s="116" t="s">
        <v>78</v>
      </c>
      <c r="E999" s="125">
        <v>89</v>
      </c>
      <c r="F999" s="126">
        <v>157.30000000000001</v>
      </c>
      <c r="G999" s="126">
        <v>28</v>
      </c>
      <c r="I999" s="125">
        <f t="shared" si="15"/>
        <v>5</v>
      </c>
      <c r="J999" s="127">
        <v>6.2290800000000006</v>
      </c>
      <c r="M999" s="128"/>
    </row>
    <row r="1000" spans="2:13">
      <c r="B1000" s="116">
        <v>992</v>
      </c>
      <c r="C1000" s="124" t="s">
        <v>1153</v>
      </c>
      <c r="D1000" s="116" t="s">
        <v>51</v>
      </c>
      <c r="E1000" s="125">
        <v>82</v>
      </c>
      <c r="F1000" s="126">
        <v>158.9</v>
      </c>
      <c r="G1000" s="126">
        <v>21</v>
      </c>
      <c r="I1000" s="125">
        <f t="shared" si="15"/>
        <v>5</v>
      </c>
      <c r="J1000" s="127">
        <v>5.3072600000000003</v>
      </c>
      <c r="M1000" s="128"/>
    </row>
    <row r="1001" spans="2:13">
      <c r="B1001" s="116">
        <v>993</v>
      </c>
      <c r="C1001" s="124" t="s">
        <v>1154</v>
      </c>
      <c r="D1001" s="116" t="s">
        <v>88</v>
      </c>
      <c r="E1001" s="125">
        <v>67</v>
      </c>
      <c r="F1001" s="126">
        <v>109.5</v>
      </c>
      <c r="G1001" s="126">
        <v>11</v>
      </c>
      <c r="I1001" s="125">
        <f t="shared" si="15"/>
        <v>4</v>
      </c>
      <c r="J1001" s="127">
        <v>2.8908</v>
      </c>
      <c r="M1001" s="128"/>
    </row>
    <row r="1002" spans="2:13">
      <c r="B1002" s="116">
        <v>994</v>
      </c>
      <c r="C1002" s="124" t="s">
        <v>1155</v>
      </c>
      <c r="D1002" s="116" t="s">
        <v>92</v>
      </c>
      <c r="E1002" s="125">
        <v>42</v>
      </c>
      <c r="F1002" s="126">
        <v>60.5</v>
      </c>
      <c r="G1002" s="126">
        <v>7</v>
      </c>
      <c r="I1002" s="125">
        <f t="shared" si="15"/>
        <v>3</v>
      </c>
      <c r="J1002" s="127">
        <v>1.4399000000000002</v>
      </c>
      <c r="M1002" s="128"/>
    </row>
    <row r="1003" spans="2:13">
      <c r="B1003" s="116">
        <v>995</v>
      </c>
      <c r="C1003" s="124" t="s">
        <v>1156</v>
      </c>
      <c r="D1003" s="116" t="s">
        <v>86</v>
      </c>
      <c r="E1003" s="125">
        <v>59</v>
      </c>
      <c r="F1003" s="126">
        <v>113</v>
      </c>
      <c r="G1003" s="126">
        <v>19</v>
      </c>
      <c r="I1003" s="125">
        <f t="shared" si="15"/>
        <v>4</v>
      </c>
      <c r="J1003" s="127">
        <v>3.4352</v>
      </c>
      <c r="M1003" s="128"/>
    </row>
    <row r="1004" spans="2:13">
      <c r="B1004" s="116">
        <v>996</v>
      </c>
      <c r="C1004" s="124" t="s">
        <v>1157</v>
      </c>
      <c r="D1004" s="116" t="s">
        <v>65</v>
      </c>
      <c r="E1004" s="125">
        <v>57</v>
      </c>
      <c r="F1004" s="126">
        <v>103.1</v>
      </c>
      <c r="G1004" s="126">
        <v>21</v>
      </c>
      <c r="I1004" s="125">
        <f t="shared" si="15"/>
        <v>4</v>
      </c>
      <c r="J1004" s="127">
        <v>3.2991999999999999</v>
      </c>
      <c r="M1004" s="128"/>
    </row>
    <row r="1005" spans="2:13">
      <c r="B1005" s="116">
        <v>997</v>
      </c>
      <c r="C1005" s="124" t="s">
        <v>1158</v>
      </c>
      <c r="D1005" s="116" t="s">
        <v>65</v>
      </c>
      <c r="E1005" s="125">
        <v>45</v>
      </c>
      <c r="F1005" s="126">
        <v>61.2</v>
      </c>
      <c r="G1005" s="126">
        <v>6</v>
      </c>
      <c r="I1005" s="125">
        <f t="shared" si="15"/>
        <v>3</v>
      </c>
      <c r="J1005" s="127">
        <v>2.3562000000000003</v>
      </c>
      <c r="M1005" s="128"/>
    </row>
    <row r="1006" spans="2:13">
      <c r="B1006" s="116">
        <v>998</v>
      </c>
      <c r="C1006" s="124" t="s">
        <v>1159</v>
      </c>
      <c r="D1006" s="116" t="s">
        <v>86</v>
      </c>
      <c r="E1006" s="125">
        <v>44</v>
      </c>
      <c r="F1006" s="126">
        <v>52.7</v>
      </c>
      <c r="G1006" s="126">
        <v>7</v>
      </c>
      <c r="I1006" s="125">
        <f t="shared" si="15"/>
        <v>3</v>
      </c>
      <c r="J1006" s="127">
        <v>1.8181500000000002</v>
      </c>
      <c r="M1006" s="128"/>
    </row>
    <row r="1007" spans="2:13">
      <c r="B1007" s="116">
        <v>999</v>
      </c>
      <c r="C1007" s="124" t="s">
        <v>1160</v>
      </c>
      <c r="D1007" s="116" t="s">
        <v>86</v>
      </c>
      <c r="E1007" s="125">
        <v>97</v>
      </c>
      <c r="F1007" s="126">
        <v>99.6</v>
      </c>
      <c r="G1007" s="126">
        <v>15</v>
      </c>
      <c r="I1007" s="125">
        <f t="shared" si="15"/>
        <v>3</v>
      </c>
      <c r="J1007" s="127">
        <v>3.6752400000000001</v>
      </c>
      <c r="M1007" s="128"/>
    </row>
    <row r="1008" spans="2:13">
      <c r="B1008" s="123">
        <v>1000</v>
      </c>
      <c r="C1008" s="129" t="s">
        <v>1161</v>
      </c>
      <c r="D1008" s="123" t="s">
        <v>92</v>
      </c>
      <c r="E1008" s="130">
        <v>54</v>
      </c>
      <c r="F1008" s="131">
        <v>58</v>
      </c>
      <c r="G1008" s="131">
        <v>8</v>
      </c>
      <c r="I1008" s="130">
        <f t="shared" si="15"/>
        <v>3</v>
      </c>
      <c r="J1008" s="132">
        <v>1.3977999999999999</v>
      </c>
      <c r="M1008" s="128"/>
    </row>
    <row r="1009" spans="2:10">
      <c r="C1009" s="133" t="s">
        <v>1162</v>
      </c>
      <c r="E1009" s="134">
        <f>SUM(E9:E1008)</f>
        <v>64633</v>
      </c>
      <c r="F1009" s="135">
        <f>SUM(F9:F1008)</f>
        <v>96997.200000000084</v>
      </c>
      <c r="G1009" s="135">
        <f>SUM(G9:G1008)</f>
        <v>14678</v>
      </c>
      <c r="I1009" s="134">
        <f>SUM(I9:I1008)</f>
        <v>3544</v>
      </c>
      <c r="J1009" s="135">
        <f>SUM(J9:J1008)</f>
        <v>2917.1001899999969</v>
      </c>
    </row>
    <row r="1010" spans="2:10">
      <c r="B1010" s="115"/>
      <c r="E1010" s="121"/>
      <c r="F1010" s="121"/>
      <c r="G1010" s="12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505DF-1125-4CDC-BAEF-735D4E07D9F5}">
  <sheetPr>
    <tabColor theme="4" tint="0.59999389629810485"/>
  </sheetPr>
  <dimension ref="A3:XFD538"/>
  <sheetViews>
    <sheetView showGridLines="0" tabSelected="1" zoomScale="89" zoomScaleNormal="89" workbookViewId="0">
      <pane ySplit="8" topLeftCell="A9" activePane="bottomLeft" state="frozen"/>
      <selection pane="bottomLeft" activeCell="B4" sqref="B4"/>
      <selection activeCell="A12" sqref="A12"/>
    </sheetView>
  </sheetViews>
  <sheetFormatPr defaultColWidth="0" defaultRowHeight="12" outlineLevelRow="2"/>
  <cols>
    <col min="1" max="1" width="2.7109375" style="22" customWidth="1"/>
    <col min="2" max="2" width="29.7109375" style="22" customWidth="1"/>
    <col min="3" max="3" width="57.42578125" style="22" bestFit="1" customWidth="1"/>
    <col min="4" max="4" width="24.140625" style="22" customWidth="1"/>
    <col min="5" max="5" width="33.7109375" style="28" bestFit="1" customWidth="1"/>
    <col min="6" max="6" width="10.85546875" style="29" customWidth="1"/>
    <col min="7" max="7" width="14.5703125" style="22" bestFit="1" customWidth="1"/>
    <col min="8" max="9" width="15.140625" style="22" bestFit="1" customWidth="1"/>
    <col min="10" max="10" width="15.42578125" style="22" bestFit="1" customWidth="1"/>
    <col min="11" max="11" width="15.140625" style="22" bestFit="1" customWidth="1"/>
    <col min="12" max="12" width="15.5703125" style="22" bestFit="1" customWidth="1"/>
    <col min="13" max="14" width="15.42578125" style="22" bestFit="1" customWidth="1"/>
    <col min="15" max="15" width="14.5703125" style="22" bestFit="1" customWidth="1"/>
    <col min="16" max="19" width="15.42578125" style="22" bestFit="1" customWidth="1"/>
    <col min="20" max="20" width="14.85546875" style="22" bestFit="1" customWidth="1"/>
    <col min="21" max="21" width="15.5703125" style="22" bestFit="1" customWidth="1"/>
    <col min="22" max="25" width="15.42578125" style="22" bestFit="1" customWidth="1"/>
    <col min="26" max="26" width="15.7109375" style="22" bestFit="1" customWidth="1"/>
    <col min="27" max="28" width="15.42578125" style="22" bestFit="1" customWidth="1"/>
    <col min="29" max="29" width="15.140625" style="22" bestFit="1" customWidth="1"/>
    <col min="30" max="31" width="15.5703125" style="22" bestFit="1" customWidth="1"/>
    <col min="32" max="32" width="15.140625" style="22" bestFit="1" customWidth="1"/>
    <col min="33" max="33" width="15.7109375" style="22" bestFit="1" customWidth="1"/>
    <col min="34" max="34" width="15.140625" style="22" bestFit="1" customWidth="1"/>
    <col min="35" max="35" width="15.42578125" style="22" bestFit="1" customWidth="1"/>
    <col min="36" max="36" width="15.7109375" style="22" bestFit="1" customWidth="1"/>
    <col min="37" max="40" width="15.5703125" style="22" bestFit="1" customWidth="1"/>
    <col min="41" max="41" width="15.140625" style="22" bestFit="1" customWidth="1"/>
    <col min="42" max="42" width="15.7109375" style="22" bestFit="1" customWidth="1"/>
    <col min="43" max="44" width="15.42578125" style="22" bestFit="1" customWidth="1"/>
    <col min="45" max="45" width="14.5703125" style="22" bestFit="1" customWidth="1"/>
    <col min="46" max="48" width="15.7109375" style="22" bestFit="1" customWidth="1"/>
    <col min="49" max="49" width="15.5703125" style="22" bestFit="1" customWidth="1"/>
    <col min="50" max="50" width="15.42578125" style="22" bestFit="1" customWidth="1"/>
    <col min="51" max="51" width="15.7109375" style="22" bestFit="1" customWidth="1"/>
    <col min="52" max="52" width="15.5703125" style="22" bestFit="1" customWidth="1"/>
    <col min="53" max="53" width="15.42578125" style="22" bestFit="1" customWidth="1"/>
    <col min="54" max="55" width="15.5703125" style="22" bestFit="1" customWidth="1"/>
    <col min="56" max="56" width="15.42578125" style="22" bestFit="1" customWidth="1"/>
    <col min="57" max="57" width="15.7109375" style="22" bestFit="1" customWidth="1"/>
    <col min="58" max="58" width="15.42578125" style="22" bestFit="1" customWidth="1"/>
    <col min="59" max="59" width="15.5703125" style="22" bestFit="1" customWidth="1"/>
    <col min="60" max="60" width="15.7109375" style="22" bestFit="1" customWidth="1"/>
    <col min="61" max="63" width="15.5703125" style="22" bestFit="1" customWidth="1"/>
    <col min="64" max="65" width="15.7109375" style="22" bestFit="1" customWidth="1"/>
    <col min="66" max="67" width="15.5703125" style="22" bestFit="1" customWidth="1"/>
    <col min="68" max="69" width="15.5703125" style="22" customWidth="1"/>
    <col min="70" max="72" width="0" style="22" hidden="1" customWidth="1"/>
    <col min="73" max="16384" width="12.5703125" style="22" hidden="1"/>
  </cols>
  <sheetData>
    <row r="3" spans="1:69" ht="19.7" customHeight="1">
      <c r="B3" s="24" t="s">
        <v>1163</v>
      </c>
      <c r="C3" s="25"/>
      <c r="D3" s="25"/>
      <c r="E3" s="26"/>
      <c r="F3" s="27"/>
      <c r="G3" s="25"/>
      <c r="H3" s="25"/>
      <c r="I3" s="25"/>
      <c r="J3" s="25"/>
      <c r="K3" s="25"/>
      <c r="L3" s="25"/>
      <c r="M3" s="25"/>
      <c r="N3" s="25"/>
      <c r="O3" s="25"/>
      <c r="P3" s="25"/>
      <c r="Q3" s="25"/>
      <c r="R3" s="25"/>
      <c r="S3" s="25"/>
      <c r="T3" s="25"/>
      <c r="U3" s="25"/>
      <c r="V3" s="25"/>
      <c r="W3" s="25"/>
      <c r="X3" s="25"/>
      <c r="Y3" s="25"/>
      <c r="Z3" s="25"/>
      <c r="AA3" s="25"/>
      <c r="AB3" s="25"/>
      <c r="AC3" s="25"/>
      <c r="AD3" s="25"/>
      <c r="AE3" s="25"/>
      <c r="AF3" s="25"/>
      <c r="AG3" s="25"/>
      <c r="AH3" s="25"/>
      <c r="AI3" s="25"/>
      <c r="AJ3" s="25"/>
      <c r="AK3" s="25"/>
      <c r="AL3" s="25"/>
      <c r="AM3" s="25"/>
      <c r="AN3" s="25"/>
      <c r="AO3" s="25"/>
      <c r="AP3" s="25"/>
      <c r="AQ3" s="25"/>
      <c r="AR3" s="25"/>
      <c r="AS3" s="25"/>
      <c r="AT3" s="25"/>
      <c r="AU3" s="25"/>
      <c r="AV3" s="25"/>
      <c r="AW3" s="25"/>
      <c r="AX3" s="25"/>
      <c r="AY3" s="25"/>
      <c r="AZ3" s="25"/>
      <c r="BA3" s="25"/>
      <c r="BB3" s="25"/>
      <c r="BC3" s="25"/>
      <c r="BD3" s="25"/>
      <c r="BE3" s="25"/>
      <c r="BF3" s="25"/>
      <c r="BG3" s="25"/>
      <c r="BH3" s="25"/>
      <c r="BI3" s="25"/>
      <c r="BJ3" s="25"/>
      <c r="BK3" s="25"/>
      <c r="BL3" s="25"/>
      <c r="BM3" s="25"/>
      <c r="BN3" s="25"/>
      <c r="BO3" s="25"/>
      <c r="BP3" s="348"/>
      <c r="BQ3" s="348"/>
    </row>
    <row r="4" spans="1:69" ht="13.5" customHeight="1">
      <c r="B4" s="215" t="s">
        <v>38</v>
      </c>
    </row>
    <row r="5" spans="1:69">
      <c r="D5" s="30"/>
    </row>
    <row r="6" spans="1:69" s="31" customFormat="1" ht="12" customHeight="1">
      <c r="C6" s="31" t="s">
        <v>1164</v>
      </c>
      <c r="E6" s="32"/>
      <c r="F6" s="33"/>
      <c r="G6" s="34" cm="1">
        <f t="array" ref="G6:BO6">_xlfn.SEQUENCE(,61,0)</f>
        <v>0</v>
      </c>
      <c r="H6" s="31">
        <v>1</v>
      </c>
      <c r="I6" s="31">
        <v>2</v>
      </c>
      <c r="J6" s="31">
        <v>3</v>
      </c>
      <c r="K6" s="31">
        <v>4</v>
      </c>
      <c r="L6" s="31">
        <v>5</v>
      </c>
      <c r="M6" s="31">
        <v>6</v>
      </c>
      <c r="N6" s="31">
        <v>7</v>
      </c>
      <c r="O6" s="31">
        <v>8</v>
      </c>
      <c r="P6" s="31">
        <v>9</v>
      </c>
      <c r="Q6" s="31">
        <v>10</v>
      </c>
      <c r="R6" s="31">
        <v>11</v>
      </c>
      <c r="S6" s="31">
        <v>12</v>
      </c>
      <c r="T6" s="31">
        <v>13</v>
      </c>
      <c r="U6" s="31">
        <v>14</v>
      </c>
      <c r="V6" s="31">
        <v>15</v>
      </c>
      <c r="W6" s="31">
        <v>16</v>
      </c>
      <c r="X6" s="31">
        <v>17</v>
      </c>
      <c r="Y6" s="31">
        <v>18</v>
      </c>
      <c r="Z6" s="31">
        <v>19</v>
      </c>
      <c r="AA6" s="31">
        <v>20</v>
      </c>
      <c r="AB6" s="31">
        <v>21</v>
      </c>
      <c r="AC6" s="31">
        <v>22</v>
      </c>
      <c r="AD6" s="31">
        <v>23</v>
      </c>
      <c r="AE6" s="31">
        <v>24</v>
      </c>
      <c r="AF6" s="31">
        <v>25</v>
      </c>
      <c r="AG6" s="31">
        <v>26</v>
      </c>
      <c r="AH6" s="31">
        <v>27</v>
      </c>
      <c r="AI6" s="31">
        <v>28</v>
      </c>
      <c r="AJ6" s="31">
        <v>29</v>
      </c>
      <c r="AK6" s="31">
        <v>30</v>
      </c>
      <c r="AL6" s="31">
        <v>31</v>
      </c>
      <c r="AM6" s="31">
        <v>32</v>
      </c>
      <c r="AN6" s="31">
        <v>33</v>
      </c>
      <c r="AO6" s="31">
        <v>34</v>
      </c>
      <c r="AP6" s="31">
        <v>35</v>
      </c>
      <c r="AQ6" s="31">
        <v>36</v>
      </c>
      <c r="AR6" s="31">
        <v>37</v>
      </c>
      <c r="AS6" s="31">
        <v>38</v>
      </c>
      <c r="AT6" s="31">
        <v>39</v>
      </c>
      <c r="AU6" s="31">
        <v>40</v>
      </c>
      <c r="AV6" s="31">
        <v>41</v>
      </c>
      <c r="AW6" s="31">
        <v>42</v>
      </c>
      <c r="AX6" s="31">
        <v>43</v>
      </c>
      <c r="AY6" s="31">
        <v>44</v>
      </c>
      <c r="AZ6" s="31">
        <v>45</v>
      </c>
      <c r="BA6" s="31">
        <v>46</v>
      </c>
      <c r="BB6" s="31">
        <v>47</v>
      </c>
      <c r="BC6" s="31">
        <v>48</v>
      </c>
      <c r="BD6" s="31">
        <v>49</v>
      </c>
      <c r="BE6" s="31">
        <v>50</v>
      </c>
      <c r="BF6" s="31">
        <v>51</v>
      </c>
      <c r="BG6" s="31">
        <v>52</v>
      </c>
      <c r="BH6" s="31">
        <v>53</v>
      </c>
      <c r="BI6" s="31">
        <v>54</v>
      </c>
      <c r="BJ6" s="31">
        <v>55</v>
      </c>
      <c r="BK6" s="31">
        <v>56</v>
      </c>
      <c r="BL6" s="31">
        <v>57</v>
      </c>
      <c r="BM6" s="31">
        <v>58</v>
      </c>
      <c r="BN6" s="31">
        <v>59</v>
      </c>
      <c r="BO6" s="31">
        <v>60</v>
      </c>
    </row>
    <row r="7" spans="1:69" s="31" customFormat="1" ht="12" customHeight="1">
      <c r="C7" s="31" t="s">
        <v>1165</v>
      </c>
      <c r="E7" s="32"/>
      <c r="F7" s="33"/>
      <c r="G7" s="139">
        <v>45992</v>
      </c>
      <c r="H7" s="36">
        <f>Assumptions!D10</f>
        <v>46023</v>
      </c>
      <c r="I7" s="36">
        <f>+H8+1</f>
        <v>46054</v>
      </c>
      <c r="J7" s="36">
        <f t="shared" ref="J7:BO7" si="0">+I8+1</f>
        <v>46082</v>
      </c>
      <c r="K7" s="36">
        <f t="shared" si="0"/>
        <v>46113</v>
      </c>
      <c r="L7" s="36">
        <f t="shared" si="0"/>
        <v>46143</v>
      </c>
      <c r="M7" s="36">
        <f t="shared" si="0"/>
        <v>46174</v>
      </c>
      <c r="N7" s="36">
        <f t="shared" si="0"/>
        <v>46204</v>
      </c>
      <c r="O7" s="36">
        <f t="shared" si="0"/>
        <v>46235</v>
      </c>
      <c r="P7" s="36">
        <f t="shared" si="0"/>
        <v>46266</v>
      </c>
      <c r="Q7" s="36">
        <f t="shared" si="0"/>
        <v>46296</v>
      </c>
      <c r="R7" s="36">
        <f t="shared" si="0"/>
        <v>46327</v>
      </c>
      <c r="S7" s="36">
        <f t="shared" si="0"/>
        <v>46357</v>
      </c>
      <c r="T7" s="36">
        <f t="shared" si="0"/>
        <v>46388</v>
      </c>
      <c r="U7" s="36">
        <f t="shared" si="0"/>
        <v>46419</v>
      </c>
      <c r="V7" s="36">
        <f t="shared" si="0"/>
        <v>46447</v>
      </c>
      <c r="W7" s="36">
        <f t="shared" si="0"/>
        <v>46478</v>
      </c>
      <c r="X7" s="36">
        <f t="shared" si="0"/>
        <v>46508</v>
      </c>
      <c r="Y7" s="36">
        <f t="shared" si="0"/>
        <v>46539</v>
      </c>
      <c r="Z7" s="36">
        <f t="shared" si="0"/>
        <v>46569</v>
      </c>
      <c r="AA7" s="36">
        <f t="shared" si="0"/>
        <v>46600</v>
      </c>
      <c r="AB7" s="36">
        <f t="shared" si="0"/>
        <v>46631</v>
      </c>
      <c r="AC7" s="36">
        <f t="shared" si="0"/>
        <v>46661</v>
      </c>
      <c r="AD7" s="36">
        <f t="shared" si="0"/>
        <v>46692</v>
      </c>
      <c r="AE7" s="36">
        <f t="shared" si="0"/>
        <v>46722</v>
      </c>
      <c r="AF7" s="36">
        <f t="shared" si="0"/>
        <v>46753</v>
      </c>
      <c r="AG7" s="36">
        <f t="shared" si="0"/>
        <v>46784</v>
      </c>
      <c r="AH7" s="36">
        <f t="shared" si="0"/>
        <v>46813</v>
      </c>
      <c r="AI7" s="36">
        <f t="shared" si="0"/>
        <v>46844</v>
      </c>
      <c r="AJ7" s="36">
        <f t="shared" si="0"/>
        <v>46874</v>
      </c>
      <c r="AK7" s="36">
        <f t="shared" si="0"/>
        <v>46905</v>
      </c>
      <c r="AL7" s="36">
        <f t="shared" si="0"/>
        <v>46935</v>
      </c>
      <c r="AM7" s="36">
        <f t="shared" si="0"/>
        <v>46966</v>
      </c>
      <c r="AN7" s="36">
        <f t="shared" si="0"/>
        <v>46997</v>
      </c>
      <c r="AO7" s="36">
        <f t="shared" si="0"/>
        <v>47027</v>
      </c>
      <c r="AP7" s="36">
        <f t="shared" si="0"/>
        <v>47058</v>
      </c>
      <c r="AQ7" s="36">
        <f t="shared" si="0"/>
        <v>47088</v>
      </c>
      <c r="AR7" s="36">
        <f t="shared" si="0"/>
        <v>47119</v>
      </c>
      <c r="AS7" s="36">
        <f t="shared" si="0"/>
        <v>47150</v>
      </c>
      <c r="AT7" s="36">
        <f t="shared" si="0"/>
        <v>47178</v>
      </c>
      <c r="AU7" s="36">
        <f t="shared" si="0"/>
        <v>47209</v>
      </c>
      <c r="AV7" s="36">
        <f t="shared" si="0"/>
        <v>47239</v>
      </c>
      <c r="AW7" s="36">
        <f t="shared" si="0"/>
        <v>47270</v>
      </c>
      <c r="AX7" s="36">
        <f t="shared" si="0"/>
        <v>47300</v>
      </c>
      <c r="AY7" s="36">
        <f t="shared" si="0"/>
        <v>47331</v>
      </c>
      <c r="AZ7" s="36">
        <f t="shared" si="0"/>
        <v>47362</v>
      </c>
      <c r="BA7" s="36">
        <f t="shared" si="0"/>
        <v>47392</v>
      </c>
      <c r="BB7" s="36">
        <f t="shared" si="0"/>
        <v>47423</v>
      </c>
      <c r="BC7" s="36">
        <f t="shared" si="0"/>
        <v>47453</v>
      </c>
      <c r="BD7" s="36">
        <f t="shared" si="0"/>
        <v>47484</v>
      </c>
      <c r="BE7" s="36">
        <f t="shared" si="0"/>
        <v>47515</v>
      </c>
      <c r="BF7" s="36">
        <f t="shared" si="0"/>
        <v>47543</v>
      </c>
      <c r="BG7" s="36">
        <f t="shared" si="0"/>
        <v>47574</v>
      </c>
      <c r="BH7" s="36">
        <f t="shared" si="0"/>
        <v>47604</v>
      </c>
      <c r="BI7" s="36">
        <f t="shared" si="0"/>
        <v>47635</v>
      </c>
      <c r="BJ7" s="36">
        <f t="shared" si="0"/>
        <v>47665</v>
      </c>
      <c r="BK7" s="36">
        <f t="shared" si="0"/>
        <v>47696</v>
      </c>
      <c r="BL7" s="36">
        <f t="shared" si="0"/>
        <v>47727</v>
      </c>
      <c r="BM7" s="36">
        <f t="shared" si="0"/>
        <v>47757</v>
      </c>
      <c r="BN7" s="36">
        <f t="shared" si="0"/>
        <v>47788</v>
      </c>
      <c r="BO7" s="36">
        <f t="shared" si="0"/>
        <v>47818</v>
      </c>
      <c r="BP7" s="36"/>
      <c r="BQ7" s="36"/>
    </row>
    <row r="8" spans="1:69" s="31" customFormat="1" ht="12" customHeight="1">
      <c r="C8" s="31" t="s">
        <v>1166</v>
      </c>
      <c r="E8" s="32"/>
      <c r="F8" s="33"/>
      <c r="G8" s="35">
        <v>46022</v>
      </c>
      <c r="H8" s="36">
        <f>EOMONTH(H7,0)</f>
        <v>46053</v>
      </c>
      <c r="I8" s="36">
        <f>EOMONTH(I7,0)</f>
        <v>46081</v>
      </c>
      <c r="J8" s="36">
        <f t="shared" ref="J8:BO8" si="1">EOMONTH(J7,0)</f>
        <v>46112</v>
      </c>
      <c r="K8" s="36">
        <f t="shared" si="1"/>
        <v>46142</v>
      </c>
      <c r="L8" s="36">
        <f t="shared" si="1"/>
        <v>46173</v>
      </c>
      <c r="M8" s="36">
        <f t="shared" si="1"/>
        <v>46203</v>
      </c>
      <c r="N8" s="36">
        <f t="shared" si="1"/>
        <v>46234</v>
      </c>
      <c r="O8" s="36">
        <f t="shared" si="1"/>
        <v>46265</v>
      </c>
      <c r="P8" s="36">
        <f t="shared" si="1"/>
        <v>46295</v>
      </c>
      <c r="Q8" s="36">
        <f t="shared" si="1"/>
        <v>46326</v>
      </c>
      <c r="R8" s="36">
        <f t="shared" si="1"/>
        <v>46356</v>
      </c>
      <c r="S8" s="36">
        <f t="shared" si="1"/>
        <v>46387</v>
      </c>
      <c r="T8" s="36">
        <f t="shared" si="1"/>
        <v>46418</v>
      </c>
      <c r="U8" s="36">
        <f t="shared" si="1"/>
        <v>46446</v>
      </c>
      <c r="V8" s="36">
        <f t="shared" si="1"/>
        <v>46477</v>
      </c>
      <c r="W8" s="36">
        <f t="shared" si="1"/>
        <v>46507</v>
      </c>
      <c r="X8" s="36">
        <f t="shared" si="1"/>
        <v>46538</v>
      </c>
      <c r="Y8" s="36">
        <f t="shared" si="1"/>
        <v>46568</v>
      </c>
      <c r="Z8" s="36">
        <f t="shared" si="1"/>
        <v>46599</v>
      </c>
      <c r="AA8" s="36">
        <f t="shared" si="1"/>
        <v>46630</v>
      </c>
      <c r="AB8" s="36">
        <f t="shared" si="1"/>
        <v>46660</v>
      </c>
      <c r="AC8" s="36">
        <f t="shared" si="1"/>
        <v>46691</v>
      </c>
      <c r="AD8" s="36">
        <f t="shared" si="1"/>
        <v>46721</v>
      </c>
      <c r="AE8" s="36">
        <f t="shared" si="1"/>
        <v>46752</v>
      </c>
      <c r="AF8" s="36">
        <f t="shared" si="1"/>
        <v>46783</v>
      </c>
      <c r="AG8" s="36">
        <f t="shared" si="1"/>
        <v>46812</v>
      </c>
      <c r="AH8" s="36">
        <f t="shared" si="1"/>
        <v>46843</v>
      </c>
      <c r="AI8" s="36">
        <f t="shared" si="1"/>
        <v>46873</v>
      </c>
      <c r="AJ8" s="36">
        <f t="shared" si="1"/>
        <v>46904</v>
      </c>
      <c r="AK8" s="36">
        <f t="shared" si="1"/>
        <v>46934</v>
      </c>
      <c r="AL8" s="36">
        <f t="shared" si="1"/>
        <v>46965</v>
      </c>
      <c r="AM8" s="36">
        <f t="shared" si="1"/>
        <v>46996</v>
      </c>
      <c r="AN8" s="36">
        <f t="shared" si="1"/>
        <v>47026</v>
      </c>
      <c r="AO8" s="36">
        <f t="shared" si="1"/>
        <v>47057</v>
      </c>
      <c r="AP8" s="36">
        <f t="shared" si="1"/>
        <v>47087</v>
      </c>
      <c r="AQ8" s="36">
        <f t="shared" si="1"/>
        <v>47118</v>
      </c>
      <c r="AR8" s="36">
        <f t="shared" si="1"/>
        <v>47149</v>
      </c>
      <c r="AS8" s="36">
        <f t="shared" si="1"/>
        <v>47177</v>
      </c>
      <c r="AT8" s="36">
        <f t="shared" si="1"/>
        <v>47208</v>
      </c>
      <c r="AU8" s="36">
        <f t="shared" si="1"/>
        <v>47238</v>
      </c>
      <c r="AV8" s="36">
        <f t="shared" si="1"/>
        <v>47269</v>
      </c>
      <c r="AW8" s="36">
        <f t="shared" si="1"/>
        <v>47299</v>
      </c>
      <c r="AX8" s="36">
        <f t="shared" si="1"/>
        <v>47330</v>
      </c>
      <c r="AY8" s="36">
        <f t="shared" si="1"/>
        <v>47361</v>
      </c>
      <c r="AZ8" s="36">
        <f t="shared" si="1"/>
        <v>47391</v>
      </c>
      <c r="BA8" s="36">
        <f t="shared" si="1"/>
        <v>47422</v>
      </c>
      <c r="BB8" s="36">
        <f t="shared" si="1"/>
        <v>47452</v>
      </c>
      <c r="BC8" s="36">
        <f t="shared" si="1"/>
        <v>47483</v>
      </c>
      <c r="BD8" s="36">
        <f t="shared" si="1"/>
        <v>47514</v>
      </c>
      <c r="BE8" s="36">
        <f t="shared" si="1"/>
        <v>47542</v>
      </c>
      <c r="BF8" s="36">
        <f t="shared" si="1"/>
        <v>47573</v>
      </c>
      <c r="BG8" s="36">
        <f t="shared" si="1"/>
        <v>47603</v>
      </c>
      <c r="BH8" s="36">
        <f t="shared" si="1"/>
        <v>47634</v>
      </c>
      <c r="BI8" s="36">
        <f t="shared" si="1"/>
        <v>47664</v>
      </c>
      <c r="BJ8" s="36">
        <f t="shared" si="1"/>
        <v>47695</v>
      </c>
      <c r="BK8" s="36">
        <f t="shared" si="1"/>
        <v>47726</v>
      </c>
      <c r="BL8" s="36">
        <f t="shared" si="1"/>
        <v>47756</v>
      </c>
      <c r="BM8" s="36">
        <f t="shared" si="1"/>
        <v>47787</v>
      </c>
      <c r="BN8" s="36">
        <f t="shared" si="1"/>
        <v>47817</v>
      </c>
      <c r="BO8" s="36">
        <f t="shared" si="1"/>
        <v>47848</v>
      </c>
      <c r="BP8" s="36"/>
      <c r="BQ8" s="36"/>
    </row>
    <row r="9" spans="1:69" s="31" customFormat="1" ht="12" customHeight="1">
      <c r="C9" s="31" t="s">
        <v>1167</v>
      </c>
      <c r="E9" s="32"/>
      <c r="F9" s="33"/>
      <c r="G9" s="34" cm="1">
        <f t="array" ref="G9:BO9">MONTH(G8:BO8)</f>
        <v>12</v>
      </c>
      <c r="H9" s="31">
        <v>1</v>
      </c>
      <c r="I9" s="31">
        <v>2</v>
      </c>
      <c r="J9" s="31">
        <v>3</v>
      </c>
      <c r="K9" s="31">
        <v>4</v>
      </c>
      <c r="L9" s="31">
        <v>5</v>
      </c>
      <c r="M9" s="31">
        <v>6</v>
      </c>
      <c r="N9" s="31">
        <v>7</v>
      </c>
      <c r="O9" s="31">
        <v>8</v>
      </c>
      <c r="P9" s="31">
        <v>9</v>
      </c>
      <c r="Q9" s="31">
        <v>10</v>
      </c>
      <c r="R9" s="31">
        <v>11</v>
      </c>
      <c r="S9" s="31">
        <v>12</v>
      </c>
      <c r="T9" s="31">
        <v>1</v>
      </c>
      <c r="U9" s="31">
        <v>2</v>
      </c>
      <c r="V9" s="31">
        <v>3</v>
      </c>
      <c r="W9" s="31">
        <v>4</v>
      </c>
      <c r="X9" s="31">
        <v>5</v>
      </c>
      <c r="Y9" s="31">
        <v>6</v>
      </c>
      <c r="Z9" s="31">
        <v>7</v>
      </c>
      <c r="AA9" s="31">
        <v>8</v>
      </c>
      <c r="AB9" s="31">
        <v>9</v>
      </c>
      <c r="AC9" s="31">
        <v>10</v>
      </c>
      <c r="AD9" s="31">
        <v>11</v>
      </c>
      <c r="AE9" s="31">
        <v>12</v>
      </c>
      <c r="AF9" s="31">
        <v>1</v>
      </c>
      <c r="AG9" s="31">
        <v>2</v>
      </c>
      <c r="AH9" s="31">
        <v>3</v>
      </c>
      <c r="AI9" s="31">
        <v>4</v>
      </c>
      <c r="AJ9" s="31">
        <v>5</v>
      </c>
      <c r="AK9" s="31">
        <v>6</v>
      </c>
      <c r="AL9" s="31">
        <v>7</v>
      </c>
      <c r="AM9" s="31">
        <v>8</v>
      </c>
      <c r="AN9" s="31">
        <v>9</v>
      </c>
      <c r="AO9" s="31">
        <v>10</v>
      </c>
      <c r="AP9" s="31">
        <v>11</v>
      </c>
      <c r="AQ9" s="31">
        <v>12</v>
      </c>
      <c r="AR9" s="31">
        <v>1</v>
      </c>
      <c r="AS9" s="31">
        <v>2</v>
      </c>
      <c r="AT9" s="31">
        <v>3</v>
      </c>
      <c r="AU9" s="31">
        <v>4</v>
      </c>
      <c r="AV9" s="31">
        <v>5</v>
      </c>
      <c r="AW9" s="31">
        <v>6</v>
      </c>
      <c r="AX9" s="31">
        <v>7</v>
      </c>
      <c r="AY9" s="31">
        <v>8</v>
      </c>
      <c r="AZ9" s="31">
        <v>9</v>
      </c>
      <c r="BA9" s="31">
        <v>10</v>
      </c>
      <c r="BB9" s="31">
        <v>11</v>
      </c>
      <c r="BC9" s="31">
        <v>12</v>
      </c>
      <c r="BD9" s="31">
        <v>1</v>
      </c>
      <c r="BE9" s="31">
        <v>2</v>
      </c>
      <c r="BF9" s="31">
        <v>3</v>
      </c>
      <c r="BG9" s="31">
        <v>4</v>
      </c>
      <c r="BH9" s="31">
        <v>5</v>
      </c>
      <c r="BI9" s="31">
        <v>6</v>
      </c>
      <c r="BJ9" s="31">
        <v>7</v>
      </c>
      <c r="BK9" s="31">
        <v>8</v>
      </c>
      <c r="BL9" s="31">
        <v>9</v>
      </c>
      <c r="BM9" s="31">
        <v>10</v>
      </c>
      <c r="BN9" s="31">
        <v>11</v>
      </c>
      <c r="BO9" s="31">
        <v>12</v>
      </c>
    </row>
    <row r="10" spans="1:69" s="31" customFormat="1" ht="12" customHeight="1">
      <c r="C10" s="31" t="s">
        <v>1168</v>
      </c>
      <c r="E10" s="32"/>
      <c r="F10" s="33"/>
      <c r="G10" s="149" t="str" cm="1">
        <f t="array" ref="G10:BO10">TEXT(G8:BO8,"MMMM")</f>
        <v>December</v>
      </c>
      <c r="H10" s="150" t="str">
        <v>January</v>
      </c>
      <c r="I10" s="150" t="str">
        <v>February</v>
      </c>
      <c r="J10" s="150" t="str">
        <v>March</v>
      </c>
      <c r="K10" s="150" t="str">
        <v>April</v>
      </c>
      <c r="L10" s="150" t="str">
        <v>May</v>
      </c>
      <c r="M10" s="150" t="str">
        <v>June</v>
      </c>
      <c r="N10" s="150" t="str">
        <v>July</v>
      </c>
      <c r="O10" s="150" t="str">
        <v>August</v>
      </c>
      <c r="P10" s="150" t="str">
        <v>September</v>
      </c>
      <c r="Q10" s="150" t="str">
        <v>October</v>
      </c>
      <c r="R10" s="150" t="str">
        <v>November</v>
      </c>
      <c r="S10" s="150" t="str">
        <v>December</v>
      </c>
      <c r="T10" s="150" t="str">
        <v>January</v>
      </c>
      <c r="U10" s="150" t="str">
        <v>February</v>
      </c>
      <c r="V10" s="150" t="str">
        <v>March</v>
      </c>
      <c r="W10" s="150" t="str">
        <v>April</v>
      </c>
      <c r="X10" s="150" t="str">
        <v>May</v>
      </c>
      <c r="Y10" s="150" t="str">
        <v>June</v>
      </c>
      <c r="Z10" s="150" t="str">
        <v>July</v>
      </c>
      <c r="AA10" s="150" t="str">
        <v>August</v>
      </c>
      <c r="AB10" s="150" t="str">
        <v>September</v>
      </c>
      <c r="AC10" s="150" t="str">
        <v>October</v>
      </c>
      <c r="AD10" s="150" t="str">
        <v>November</v>
      </c>
      <c r="AE10" s="150" t="str">
        <v>December</v>
      </c>
      <c r="AF10" s="150" t="str">
        <v>January</v>
      </c>
      <c r="AG10" s="150" t="str">
        <v>February</v>
      </c>
      <c r="AH10" s="150" t="str">
        <v>March</v>
      </c>
      <c r="AI10" s="150" t="str">
        <v>April</v>
      </c>
      <c r="AJ10" s="150" t="str">
        <v>May</v>
      </c>
      <c r="AK10" s="150" t="str">
        <v>June</v>
      </c>
      <c r="AL10" s="150" t="str">
        <v>July</v>
      </c>
      <c r="AM10" s="150" t="str">
        <v>August</v>
      </c>
      <c r="AN10" s="150" t="str">
        <v>September</v>
      </c>
      <c r="AO10" s="150" t="str">
        <v>October</v>
      </c>
      <c r="AP10" s="150" t="str">
        <v>November</v>
      </c>
      <c r="AQ10" s="150" t="str">
        <v>December</v>
      </c>
      <c r="AR10" s="150" t="str">
        <v>January</v>
      </c>
      <c r="AS10" s="150" t="str">
        <v>February</v>
      </c>
      <c r="AT10" s="150" t="str">
        <v>March</v>
      </c>
      <c r="AU10" s="150" t="str">
        <v>April</v>
      </c>
      <c r="AV10" s="150" t="str">
        <v>May</v>
      </c>
      <c r="AW10" s="150" t="str">
        <v>June</v>
      </c>
      <c r="AX10" s="150" t="str">
        <v>July</v>
      </c>
      <c r="AY10" s="150" t="str">
        <v>August</v>
      </c>
      <c r="AZ10" s="150" t="str">
        <v>September</v>
      </c>
      <c r="BA10" s="150" t="str">
        <v>October</v>
      </c>
      <c r="BB10" s="150" t="str">
        <v>November</v>
      </c>
      <c r="BC10" s="150" t="str">
        <v>December</v>
      </c>
      <c r="BD10" s="150" t="str">
        <v>January</v>
      </c>
      <c r="BE10" s="150" t="str">
        <v>February</v>
      </c>
      <c r="BF10" s="150" t="str">
        <v>March</v>
      </c>
      <c r="BG10" s="150" t="str">
        <v>April</v>
      </c>
      <c r="BH10" s="150" t="str">
        <v>May</v>
      </c>
      <c r="BI10" s="150" t="str">
        <v>June</v>
      </c>
      <c r="BJ10" s="150" t="str">
        <v>July</v>
      </c>
      <c r="BK10" s="150" t="str">
        <v>August</v>
      </c>
      <c r="BL10" s="150" t="str">
        <v>September</v>
      </c>
      <c r="BM10" s="150" t="str">
        <v>October</v>
      </c>
      <c r="BN10" s="150" t="str">
        <v>November</v>
      </c>
      <c r="BO10" s="150" t="str">
        <v>December</v>
      </c>
      <c r="BP10" s="150"/>
      <c r="BQ10" s="150"/>
    </row>
    <row r="11" spans="1:69" s="31" customFormat="1" ht="12" customHeight="1">
      <c r="C11" s="31" t="s">
        <v>1169</v>
      </c>
      <c r="E11" s="32"/>
      <c r="F11" s="33"/>
      <c r="G11" s="34" cm="1">
        <f t="array" ref="G11:BO11">YEAR(G8:BO8)</f>
        <v>2025</v>
      </c>
      <c r="H11" s="31">
        <v>2026</v>
      </c>
      <c r="I11" s="31">
        <v>2026</v>
      </c>
      <c r="J11" s="31">
        <v>2026</v>
      </c>
      <c r="K11" s="31">
        <v>2026</v>
      </c>
      <c r="L11" s="31">
        <v>2026</v>
      </c>
      <c r="M11" s="31">
        <v>2026</v>
      </c>
      <c r="N11" s="31">
        <v>2026</v>
      </c>
      <c r="O11" s="31">
        <v>2026</v>
      </c>
      <c r="P11" s="31">
        <v>2026</v>
      </c>
      <c r="Q11" s="31">
        <v>2026</v>
      </c>
      <c r="R11" s="31">
        <v>2026</v>
      </c>
      <c r="S11" s="31">
        <v>2026</v>
      </c>
      <c r="T11" s="31">
        <v>2027</v>
      </c>
      <c r="U11" s="31">
        <v>2027</v>
      </c>
      <c r="V11" s="31">
        <v>2027</v>
      </c>
      <c r="W11" s="31">
        <v>2027</v>
      </c>
      <c r="X11" s="31">
        <v>2027</v>
      </c>
      <c r="Y11" s="31">
        <v>2027</v>
      </c>
      <c r="Z11" s="31">
        <v>2027</v>
      </c>
      <c r="AA11" s="31">
        <v>2027</v>
      </c>
      <c r="AB11" s="31">
        <v>2027</v>
      </c>
      <c r="AC11" s="31">
        <v>2027</v>
      </c>
      <c r="AD11" s="31">
        <v>2027</v>
      </c>
      <c r="AE11" s="31">
        <v>2027</v>
      </c>
      <c r="AF11" s="31">
        <v>2028</v>
      </c>
      <c r="AG11" s="31">
        <v>2028</v>
      </c>
      <c r="AH11" s="31">
        <v>2028</v>
      </c>
      <c r="AI11" s="31">
        <v>2028</v>
      </c>
      <c r="AJ11" s="31">
        <v>2028</v>
      </c>
      <c r="AK11" s="31">
        <v>2028</v>
      </c>
      <c r="AL11" s="31">
        <v>2028</v>
      </c>
      <c r="AM11" s="31">
        <v>2028</v>
      </c>
      <c r="AN11" s="31">
        <v>2028</v>
      </c>
      <c r="AO11" s="31">
        <v>2028</v>
      </c>
      <c r="AP11" s="31">
        <v>2028</v>
      </c>
      <c r="AQ11" s="31">
        <v>2028</v>
      </c>
      <c r="AR11" s="31">
        <v>2029</v>
      </c>
      <c r="AS11" s="31">
        <v>2029</v>
      </c>
      <c r="AT11" s="31">
        <v>2029</v>
      </c>
      <c r="AU11" s="31">
        <v>2029</v>
      </c>
      <c r="AV11" s="31">
        <v>2029</v>
      </c>
      <c r="AW11" s="31">
        <v>2029</v>
      </c>
      <c r="AX11" s="31">
        <v>2029</v>
      </c>
      <c r="AY11" s="31">
        <v>2029</v>
      </c>
      <c r="AZ11" s="31">
        <v>2029</v>
      </c>
      <c r="BA11" s="31">
        <v>2029</v>
      </c>
      <c r="BB11" s="31">
        <v>2029</v>
      </c>
      <c r="BC11" s="31">
        <v>2029</v>
      </c>
      <c r="BD11" s="31">
        <v>2030</v>
      </c>
      <c r="BE11" s="31">
        <v>2030</v>
      </c>
      <c r="BF11" s="31">
        <v>2030</v>
      </c>
      <c r="BG11" s="31">
        <v>2030</v>
      </c>
      <c r="BH11" s="31">
        <v>2030</v>
      </c>
      <c r="BI11" s="31">
        <v>2030</v>
      </c>
      <c r="BJ11" s="31">
        <v>2030</v>
      </c>
      <c r="BK11" s="31">
        <v>2030</v>
      </c>
      <c r="BL11" s="31">
        <v>2030</v>
      </c>
      <c r="BM11" s="31">
        <v>2030</v>
      </c>
      <c r="BN11" s="31">
        <v>2030</v>
      </c>
      <c r="BO11" s="31">
        <v>2030</v>
      </c>
    </row>
    <row r="12" spans="1:69">
      <c r="G12" s="66"/>
    </row>
    <row r="13" spans="1:69" s="31" customFormat="1" ht="12" customHeight="1">
      <c r="E13" s="32"/>
      <c r="F13" s="33"/>
      <c r="G13" s="89"/>
      <c r="H13" s="37"/>
      <c r="I13" s="37"/>
      <c r="J13" s="37"/>
      <c r="K13" s="37"/>
      <c r="L13" s="37"/>
      <c r="M13" s="37"/>
      <c r="N13" s="37"/>
      <c r="O13" s="37"/>
      <c r="P13" s="37"/>
      <c r="Q13" s="37"/>
      <c r="R13" s="37"/>
      <c r="S13" s="37"/>
      <c r="T13" s="37"/>
      <c r="U13" s="37"/>
      <c r="V13" s="37"/>
      <c r="W13" s="37"/>
      <c r="X13" s="37"/>
      <c r="Y13" s="37"/>
      <c r="Z13" s="37"/>
      <c r="AA13" s="37"/>
      <c r="AB13" s="37"/>
      <c r="AC13" s="37"/>
      <c r="AD13" s="37"/>
      <c r="AE13" s="37"/>
      <c r="AF13" s="37"/>
      <c r="AG13" s="37"/>
      <c r="AH13" s="37"/>
      <c r="AI13" s="37"/>
      <c r="AJ13" s="37"/>
      <c r="AK13" s="37"/>
      <c r="AL13" s="37"/>
      <c r="AM13" s="37"/>
      <c r="AN13" s="37"/>
      <c r="AO13" s="37"/>
      <c r="AP13" s="37"/>
      <c r="AQ13" s="37"/>
      <c r="AR13" s="37"/>
      <c r="AS13" s="37"/>
      <c r="AT13" s="37"/>
      <c r="AU13" s="37"/>
      <c r="AV13" s="37"/>
      <c r="AW13" s="37"/>
      <c r="AX13" s="37"/>
      <c r="AY13" s="37"/>
      <c r="AZ13" s="37"/>
      <c r="BA13" s="37"/>
      <c r="BB13" s="37"/>
      <c r="BC13" s="37"/>
      <c r="BD13" s="37"/>
      <c r="BE13" s="37"/>
      <c r="BF13" s="37"/>
      <c r="BG13" s="37"/>
      <c r="BH13" s="37"/>
      <c r="BI13" s="37"/>
      <c r="BJ13" s="37"/>
      <c r="BK13" s="37"/>
      <c r="BL13" s="37"/>
      <c r="BM13" s="37"/>
      <c r="BN13" s="37"/>
      <c r="BO13" s="37"/>
      <c r="BP13" s="37"/>
      <c r="BQ13" s="37"/>
    </row>
    <row r="14" spans="1:69" s="23" customFormat="1" ht="13.7" customHeight="1">
      <c r="B14" s="38" t="s">
        <v>1170</v>
      </c>
      <c r="C14" s="39"/>
      <c r="D14" s="39"/>
      <c r="E14" s="40"/>
      <c r="F14" s="27"/>
      <c r="G14" s="27"/>
      <c r="H14" s="39"/>
      <c r="I14" s="39"/>
      <c r="J14" s="39"/>
      <c r="K14" s="39"/>
      <c r="L14" s="39"/>
      <c r="M14" s="39"/>
      <c r="N14" s="39"/>
      <c r="O14" s="39"/>
      <c r="P14" s="39"/>
      <c r="Q14" s="39"/>
      <c r="R14" s="39"/>
      <c r="S14" s="39"/>
      <c r="T14" s="39"/>
      <c r="U14" s="39"/>
      <c r="V14" s="39"/>
      <c r="W14" s="39"/>
      <c r="X14" s="39"/>
      <c r="Y14" s="39"/>
      <c r="Z14" s="39"/>
      <c r="AA14" s="39"/>
      <c r="AB14" s="39"/>
      <c r="AC14" s="39"/>
      <c r="AD14" s="39"/>
      <c r="AE14" s="39"/>
      <c r="AF14" s="39"/>
      <c r="AG14" s="39"/>
      <c r="AH14" s="39"/>
      <c r="AI14" s="39"/>
      <c r="AJ14" s="39"/>
      <c r="AK14" s="39"/>
      <c r="AL14" s="39"/>
      <c r="AM14" s="39"/>
      <c r="AN14" s="39"/>
      <c r="AO14" s="39"/>
      <c r="AP14" s="39"/>
      <c r="AQ14" s="39"/>
      <c r="AR14" s="39"/>
      <c r="AS14" s="39"/>
      <c r="AT14" s="39"/>
      <c r="AU14" s="39"/>
      <c r="AV14" s="39"/>
      <c r="AW14" s="39"/>
      <c r="AX14" s="39"/>
      <c r="AY14" s="39"/>
      <c r="AZ14" s="39"/>
      <c r="BA14" s="39"/>
      <c r="BB14" s="39"/>
      <c r="BC14" s="39"/>
      <c r="BD14" s="39"/>
      <c r="BE14" s="39"/>
      <c r="BF14" s="39"/>
      <c r="BG14" s="39"/>
      <c r="BH14" s="39"/>
      <c r="BI14" s="39"/>
      <c r="BJ14" s="39"/>
      <c r="BK14" s="39"/>
      <c r="BL14" s="39"/>
      <c r="BM14" s="39"/>
      <c r="BN14" s="39"/>
      <c r="BO14" s="39"/>
      <c r="BP14" s="349"/>
      <c r="BQ14" s="349"/>
    </row>
    <row r="15" spans="1:69" ht="12" customHeight="1">
      <c r="G15" s="63"/>
      <c r="H15" s="41"/>
      <c r="I15" s="41"/>
      <c r="J15" s="41"/>
      <c r="K15" s="41"/>
      <c r="L15" s="41"/>
      <c r="M15" s="41"/>
      <c r="N15" s="41"/>
      <c r="O15" s="41"/>
      <c r="P15" s="41"/>
      <c r="Q15" s="41"/>
      <c r="R15" s="41"/>
      <c r="S15" s="41"/>
      <c r="T15" s="41"/>
      <c r="U15" s="41"/>
      <c r="V15" s="41"/>
      <c r="W15" s="41"/>
      <c r="X15" s="41"/>
      <c r="Y15" s="41"/>
      <c r="Z15" s="41"/>
      <c r="AA15" s="41"/>
      <c r="AB15" s="41"/>
      <c r="AC15" s="41"/>
      <c r="AD15" s="41"/>
      <c r="AE15" s="41"/>
      <c r="AF15" s="41"/>
      <c r="AG15" s="41"/>
      <c r="AH15" s="41"/>
      <c r="AI15" s="41"/>
      <c r="AJ15" s="41"/>
      <c r="AK15" s="41"/>
      <c r="AL15" s="41"/>
      <c r="AM15" s="41"/>
      <c r="AN15" s="41"/>
      <c r="AO15" s="41"/>
      <c r="AP15" s="41"/>
      <c r="AQ15" s="41"/>
      <c r="AR15" s="41"/>
      <c r="AS15" s="41"/>
      <c r="AT15" s="41"/>
      <c r="AU15" s="41"/>
      <c r="AV15" s="41"/>
      <c r="AW15" s="41"/>
      <c r="AX15" s="41"/>
      <c r="AY15" s="41"/>
      <c r="AZ15" s="41"/>
      <c r="BA15" s="41"/>
      <c r="BB15" s="41"/>
      <c r="BC15" s="41"/>
      <c r="BD15" s="41"/>
      <c r="BE15" s="41"/>
      <c r="BF15" s="41"/>
      <c r="BG15" s="41"/>
      <c r="BH15" s="41"/>
      <c r="BI15" s="41"/>
      <c r="BJ15" s="41"/>
      <c r="BK15" s="41"/>
      <c r="BL15" s="41"/>
      <c r="BM15" s="41"/>
      <c r="BN15" s="41"/>
      <c r="BO15" s="41"/>
      <c r="BP15" s="41"/>
      <c r="BQ15" s="41"/>
    </row>
    <row r="16" spans="1:69" s="148" customFormat="1" ht="12" customHeight="1">
      <c r="A16" s="31"/>
      <c r="B16" s="31"/>
      <c r="C16" s="42" t="s">
        <v>1171</v>
      </c>
      <c r="D16" s="43"/>
      <c r="E16" s="44"/>
      <c r="F16" s="45"/>
      <c r="G16" s="46"/>
    </row>
    <row r="17" spans="1:69" s="148" customFormat="1">
      <c r="A17" s="22"/>
      <c r="B17" s="22"/>
      <c r="C17" s="216" t="str" cm="1">
        <f t="array" ref="C17:C19">C309:C311</f>
        <v>Device Sales</v>
      </c>
      <c r="D17" s="217"/>
      <c r="E17" s="218"/>
      <c r="F17" s="219" t="s">
        <v>119</v>
      </c>
      <c r="G17" s="220"/>
      <c r="H17" s="223" cm="1">
        <f t="array" ref="H17:BO19">H309:BO311</f>
        <v>80025.396799999988</v>
      </c>
      <c r="I17" s="223">
        <v>75097.910274999987</v>
      </c>
      <c r="J17" s="223">
        <v>100109.6462733333</v>
      </c>
      <c r="K17" s="223">
        <v>100214.1444551515</v>
      </c>
      <c r="L17" s="223">
        <v>100288.92245515149</v>
      </c>
      <c r="M17" s="223">
        <v>100303.61712181817</v>
      </c>
      <c r="N17" s="223">
        <v>100401.92349104893</v>
      </c>
      <c r="O17" s="223">
        <v>100502.63463895889</v>
      </c>
      <c r="P17" s="223">
        <v>100600.43010954712</v>
      </c>
      <c r="Q17" s="223">
        <v>100738.25698454712</v>
      </c>
      <c r="R17" s="223">
        <v>100842.18398454711</v>
      </c>
      <c r="S17" s="223">
        <v>151408.84587682073</v>
      </c>
      <c r="T17" s="223">
        <v>83225.25658726682</v>
      </c>
      <c r="U17" s="223">
        <v>78098.89207163408</v>
      </c>
      <c r="V17" s="223">
        <v>104236.64805315917</v>
      </c>
      <c r="W17" s="223">
        <v>104329.58289315917</v>
      </c>
      <c r="X17" s="223">
        <v>104434.01523690917</v>
      </c>
      <c r="Y17" s="223">
        <v>104537.09103279152</v>
      </c>
      <c r="Z17" s="223">
        <v>104637.42880773199</v>
      </c>
      <c r="AA17" s="223">
        <v>104735.95748409563</v>
      </c>
      <c r="AB17" s="223">
        <v>104796.68340009563</v>
      </c>
      <c r="AC17" s="223">
        <v>104900.17827548024</v>
      </c>
      <c r="AD17" s="223">
        <v>105001.35782405167</v>
      </c>
      <c r="AE17" s="223">
        <v>157502.03673607754</v>
      </c>
      <c r="AF17" s="223">
        <v>86592.597762511941</v>
      </c>
      <c r="AG17" s="223">
        <v>81242.19020515494</v>
      </c>
      <c r="AH17" s="223">
        <v>108455.1402405399</v>
      </c>
      <c r="AI17" s="223">
        <v>108559.95825680321</v>
      </c>
      <c r="AJ17" s="223">
        <v>108648.65272193922</v>
      </c>
      <c r="AK17" s="223">
        <v>108759.51484303012</v>
      </c>
      <c r="AL17" s="223">
        <v>108838.84682323014</v>
      </c>
      <c r="AM17" s="223">
        <v>108901.2051106968</v>
      </c>
      <c r="AN17" s="223">
        <v>109005.49833781373</v>
      </c>
      <c r="AO17" s="223">
        <v>109112.34279463139</v>
      </c>
      <c r="AP17" s="223">
        <v>109216.09400937847</v>
      </c>
      <c r="AQ17" s="223">
        <v>164043.47181159898</v>
      </c>
      <c r="AR17" s="223">
        <v>90205.39825298154</v>
      </c>
      <c r="AS17" s="223">
        <v>84647.094942228869</v>
      </c>
      <c r="AT17" s="223">
        <v>112953.55428674356</v>
      </c>
      <c r="AU17" s="223">
        <v>113059.94702668312</v>
      </c>
      <c r="AV17" s="223">
        <v>113171.12081455089</v>
      </c>
      <c r="AW17" s="223">
        <v>113171.12081455089</v>
      </c>
      <c r="AX17" s="223">
        <v>113281.91308803526</v>
      </c>
      <c r="AY17" s="223">
        <v>113391.26619988686</v>
      </c>
      <c r="AZ17" s="223">
        <v>113497.7145453212</v>
      </c>
      <c r="BA17" s="223">
        <v>113602.24361807539</v>
      </c>
      <c r="BB17" s="223">
        <v>113688.14245045459</v>
      </c>
      <c r="BC17" s="223">
        <v>170696.91024562519</v>
      </c>
      <c r="BD17" s="223">
        <v>93857.951994587565</v>
      </c>
      <c r="BE17" s="223">
        <v>88081.418695387707</v>
      </c>
      <c r="BF17" s="223">
        <v>117536.68157065888</v>
      </c>
      <c r="BG17" s="223">
        <v>117623.85898104624</v>
      </c>
      <c r="BH17" s="223">
        <v>117764.13114403655</v>
      </c>
      <c r="BI17" s="223">
        <v>117875.33257749032</v>
      </c>
      <c r="BJ17" s="223">
        <v>117969.4285355531</v>
      </c>
      <c r="BK17" s="223">
        <v>118087.04215981845</v>
      </c>
      <c r="BL17" s="223">
        <v>118171.20545761262</v>
      </c>
      <c r="BM17" s="223">
        <v>118237.36136478602</v>
      </c>
      <c r="BN17" s="223">
        <v>118348.00604943436</v>
      </c>
      <c r="BO17" s="223">
        <v>177692.03600050835</v>
      </c>
      <c r="BP17" s="350"/>
      <c r="BQ17" s="350"/>
    </row>
    <row r="18" spans="1:69" s="148" customFormat="1">
      <c r="A18" s="22"/>
      <c r="B18" s="22"/>
      <c r="C18" s="64" t="str">
        <v>Accessory Sales</v>
      </c>
      <c r="D18" s="48"/>
      <c r="E18" s="49"/>
      <c r="F18" s="50" t="s">
        <v>119</v>
      </c>
      <c r="G18" s="51"/>
      <c r="H18" s="148">
        <v>12109.641333333337</v>
      </c>
      <c r="I18" s="148">
        <v>11363.603750000002</v>
      </c>
      <c r="J18" s="148">
        <v>15148.381666666668</v>
      </c>
      <c r="K18" s="148">
        <v>15163.22303030303</v>
      </c>
      <c r="L18" s="148">
        <v>15175.926363636365</v>
      </c>
      <c r="M18" s="148">
        <v>15177.986363636364</v>
      </c>
      <c r="N18" s="148">
        <v>15192.818363636365</v>
      </c>
      <c r="O18" s="148">
        <v>15208.026595147618</v>
      </c>
      <c r="P18" s="148">
        <v>15222.264830441736</v>
      </c>
      <c r="Q18" s="148">
        <v>15244.152330441735</v>
      </c>
      <c r="R18" s="148">
        <v>15262.005663775068</v>
      </c>
      <c r="S18" s="148">
        <v>22917.419495662609</v>
      </c>
      <c r="T18" s="148">
        <v>12594.903994950655</v>
      </c>
      <c r="U18" s="148">
        <v>11818.520941694811</v>
      </c>
      <c r="V18" s="148">
        <v>15774.81510461269</v>
      </c>
      <c r="W18" s="148">
        <v>15788.253171279355</v>
      </c>
      <c r="X18" s="148">
        <v>15804.962346279355</v>
      </c>
      <c r="Y18" s="148">
        <v>15820.836133445131</v>
      </c>
      <c r="Z18" s="148">
        <v>15835.619269754654</v>
      </c>
      <c r="AA18" s="148">
        <v>15850.452580663745</v>
      </c>
      <c r="AB18" s="148">
        <v>15857.454520663745</v>
      </c>
      <c r="AC18" s="148">
        <v>15873.653647586823</v>
      </c>
      <c r="AD18" s="148">
        <v>15888.657804729681</v>
      </c>
      <c r="AE18" s="148">
        <v>23832.986707094518</v>
      </c>
      <c r="AF18" s="148">
        <v>13103.61839189726</v>
      </c>
      <c r="AG18" s="148">
        <v>12291.19860440368</v>
      </c>
      <c r="AH18" s="148">
        <v>16408.116013038234</v>
      </c>
      <c r="AI18" s="148">
        <v>16423.414191038235</v>
      </c>
      <c r="AJ18" s="148">
        <v>16436.526915038234</v>
      </c>
      <c r="AK18" s="148">
        <v>16452.272117720055</v>
      </c>
      <c r="AL18" s="148">
        <v>16465.749084053386</v>
      </c>
      <c r="AM18" s="148">
        <v>16474.490900053388</v>
      </c>
      <c r="AN18" s="148">
        <v>16490.226168853387</v>
      </c>
      <c r="AO18" s="148">
        <v>16506.360581663677</v>
      </c>
      <c r="AP18" s="148">
        <v>16521.465925487206</v>
      </c>
      <c r="AQ18" s="148">
        <v>24817.029561355816</v>
      </c>
      <c r="AR18" s="148">
        <v>13648.428627870127</v>
      </c>
      <c r="AS18" s="148">
        <v>12808.739118026744</v>
      </c>
      <c r="AT18" s="148">
        <v>17088.223301563652</v>
      </c>
      <c r="AU18" s="148">
        <v>17103.49806398508</v>
      </c>
      <c r="AV18" s="148">
        <v>17121.307585743314</v>
      </c>
      <c r="AW18" s="148">
        <v>17121.307585743314</v>
      </c>
      <c r="AX18" s="148">
        <v>17139.034349500816</v>
      </c>
      <c r="AY18" s="148">
        <v>17155.874850304986</v>
      </c>
      <c r="AZ18" s="148">
        <v>17171.558279615761</v>
      </c>
      <c r="BA18" s="148">
        <v>17187.294939159216</v>
      </c>
      <c r="BB18" s="148">
        <v>17197.199416687217</v>
      </c>
      <c r="BC18" s="148">
        <v>25821.57760565987</v>
      </c>
      <c r="BD18" s="148">
        <v>14197.769656140279</v>
      </c>
      <c r="BE18" s="148">
        <v>13325.53757930113</v>
      </c>
      <c r="BF18" s="148">
        <v>17782.454002034076</v>
      </c>
      <c r="BG18" s="148">
        <v>17791.728194628478</v>
      </c>
      <c r="BH18" s="148">
        <v>17812.788340311592</v>
      </c>
      <c r="BI18" s="148">
        <v>17829.018177351794</v>
      </c>
      <c r="BJ18" s="148">
        <v>17842.929466243393</v>
      </c>
      <c r="BK18" s="148">
        <v>17859.633551768533</v>
      </c>
      <c r="BL18" s="148">
        <v>17873.931265351566</v>
      </c>
      <c r="BM18" s="148">
        <v>17883.205457945969</v>
      </c>
      <c r="BN18" s="148">
        <v>17899.899004615887</v>
      </c>
      <c r="BO18" s="148">
        <v>26875.524004749484</v>
      </c>
    </row>
    <row r="19" spans="1:69" s="148" customFormat="1">
      <c r="A19" s="22"/>
      <c r="B19" s="22"/>
      <c r="C19" s="64" t="str">
        <v>Mobile Plan commissions</v>
      </c>
      <c r="D19" s="48"/>
      <c r="E19" s="49"/>
      <c r="F19" s="50" t="s">
        <v>119</v>
      </c>
      <c r="G19" s="51"/>
      <c r="H19" s="148">
        <v>5331.8293333333349</v>
      </c>
      <c r="I19" s="148">
        <v>5003.703950000001</v>
      </c>
      <c r="J19" s="148">
        <v>6670.2085866666666</v>
      </c>
      <c r="K19" s="148">
        <v>6677.0580866666669</v>
      </c>
      <c r="L19" s="148">
        <v>6682.2767533333345</v>
      </c>
      <c r="M19" s="148">
        <v>6683.2518200000004</v>
      </c>
      <c r="N19" s="148">
        <v>6689.7249738461551</v>
      </c>
      <c r="O19" s="148">
        <v>6696.3428066435818</v>
      </c>
      <c r="P19" s="148">
        <v>6703.1468654671116</v>
      </c>
      <c r="Q19" s="148">
        <v>6710.8718654671111</v>
      </c>
      <c r="R19" s="148">
        <v>6717.7385321337779</v>
      </c>
      <c r="S19" s="148">
        <v>10087.546398200668</v>
      </c>
      <c r="T19" s="148">
        <v>5546.3650384782331</v>
      </c>
      <c r="U19" s="148">
        <v>5204.3889725019135</v>
      </c>
      <c r="V19" s="148">
        <v>6946.1102694143165</v>
      </c>
      <c r="W19" s="148">
        <v>6951.697676080983</v>
      </c>
      <c r="X19" s="148">
        <v>6958.7659223309829</v>
      </c>
      <c r="Y19" s="148">
        <v>6965.7372267160099</v>
      </c>
      <c r="Z19" s="148">
        <v>6972.4221596922007</v>
      </c>
      <c r="AA19" s="148">
        <v>6979.2562846012916</v>
      </c>
      <c r="AB19" s="148">
        <v>6984.9214906012921</v>
      </c>
      <c r="AC19" s="148">
        <v>6992.1519321397536</v>
      </c>
      <c r="AD19" s="148">
        <v>6998.5324878540396</v>
      </c>
      <c r="AE19" s="148">
        <v>10497.798731781055</v>
      </c>
      <c r="AF19" s="148">
        <v>5771.3656536983963</v>
      </c>
      <c r="AG19" s="148">
        <v>5416.1462535172459</v>
      </c>
      <c r="AH19" s="148">
        <v>7229.5780935896601</v>
      </c>
      <c r="AI19" s="148">
        <v>7236.8119463296598</v>
      </c>
      <c r="AJ19" s="148">
        <v>7242.7388975776603</v>
      </c>
      <c r="AK19" s="148">
        <v>7250.0055321276604</v>
      </c>
      <c r="AL19" s="148">
        <v>7255.5420155943266</v>
      </c>
      <c r="AM19" s="148">
        <v>7259.6798085009932</v>
      </c>
      <c r="AN19" s="148">
        <v>7266.547177416378</v>
      </c>
      <c r="AO19" s="148">
        <v>7273.5680362311696</v>
      </c>
      <c r="AP19" s="148">
        <v>7280.7864622370516</v>
      </c>
      <c r="AQ19" s="148">
        <v>10933.472872105578</v>
      </c>
      <c r="AR19" s="148">
        <v>6012.1238113966629</v>
      </c>
      <c r="AS19" s="148">
        <v>5642.342524965472</v>
      </c>
      <c r="AT19" s="148">
        <v>7531.8573149862304</v>
      </c>
      <c r="AU19" s="148">
        <v>7538.4656595706601</v>
      </c>
      <c r="AV19" s="148">
        <v>7545.8123631559338</v>
      </c>
      <c r="AW19" s="148">
        <v>7545.8123631559338</v>
      </c>
      <c r="AX19" s="148">
        <v>7553.3110656025583</v>
      </c>
      <c r="AY19" s="148">
        <v>7560.7069224246334</v>
      </c>
      <c r="AZ19" s="148">
        <v>7567.7989678190734</v>
      </c>
      <c r="BA19" s="148">
        <v>7575.0492909351278</v>
      </c>
      <c r="BB19" s="148">
        <v>7583.0629136623274</v>
      </c>
      <c r="BC19" s="148">
        <v>11386.100533635721</v>
      </c>
      <c r="BD19" s="148">
        <v>6260.3423242137605</v>
      </c>
      <c r="BE19" s="148">
        <v>5874.5311098403536</v>
      </c>
      <c r="BF19" s="148">
        <v>7838.7750141093065</v>
      </c>
      <c r="BG19" s="148">
        <v>7846.5421504071164</v>
      </c>
      <c r="BH19" s="148">
        <v>7855.0821360877926</v>
      </c>
      <c r="BI19" s="148">
        <v>7862.7565304596592</v>
      </c>
      <c r="BJ19" s="148">
        <v>7869.0444330386626</v>
      </c>
      <c r="BK19" s="148">
        <v>7876.7536056327572</v>
      </c>
      <c r="BL19" s="148">
        <v>7882.6272609425441</v>
      </c>
      <c r="BM19" s="148">
        <v>7887.0170454372264</v>
      </c>
      <c r="BN19" s="148">
        <v>7894.3026371195583</v>
      </c>
      <c r="BO19" s="148">
        <v>11852.626599354257</v>
      </c>
    </row>
    <row r="20" spans="1:69" s="332" customFormat="1" ht="12" customHeight="1">
      <c r="A20" s="31"/>
      <c r="B20" s="31"/>
      <c r="C20" s="70" t="s">
        <v>1172</v>
      </c>
      <c r="D20" s="70"/>
      <c r="E20" s="71"/>
      <c r="F20" s="72" t="s">
        <v>119</v>
      </c>
      <c r="G20" s="76"/>
      <c r="H20" s="214">
        <f>SUM(H17:H19)</f>
        <v>97466.867466666648</v>
      </c>
      <c r="I20" s="214">
        <f t="shared" ref="I20:BO20" si="2">SUM(I17:I19)</f>
        <v>91465.217974999978</v>
      </c>
      <c r="J20" s="214">
        <f t="shared" si="2"/>
        <v>121928.23652666663</v>
      </c>
      <c r="K20" s="214">
        <f t="shared" si="2"/>
        <v>122054.42557212121</v>
      </c>
      <c r="L20" s="214">
        <f t="shared" si="2"/>
        <v>122147.12557212119</v>
      </c>
      <c r="M20" s="214">
        <f t="shared" si="2"/>
        <v>122164.85530545453</v>
      </c>
      <c r="N20" s="214">
        <f t="shared" si="2"/>
        <v>122284.46682853145</v>
      </c>
      <c r="O20" s="214">
        <f t="shared" si="2"/>
        <v>122407.00404075009</v>
      </c>
      <c r="P20" s="214">
        <f t="shared" si="2"/>
        <v>122525.84180545597</v>
      </c>
      <c r="Q20" s="214">
        <f t="shared" si="2"/>
        <v>122693.28118045596</v>
      </c>
      <c r="R20" s="214">
        <f t="shared" si="2"/>
        <v>122821.92818045596</v>
      </c>
      <c r="S20" s="214">
        <f t="shared" si="2"/>
        <v>184413.81177068403</v>
      </c>
      <c r="T20" s="214">
        <f t="shared" si="2"/>
        <v>101366.52562069571</v>
      </c>
      <c r="U20" s="214">
        <f t="shared" si="2"/>
        <v>95121.801985830796</v>
      </c>
      <c r="V20" s="214">
        <f t="shared" si="2"/>
        <v>126957.57342718617</v>
      </c>
      <c r="W20" s="214">
        <f t="shared" si="2"/>
        <v>127069.5337405195</v>
      </c>
      <c r="X20" s="214">
        <f t="shared" si="2"/>
        <v>127197.74350551951</v>
      </c>
      <c r="Y20" s="214">
        <f t="shared" si="2"/>
        <v>127323.66439295266</v>
      </c>
      <c r="Z20" s="214">
        <f t="shared" si="2"/>
        <v>127445.47023717884</v>
      </c>
      <c r="AA20" s="214">
        <f t="shared" si="2"/>
        <v>127565.66634936066</v>
      </c>
      <c r="AB20" s="214">
        <f t="shared" si="2"/>
        <v>127639.05941136066</v>
      </c>
      <c r="AC20" s="214">
        <f t="shared" si="2"/>
        <v>127765.98385520681</v>
      </c>
      <c r="AD20" s="214">
        <f t="shared" si="2"/>
        <v>127888.54811663539</v>
      </c>
      <c r="AE20" s="214">
        <f t="shared" si="2"/>
        <v>191832.82217495309</v>
      </c>
      <c r="AF20" s="214">
        <f t="shared" si="2"/>
        <v>105467.58180810758</v>
      </c>
      <c r="AG20" s="214">
        <f t="shared" si="2"/>
        <v>98949.535063075862</v>
      </c>
      <c r="AH20" s="214">
        <f t="shared" si="2"/>
        <v>132092.83434716778</v>
      </c>
      <c r="AI20" s="214">
        <f t="shared" si="2"/>
        <v>132220.18439417108</v>
      </c>
      <c r="AJ20" s="214">
        <f t="shared" si="2"/>
        <v>132327.91853455512</v>
      </c>
      <c r="AK20" s="214">
        <f t="shared" si="2"/>
        <v>132461.79249287784</v>
      </c>
      <c r="AL20" s="214">
        <f t="shared" si="2"/>
        <v>132560.13792287785</v>
      </c>
      <c r="AM20" s="214">
        <f t="shared" si="2"/>
        <v>132635.37581925117</v>
      </c>
      <c r="AN20" s="214">
        <f t="shared" si="2"/>
        <v>132762.27168408351</v>
      </c>
      <c r="AO20" s="214">
        <f t="shared" si="2"/>
        <v>132892.27141252626</v>
      </c>
      <c r="AP20" s="214">
        <f t="shared" si="2"/>
        <v>133018.34639710272</v>
      </c>
      <c r="AQ20" s="214">
        <f t="shared" si="2"/>
        <v>199793.97424506038</v>
      </c>
      <c r="AR20" s="214">
        <f t="shared" si="2"/>
        <v>109865.95069224834</v>
      </c>
      <c r="AS20" s="214">
        <f t="shared" si="2"/>
        <v>103098.17658522108</v>
      </c>
      <c r="AT20" s="214">
        <f t="shared" si="2"/>
        <v>137573.63490329345</v>
      </c>
      <c r="AU20" s="214">
        <f t="shared" si="2"/>
        <v>137701.91075023887</v>
      </c>
      <c r="AV20" s="214">
        <f t="shared" si="2"/>
        <v>137838.24076345013</v>
      </c>
      <c r="AW20" s="214">
        <f t="shared" si="2"/>
        <v>137838.24076345013</v>
      </c>
      <c r="AX20" s="214">
        <f t="shared" si="2"/>
        <v>137974.25850313864</v>
      </c>
      <c r="AY20" s="214">
        <f t="shared" si="2"/>
        <v>138107.84797261647</v>
      </c>
      <c r="AZ20" s="214">
        <f t="shared" si="2"/>
        <v>138237.07179275603</v>
      </c>
      <c r="BA20" s="214">
        <f t="shared" si="2"/>
        <v>138364.58784816973</v>
      </c>
      <c r="BB20" s="214">
        <f t="shared" si="2"/>
        <v>138468.40478080412</v>
      </c>
      <c r="BC20" s="214">
        <f t="shared" si="2"/>
        <v>207904.58838492079</v>
      </c>
      <c r="BD20" s="214">
        <f t="shared" si="2"/>
        <v>114316.06397494162</v>
      </c>
      <c r="BE20" s="214">
        <f t="shared" si="2"/>
        <v>107281.48738452919</v>
      </c>
      <c r="BF20" s="214">
        <f t="shared" si="2"/>
        <v>143157.91058680226</v>
      </c>
      <c r="BG20" s="214">
        <f t="shared" si="2"/>
        <v>143262.12932608186</v>
      </c>
      <c r="BH20" s="214">
        <f t="shared" si="2"/>
        <v>143432.00162043594</v>
      </c>
      <c r="BI20" s="214">
        <f t="shared" si="2"/>
        <v>143567.10728530175</v>
      </c>
      <c r="BJ20" s="214">
        <f t="shared" si="2"/>
        <v>143681.40243483515</v>
      </c>
      <c r="BK20" s="214">
        <f t="shared" si="2"/>
        <v>143823.42931721974</v>
      </c>
      <c r="BL20" s="214">
        <f t="shared" si="2"/>
        <v>143927.76398390671</v>
      </c>
      <c r="BM20" s="214">
        <f t="shared" si="2"/>
        <v>144007.5838681692</v>
      </c>
      <c r="BN20" s="214">
        <f t="shared" si="2"/>
        <v>144142.20769116981</v>
      </c>
      <c r="BO20" s="214">
        <f t="shared" si="2"/>
        <v>216420.1866046121</v>
      </c>
      <c r="BP20" s="351"/>
      <c r="BQ20" s="351"/>
    </row>
    <row r="21" spans="1:69" s="148" customFormat="1" ht="12" customHeight="1">
      <c r="A21" s="31"/>
      <c r="B21" s="31"/>
      <c r="C21" s="31"/>
      <c r="D21" s="31"/>
      <c r="E21" s="32"/>
      <c r="F21" s="33"/>
      <c r="G21" s="78"/>
    </row>
    <row r="22" spans="1:69" s="148" customFormat="1" ht="12" customHeight="1">
      <c r="A22" s="31"/>
      <c r="B22" s="31"/>
      <c r="C22" s="42" t="s">
        <v>1173</v>
      </c>
      <c r="D22" s="31"/>
      <c r="E22" s="32"/>
      <c r="F22" s="33"/>
      <c r="G22" s="78"/>
    </row>
    <row r="23" spans="1:69" s="148" customFormat="1">
      <c r="A23" s="22"/>
      <c r="B23" s="22"/>
      <c r="C23" s="216" t="str" cm="1">
        <f t="array" ref="C23:C24">C321:C322</f>
        <v>Device Sales</v>
      </c>
      <c r="D23" s="217"/>
      <c r="E23" s="218"/>
      <c r="F23" s="219" t="s">
        <v>119</v>
      </c>
      <c r="G23" s="220"/>
      <c r="H23" s="223" cm="1">
        <f t="array" ref="H23:BO24">-H321:BO322</f>
        <v>-72022.857119999986</v>
      </c>
      <c r="I23" s="223">
        <v>-67588.119247499984</v>
      </c>
      <c r="J23" s="223">
        <v>-90098.681645999968</v>
      </c>
      <c r="K23" s="223">
        <v>-90192.730009636347</v>
      </c>
      <c r="L23" s="223">
        <v>-90260.030209636345</v>
      </c>
      <c r="M23" s="223">
        <v>-90273.25540963636</v>
      </c>
      <c r="N23" s="223">
        <v>-90361.731141944038</v>
      </c>
      <c r="O23" s="223">
        <v>-90452.371175063003</v>
      </c>
      <c r="P23" s="223">
        <v>-90540.3870985924</v>
      </c>
      <c r="Q23" s="223">
        <v>-90664.431286092411</v>
      </c>
      <c r="R23" s="223">
        <v>-90757.965586092396</v>
      </c>
      <c r="S23" s="223">
        <v>-136267.96128913868</v>
      </c>
      <c r="T23" s="223">
        <v>-74902.730928540142</v>
      </c>
      <c r="U23" s="223">
        <v>-70289.002864470676</v>
      </c>
      <c r="V23" s="223">
        <v>-93812.983247843251</v>
      </c>
      <c r="W23" s="223">
        <v>-93896.624603843258</v>
      </c>
      <c r="X23" s="223">
        <v>-93990.613713218248</v>
      </c>
      <c r="Y23" s="223">
        <v>-94083.381929512369</v>
      </c>
      <c r="Z23" s="223">
        <v>-94173.685926958802</v>
      </c>
      <c r="AA23" s="223">
        <v>-94262.361735686078</v>
      </c>
      <c r="AB23" s="223">
        <v>-94317.015060086065</v>
      </c>
      <c r="AC23" s="223">
        <v>-94410.160447932212</v>
      </c>
      <c r="AD23" s="223">
        <v>-94501.222041646499</v>
      </c>
      <c r="AE23" s="223">
        <v>-141751.83306246978</v>
      </c>
      <c r="AF23" s="223">
        <v>-77933.337986260754</v>
      </c>
      <c r="AG23" s="223">
        <v>-73117.971184639449</v>
      </c>
      <c r="AH23" s="223">
        <v>-97609.626216485907</v>
      </c>
      <c r="AI23" s="223">
        <v>-97703.962431122884</v>
      </c>
      <c r="AJ23" s="223">
        <v>-97783.787449745301</v>
      </c>
      <c r="AK23" s="223">
        <v>-97883.563358727115</v>
      </c>
      <c r="AL23" s="223">
        <v>-97954.962140907126</v>
      </c>
      <c r="AM23" s="223">
        <v>-98011.084599627124</v>
      </c>
      <c r="AN23" s="223">
        <v>-98104.948504032349</v>
      </c>
      <c r="AO23" s="223">
        <v>-98201.108515168249</v>
      </c>
      <c r="AP23" s="223">
        <v>-98294.484608440631</v>
      </c>
      <c r="AQ23" s="223">
        <v>-147639.1246304391</v>
      </c>
      <c r="AR23" s="223">
        <v>-81184.858427683386</v>
      </c>
      <c r="AS23" s="223">
        <v>-76182.385448005982</v>
      </c>
      <c r="AT23" s="223">
        <v>-101658.1988580692</v>
      </c>
      <c r="AU23" s="223">
        <v>-101753.95232401481</v>
      </c>
      <c r="AV23" s="223">
        <v>-101854.0087330958</v>
      </c>
      <c r="AW23" s="223">
        <v>-101854.0087330958</v>
      </c>
      <c r="AX23" s="223">
        <v>-101953.72177923174</v>
      </c>
      <c r="AY23" s="223">
        <v>-102052.13957989817</v>
      </c>
      <c r="AZ23" s="223">
        <v>-102147.94309078908</v>
      </c>
      <c r="BA23" s="223">
        <v>-102242.01925626786</v>
      </c>
      <c r="BB23" s="223">
        <v>-102319.32820540913</v>
      </c>
      <c r="BC23" s="223">
        <v>-153627.21922106267</v>
      </c>
      <c r="BD23" s="223">
        <v>-84472.156795128816</v>
      </c>
      <c r="BE23" s="223">
        <v>-79273.276825848938</v>
      </c>
      <c r="BF23" s="223">
        <v>-105783.013413593</v>
      </c>
      <c r="BG23" s="223">
        <v>-105861.47308294162</v>
      </c>
      <c r="BH23" s="223">
        <v>-105987.7180296329</v>
      </c>
      <c r="BI23" s="223">
        <v>-106087.79931974129</v>
      </c>
      <c r="BJ23" s="223">
        <v>-106172.4856819978</v>
      </c>
      <c r="BK23" s="223">
        <v>-106278.33794383661</v>
      </c>
      <c r="BL23" s="223">
        <v>-106354.08491185136</v>
      </c>
      <c r="BM23" s="223">
        <v>-106413.62522830741</v>
      </c>
      <c r="BN23" s="223">
        <v>-106513.20544449093</v>
      </c>
      <c r="BO23" s="223">
        <v>-159922.83240045753</v>
      </c>
      <c r="BP23" s="350"/>
      <c r="BQ23" s="350"/>
    </row>
    <row r="24" spans="1:69" s="148" customFormat="1">
      <c r="A24" s="22"/>
      <c r="B24" s="22"/>
      <c r="C24" s="64" t="str">
        <v>Accessory Sales</v>
      </c>
      <c r="D24" s="48"/>
      <c r="E24" s="49"/>
      <c r="F24" s="50" t="s">
        <v>119</v>
      </c>
      <c r="G24" s="51"/>
      <c r="H24" s="148">
        <v>-3632.8924000000015</v>
      </c>
      <c r="I24" s="148">
        <v>-3409.0811250000011</v>
      </c>
      <c r="J24" s="148">
        <v>-4544.5145000000011</v>
      </c>
      <c r="K24" s="148">
        <v>-4548.9669090909101</v>
      </c>
      <c r="L24" s="148">
        <v>-4552.7779090909098</v>
      </c>
      <c r="M24" s="148">
        <v>-4553.3959090909102</v>
      </c>
      <c r="N24" s="148">
        <v>-4557.8455090909101</v>
      </c>
      <c r="O24" s="148">
        <v>-4562.4079785442864</v>
      </c>
      <c r="P24" s="148">
        <v>-4566.6794491325218</v>
      </c>
      <c r="Q24" s="148">
        <v>-4573.2456991325216</v>
      </c>
      <c r="R24" s="148">
        <v>-4578.6016991325214</v>
      </c>
      <c r="S24" s="148">
        <v>-6875.2258486987839</v>
      </c>
      <c r="T24" s="148">
        <v>-3778.471198485197</v>
      </c>
      <c r="U24" s="148">
        <v>-3545.5562825084439</v>
      </c>
      <c r="V24" s="148">
        <v>-4732.4445313838078</v>
      </c>
      <c r="W24" s="148">
        <v>-4736.4759513838071</v>
      </c>
      <c r="X24" s="148">
        <v>-4741.4887038838069</v>
      </c>
      <c r="Y24" s="148">
        <v>-4746.25084003354</v>
      </c>
      <c r="Z24" s="148">
        <v>-4750.6857809263965</v>
      </c>
      <c r="AA24" s="148">
        <v>-4755.1357741991242</v>
      </c>
      <c r="AB24" s="148">
        <v>-4757.2363561991242</v>
      </c>
      <c r="AC24" s="148">
        <v>-4762.0960942760476</v>
      </c>
      <c r="AD24" s="148">
        <v>-4766.5973414189048</v>
      </c>
      <c r="AE24" s="148">
        <v>-7149.8960121283562</v>
      </c>
      <c r="AF24" s="148">
        <v>-3931.0855175691786</v>
      </c>
      <c r="AG24" s="148">
        <v>-3687.3595813211045</v>
      </c>
      <c r="AH24" s="148">
        <v>-4922.4348039114711</v>
      </c>
      <c r="AI24" s="148">
        <v>-4927.024257311471</v>
      </c>
      <c r="AJ24" s="148">
        <v>-4930.9580745114708</v>
      </c>
      <c r="AK24" s="148">
        <v>-4935.6816353160175</v>
      </c>
      <c r="AL24" s="148">
        <v>-4939.7247252160169</v>
      </c>
      <c r="AM24" s="148">
        <v>-4942.3472700160173</v>
      </c>
      <c r="AN24" s="148">
        <v>-4947.0678506560171</v>
      </c>
      <c r="AO24" s="148">
        <v>-4951.9081744991036</v>
      </c>
      <c r="AP24" s="148">
        <v>-4956.4397776461628</v>
      </c>
      <c r="AQ24" s="148">
        <v>-7445.1088684067454</v>
      </c>
      <c r="AR24" s="148">
        <v>-4094.5285883610391</v>
      </c>
      <c r="AS24" s="148">
        <v>-3842.6217354080236</v>
      </c>
      <c r="AT24" s="148">
        <v>-5126.4669904690963</v>
      </c>
      <c r="AU24" s="148">
        <v>-5131.0494191955249</v>
      </c>
      <c r="AV24" s="148">
        <v>-5136.3922757229948</v>
      </c>
      <c r="AW24" s="148">
        <v>-5136.3922757229948</v>
      </c>
      <c r="AX24" s="148">
        <v>-5141.7103048502458</v>
      </c>
      <c r="AY24" s="148">
        <v>-5146.762455091497</v>
      </c>
      <c r="AZ24" s="148">
        <v>-5151.4674838847295</v>
      </c>
      <c r="BA24" s="148">
        <v>-5156.1884817477658</v>
      </c>
      <c r="BB24" s="148">
        <v>-5159.1598250061661</v>
      </c>
      <c r="BC24" s="148">
        <v>-7746.4732816979622</v>
      </c>
      <c r="BD24" s="148">
        <v>-4259.3308968420843</v>
      </c>
      <c r="BE24" s="148">
        <v>-3997.6612737903397</v>
      </c>
      <c r="BF24" s="148">
        <v>-5334.736200610223</v>
      </c>
      <c r="BG24" s="148">
        <v>-5337.5184583885439</v>
      </c>
      <c r="BH24" s="148">
        <v>-5343.836502093478</v>
      </c>
      <c r="BI24" s="148">
        <v>-5348.705453205539</v>
      </c>
      <c r="BJ24" s="148">
        <v>-5352.8788398730185</v>
      </c>
      <c r="BK24" s="148">
        <v>-5357.8900655305606</v>
      </c>
      <c r="BL24" s="148">
        <v>-5362.1793796054708</v>
      </c>
      <c r="BM24" s="148">
        <v>-5364.9616373837916</v>
      </c>
      <c r="BN24" s="148">
        <v>-5369.9697013847672</v>
      </c>
      <c r="BO24" s="148">
        <v>-8062.6572014248468</v>
      </c>
    </row>
    <row r="25" spans="1:69" s="148" customFormat="1">
      <c r="A25" s="22"/>
      <c r="B25" s="22"/>
      <c r="C25" s="64" t="s">
        <v>155</v>
      </c>
      <c r="D25" s="48"/>
      <c r="E25" s="49"/>
      <c r="F25" s="50" t="s">
        <v>119</v>
      </c>
      <c r="G25" s="51"/>
      <c r="H25" s="148">
        <v>0</v>
      </c>
      <c r="I25" s="148">
        <v>0</v>
      </c>
      <c r="J25" s="148">
        <v>0</v>
      </c>
      <c r="K25" s="148">
        <v>0</v>
      </c>
      <c r="L25" s="148">
        <v>0</v>
      </c>
      <c r="M25" s="148">
        <v>0</v>
      </c>
      <c r="N25" s="148">
        <v>0</v>
      </c>
      <c r="O25" s="148">
        <v>0</v>
      </c>
      <c r="P25" s="148">
        <v>0</v>
      </c>
      <c r="Q25" s="148">
        <v>0</v>
      </c>
      <c r="R25" s="148">
        <v>0</v>
      </c>
      <c r="S25" s="148">
        <v>0</v>
      </c>
      <c r="T25" s="148">
        <v>0</v>
      </c>
      <c r="U25" s="148">
        <v>0</v>
      </c>
      <c r="V25" s="148">
        <v>0</v>
      </c>
      <c r="W25" s="148">
        <v>0</v>
      </c>
      <c r="X25" s="148">
        <v>0</v>
      </c>
      <c r="Y25" s="148">
        <v>0</v>
      </c>
      <c r="Z25" s="148">
        <v>0</v>
      </c>
      <c r="AA25" s="148">
        <v>0</v>
      </c>
      <c r="AB25" s="148">
        <v>0</v>
      </c>
      <c r="AC25" s="148">
        <v>0</v>
      </c>
      <c r="AD25" s="148">
        <v>0</v>
      </c>
      <c r="AE25" s="148">
        <v>0</v>
      </c>
      <c r="AF25" s="148">
        <v>0</v>
      </c>
      <c r="AG25" s="148">
        <v>0</v>
      </c>
      <c r="AH25" s="148">
        <v>0</v>
      </c>
      <c r="AI25" s="148">
        <v>0</v>
      </c>
      <c r="AJ25" s="148">
        <v>0</v>
      </c>
      <c r="AK25" s="148">
        <v>0</v>
      </c>
      <c r="AL25" s="148">
        <v>0</v>
      </c>
      <c r="AM25" s="148">
        <v>0</v>
      </c>
      <c r="AN25" s="148">
        <v>0</v>
      </c>
      <c r="AO25" s="148">
        <v>0</v>
      </c>
      <c r="AP25" s="148">
        <v>0</v>
      </c>
      <c r="AQ25" s="148">
        <v>0</v>
      </c>
      <c r="AR25" s="148">
        <v>0</v>
      </c>
      <c r="AS25" s="148">
        <v>0</v>
      </c>
      <c r="AT25" s="148">
        <v>0</v>
      </c>
      <c r="AU25" s="148">
        <v>0</v>
      </c>
      <c r="AV25" s="148">
        <v>0</v>
      </c>
      <c r="AW25" s="148">
        <v>0</v>
      </c>
      <c r="AX25" s="148">
        <v>0</v>
      </c>
      <c r="AY25" s="148">
        <v>0</v>
      </c>
      <c r="AZ25" s="148">
        <v>0</v>
      </c>
      <c r="BA25" s="148">
        <v>0</v>
      </c>
      <c r="BB25" s="148">
        <v>0</v>
      </c>
      <c r="BC25" s="148">
        <v>0</v>
      </c>
      <c r="BD25" s="148">
        <v>0</v>
      </c>
      <c r="BE25" s="148">
        <v>0</v>
      </c>
      <c r="BF25" s="148">
        <v>0</v>
      </c>
      <c r="BG25" s="148">
        <v>0</v>
      </c>
      <c r="BH25" s="148">
        <v>0</v>
      </c>
      <c r="BI25" s="148">
        <v>0</v>
      </c>
      <c r="BJ25" s="148">
        <v>0</v>
      </c>
      <c r="BK25" s="148">
        <v>0</v>
      </c>
      <c r="BL25" s="148">
        <v>0</v>
      </c>
      <c r="BM25" s="148">
        <v>0</v>
      </c>
      <c r="BN25" s="148">
        <v>0</v>
      </c>
      <c r="BO25" s="148">
        <v>0</v>
      </c>
    </row>
    <row r="26" spans="1:69" s="148" customFormat="1">
      <c r="A26" s="31"/>
      <c r="B26" s="31"/>
      <c r="C26" s="70" t="s">
        <v>1174</v>
      </c>
      <c r="D26" s="221"/>
      <c r="E26" s="222"/>
      <c r="F26" s="72" t="s">
        <v>119</v>
      </c>
      <c r="G26" s="73"/>
      <c r="H26" s="223">
        <f>SUM(H23:H25)</f>
        <v>-75655.749519999983</v>
      </c>
      <c r="I26" s="223">
        <f t="shared" ref="I26:BO26" si="3">SUM(I23:I25)</f>
        <v>-70997.200372499981</v>
      </c>
      <c r="J26" s="223">
        <f t="shared" si="3"/>
        <v>-94643.196145999973</v>
      </c>
      <c r="K26" s="223">
        <f t="shared" si="3"/>
        <v>-94741.696918727263</v>
      </c>
      <c r="L26" s="223">
        <f t="shared" si="3"/>
        <v>-94812.808118727262</v>
      </c>
      <c r="M26" s="223">
        <f t="shared" si="3"/>
        <v>-94826.651318727265</v>
      </c>
      <c r="N26" s="223">
        <f t="shared" si="3"/>
        <v>-94919.576651034949</v>
      </c>
      <c r="O26" s="223">
        <f t="shared" si="3"/>
        <v>-95014.779153607291</v>
      </c>
      <c r="P26" s="223">
        <f t="shared" si="3"/>
        <v>-95107.066547724928</v>
      </c>
      <c r="Q26" s="223">
        <f t="shared" si="3"/>
        <v>-95237.676985224927</v>
      </c>
      <c r="R26" s="223">
        <f t="shared" si="3"/>
        <v>-95336.567285224912</v>
      </c>
      <c r="S26" s="223">
        <f t="shared" si="3"/>
        <v>-143143.18713783746</v>
      </c>
      <c r="T26" s="223">
        <f t="shared" si="3"/>
        <v>-78681.202127025346</v>
      </c>
      <c r="U26" s="223">
        <f t="shared" si="3"/>
        <v>-73834.559146979125</v>
      </c>
      <c r="V26" s="223">
        <f t="shared" si="3"/>
        <v>-98545.427779227059</v>
      </c>
      <c r="W26" s="223">
        <f t="shared" si="3"/>
        <v>-98633.100555227065</v>
      </c>
      <c r="X26" s="223">
        <f t="shared" si="3"/>
        <v>-98732.102417102054</v>
      </c>
      <c r="Y26" s="223">
        <f t="shared" si="3"/>
        <v>-98829.632769545904</v>
      </c>
      <c r="Z26" s="223">
        <f t="shared" si="3"/>
        <v>-98924.371707885206</v>
      </c>
      <c r="AA26" s="223">
        <f t="shared" si="3"/>
        <v>-99017.497509885201</v>
      </c>
      <c r="AB26" s="223">
        <f t="shared" si="3"/>
        <v>-99074.251416285188</v>
      </c>
      <c r="AC26" s="223">
        <f t="shared" si="3"/>
        <v>-99172.256542208255</v>
      </c>
      <c r="AD26" s="223">
        <f t="shared" si="3"/>
        <v>-99267.819383065405</v>
      </c>
      <c r="AE26" s="223">
        <f t="shared" si="3"/>
        <v>-148901.72907459814</v>
      </c>
      <c r="AF26" s="223">
        <f t="shared" si="3"/>
        <v>-81864.423503829938</v>
      </c>
      <c r="AG26" s="223">
        <f t="shared" si="3"/>
        <v>-76805.330765960549</v>
      </c>
      <c r="AH26" s="223">
        <f t="shared" si="3"/>
        <v>-102532.06102039738</v>
      </c>
      <c r="AI26" s="223">
        <f t="shared" si="3"/>
        <v>-102630.98668843435</v>
      </c>
      <c r="AJ26" s="223">
        <f t="shared" si="3"/>
        <v>-102714.74552425677</v>
      </c>
      <c r="AK26" s="223">
        <f t="shared" si="3"/>
        <v>-102819.24499404314</v>
      </c>
      <c r="AL26" s="223">
        <f t="shared" si="3"/>
        <v>-102894.68686612314</v>
      </c>
      <c r="AM26" s="223">
        <f t="shared" si="3"/>
        <v>-102953.43186964314</v>
      </c>
      <c r="AN26" s="223">
        <f t="shared" si="3"/>
        <v>-103052.01635468837</v>
      </c>
      <c r="AO26" s="223">
        <f t="shared" si="3"/>
        <v>-103153.01668966735</v>
      </c>
      <c r="AP26" s="223">
        <f t="shared" si="3"/>
        <v>-103250.92438608679</v>
      </c>
      <c r="AQ26" s="223">
        <f t="shared" si="3"/>
        <v>-155084.23349884583</v>
      </c>
      <c r="AR26" s="223">
        <f t="shared" si="3"/>
        <v>-85279.38701604442</v>
      </c>
      <c r="AS26" s="223">
        <f t="shared" si="3"/>
        <v>-80025.007183414011</v>
      </c>
      <c r="AT26" s="223">
        <f t="shared" si="3"/>
        <v>-106784.66584853829</v>
      </c>
      <c r="AU26" s="223">
        <f t="shared" si="3"/>
        <v>-106885.00174321033</v>
      </c>
      <c r="AV26" s="223">
        <f t="shared" si="3"/>
        <v>-106990.40100881879</v>
      </c>
      <c r="AW26" s="223">
        <f t="shared" si="3"/>
        <v>-106990.40100881879</v>
      </c>
      <c r="AX26" s="223">
        <f t="shared" si="3"/>
        <v>-107095.43208408199</v>
      </c>
      <c r="AY26" s="223">
        <f t="shared" si="3"/>
        <v>-107198.90203498966</v>
      </c>
      <c r="AZ26" s="223">
        <f t="shared" si="3"/>
        <v>-107299.41057467381</v>
      </c>
      <c r="BA26" s="223">
        <f t="shared" si="3"/>
        <v>-107398.20773801563</v>
      </c>
      <c r="BB26" s="223">
        <f t="shared" si="3"/>
        <v>-107478.48803041529</v>
      </c>
      <c r="BC26" s="223">
        <f t="shared" si="3"/>
        <v>-161373.69250276062</v>
      </c>
      <c r="BD26" s="223">
        <f t="shared" si="3"/>
        <v>-88731.487691970906</v>
      </c>
      <c r="BE26" s="223">
        <f t="shared" si="3"/>
        <v>-83270.938099639272</v>
      </c>
      <c r="BF26" s="223">
        <f t="shared" si="3"/>
        <v>-111117.74961420322</v>
      </c>
      <c r="BG26" s="223">
        <f t="shared" si="3"/>
        <v>-111198.99154133016</v>
      </c>
      <c r="BH26" s="223">
        <f t="shared" si="3"/>
        <v>-111331.55453172637</v>
      </c>
      <c r="BI26" s="223">
        <f t="shared" si="3"/>
        <v>-111436.50477294682</v>
      </c>
      <c r="BJ26" s="223">
        <f t="shared" si="3"/>
        <v>-111525.36452187083</v>
      </c>
      <c r="BK26" s="223">
        <f t="shared" si="3"/>
        <v>-111636.22800936717</v>
      </c>
      <c r="BL26" s="223">
        <f t="shared" si="3"/>
        <v>-111716.26429145683</v>
      </c>
      <c r="BM26" s="223">
        <f t="shared" si="3"/>
        <v>-111778.58686569121</v>
      </c>
      <c r="BN26" s="223">
        <f t="shared" si="3"/>
        <v>-111883.17514587569</v>
      </c>
      <c r="BO26" s="223">
        <f t="shared" si="3"/>
        <v>-167985.48960188238</v>
      </c>
      <c r="BP26" s="350"/>
      <c r="BQ26" s="350"/>
    </row>
    <row r="27" spans="1:69">
      <c r="C27" s="47"/>
      <c r="D27" s="48"/>
      <c r="E27" s="49"/>
      <c r="F27" s="50"/>
      <c r="G27" s="51"/>
      <c r="H27" s="47"/>
      <c r="I27" s="47"/>
      <c r="J27" s="47"/>
      <c r="K27" s="47"/>
      <c r="L27" s="47"/>
      <c r="M27" s="47"/>
      <c r="N27" s="47"/>
      <c r="O27" s="47"/>
      <c r="P27" s="47"/>
      <c r="Q27" s="47"/>
      <c r="R27" s="47"/>
      <c r="S27" s="47"/>
      <c r="T27" s="47"/>
      <c r="U27" s="47"/>
      <c r="V27" s="47"/>
      <c r="W27" s="47"/>
      <c r="X27" s="47"/>
      <c r="Y27" s="47"/>
      <c r="Z27" s="47"/>
      <c r="AA27" s="47"/>
      <c r="AB27" s="47"/>
      <c r="AC27" s="47"/>
      <c r="AD27" s="47"/>
      <c r="AE27" s="47"/>
      <c r="AF27" s="47"/>
      <c r="AG27" s="47"/>
      <c r="AH27" s="47"/>
      <c r="AI27" s="47"/>
      <c r="AJ27" s="47"/>
      <c r="AK27" s="47"/>
      <c r="AL27" s="47"/>
      <c r="AM27" s="47"/>
      <c r="AN27" s="47"/>
      <c r="AO27" s="47"/>
      <c r="AP27" s="47"/>
      <c r="AQ27" s="47"/>
      <c r="AR27" s="47"/>
      <c r="AS27" s="47"/>
      <c r="AT27" s="47"/>
      <c r="AU27" s="47"/>
      <c r="AV27" s="47"/>
      <c r="AW27" s="47"/>
      <c r="AX27" s="47"/>
      <c r="AY27" s="47"/>
      <c r="AZ27" s="47"/>
      <c r="BA27" s="47"/>
      <c r="BB27" s="47"/>
      <c r="BC27" s="47"/>
      <c r="BD27" s="47"/>
      <c r="BE27" s="47"/>
      <c r="BF27" s="47"/>
      <c r="BG27" s="47"/>
      <c r="BH27" s="47"/>
      <c r="BI27" s="47"/>
      <c r="BJ27" s="47"/>
      <c r="BK27" s="47"/>
      <c r="BL27" s="47"/>
      <c r="BM27" s="47"/>
      <c r="BN27" s="47"/>
      <c r="BO27" s="47"/>
      <c r="BP27" s="47"/>
      <c r="BQ27" s="47"/>
    </row>
    <row r="28" spans="1:69" s="31" customFormat="1" ht="12" customHeight="1">
      <c r="C28" s="52" t="s">
        <v>1175</v>
      </c>
      <c r="D28" s="53"/>
      <c r="E28" s="54"/>
      <c r="F28" s="55"/>
      <c r="G28" s="56"/>
      <c r="H28" s="224" cm="1">
        <f t="array" ref="H28:BO28">H20:BO20+H26:BO26</f>
        <v>21811.117946666665</v>
      </c>
      <c r="I28" s="224">
        <v>20468.017602499996</v>
      </c>
      <c r="J28" s="224">
        <v>27285.040380666658</v>
      </c>
      <c r="K28" s="224">
        <v>27312.728653393948</v>
      </c>
      <c r="L28" s="224">
        <v>27334.317453393931</v>
      </c>
      <c r="M28" s="224">
        <v>27338.203986727269</v>
      </c>
      <c r="N28" s="224">
        <v>27364.890177496505</v>
      </c>
      <c r="O28" s="224">
        <v>27392.224887142802</v>
      </c>
      <c r="P28" s="224">
        <v>27418.775257731046</v>
      </c>
      <c r="Q28" s="224">
        <v>27455.604195231033</v>
      </c>
      <c r="R28" s="224">
        <v>27485.360895231046</v>
      </c>
      <c r="S28" s="224">
        <v>41270.624632846564</v>
      </c>
      <c r="T28" s="224">
        <v>22685.323493670367</v>
      </c>
      <c r="U28" s="224">
        <v>21287.242838851671</v>
      </c>
      <c r="V28" s="224">
        <v>28412.145647959114</v>
      </c>
      <c r="W28" s="224">
        <v>28436.433185292437</v>
      </c>
      <c r="X28" s="224">
        <v>28465.641088417455</v>
      </c>
      <c r="Y28" s="224">
        <v>28494.031623406758</v>
      </c>
      <c r="Z28" s="224">
        <v>28521.098529293638</v>
      </c>
      <c r="AA28" s="224">
        <v>28548.16883947546</v>
      </c>
      <c r="AB28" s="224">
        <v>28564.807995075476</v>
      </c>
      <c r="AC28" s="224">
        <v>28593.727312998555</v>
      </c>
      <c r="AD28" s="224">
        <v>28620.72873356998</v>
      </c>
      <c r="AE28" s="224">
        <v>42931.093100354949</v>
      </c>
      <c r="AF28" s="224">
        <v>23603.158304277647</v>
      </c>
      <c r="AG28" s="224">
        <v>22144.204297115313</v>
      </c>
      <c r="AH28" s="224">
        <v>29560.773326770402</v>
      </c>
      <c r="AI28" s="224">
        <v>29589.197705736733</v>
      </c>
      <c r="AJ28" s="224">
        <v>29613.173010298357</v>
      </c>
      <c r="AK28" s="224">
        <v>29642.547498834698</v>
      </c>
      <c r="AL28" s="224">
        <v>29665.451056754711</v>
      </c>
      <c r="AM28" s="224">
        <v>29681.94394960803</v>
      </c>
      <c r="AN28" s="224">
        <v>29710.255329395135</v>
      </c>
      <c r="AO28" s="224">
        <v>29739.25472285891</v>
      </c>
      <c r="AP28" s="224">
        <v>29767.422011015937</v>
      </c>
      <c r="AQ28" s="224">
        <v>44709.740746214549</v>
      </c>
      <c r="AR28" s="224">
        <v>24586.563676203921</v>
      </c>
      <c r="AS28" s="224">
        <v>23073.16940180707</v>
      </c>
      <c r="AT28" s="224">
        <v>30788.969054755158</v>
      </c>
      <c r="AU28" s="224">
        <v>30816.909007028531</v>
      </c>
      <c r="AV28" s="224">
        <v>30847.839754631335</v>
      </c>
      <c r="AW28" s="224">
        <v>30847.839754631335</v>
      </c>
      <c r="AX28" s="224">
        <v>30878.826419056655</v>
      </c>
      <c r="AY28" s="224">
        <v>30908.945937626806</v>
      </c>
      <c r="AZ28" s="224">
        <v>30937.661218082227</v>
      </c>
      <c r="BA28" s="224">
        <v>30966.380110154103</v>
      </c>
      <c r="BB28" s="224">
        <v>30989.916750388831</v>
      </c>
      <c r="BC28" s="224">
        <v>46530.89588216017</v>
      </c>
      <c r="BD28" s="224">
        <v>25584.576282970709</v>
      </c>
      <c r="BE28" s="224">
        <v>24010.549284889916</v>
      </c>
      <c r="BF28" s="224">
        <v>32040.160972599042</v>
      </c>
      <c r="BG28" s="224">
        <v>32063.1377847517</v>
      </c>
      <c r="BH28" s="224">
        <v>32100.447088709567</v>
      </c>
      <c r="BI28" s="224">
        <v>32130.602512354933</v>
      </c>
      <c r="BJ28" s="224">
        <v>32156.037912964326</v>
      </c>
      <c r="BK28" s="224">
        <v>32187.201307852563</v>
      </c>
      <c r="BL28" s="224">
        <v>32211.499692449885</v>
      </c>
      <c r="BM28" s="224">
        <v>32228.99700247799</v>
      </c>
      <c r="BN28" s="224">
        <v>32259.032545294118</v>
      </c>
      <c r="BO28" s="224">
        <v>48434.697002729721</v>
      </c>
      <c r="BP28" s="352"/>
      <c r="BQ28" s="352"/>
    </row>
    <row r="29" spans="1:69">
      <c r="C29" s="47"/>
      <c r="D29" s="48"/>
      <c r="E29" s="49"/>
      <c r="F29" s="50"/>
      <c r="G29" s="51"/>
      <c r="H29" s="47"/>
      <c r="I29" s="47"/>
      <c r="J29" s="47"/>
      <c r="K29" s="47"/>
      <c r="L29" s="47"/>
      <c r="M29" s="47"/>
      <c r="N29" s="47"/>
      <c r="O29" s="47"/>
      <c r="P29" s="47"/>
      <c r="Q29" s="47"/>
      <c r="R29" s="47"/>
      <c r="S29" s="47"/>
      <c r="T29" s="47"/>
      <c r="U29" s="47"/>
      <c r="V29" s="47"/>
      <c r="W29" s="47"/>
      <c r="X29" s="47"/>
      <c r="Y29" s="47"/>
      <c r="Z29" s="47"/>
      <c r="AA29" s="47"/>
      <c r="AB29" s="47"/>
      <c r="AC29" s="47"/>
      <c r="AD29" s="47"/>
      <c r="AE29" s="47"/>
      <c r="AF29" s="47"/>
      <c r="AG29" s="47"/>
      <c r="AH29" s="47"/>
      <c r="AI29" s="47"/>
      <c r="AJ29" s="47"/>
      <c r="AK29" s="47"/>
      <c r="AL29" s="47"/>
      <c r="AM29" s="47"/>
      <c r="AN29" s="47"/>
      <c r="AO29" s="47"/>
      <c r="AP29" s="47"/>
      <c r="AQ29" s="47"/>
      <c r="AR29" s="47"/>
      <c r="AS29" s="47"/>
      <c r="AT29" s="47"/>
      <c r="AU29" s="47"/>
      <c r="AV29" s="47"/>
      <c r="AW29" s="47"/>
      <c r="AX29" s="47"/>
      <c r="AY29" s="47"/>
      <c r="AZ29" s="47"/>
      <c r="BA29" s="47"/>
      <c r="BB29" s="47"/>
      <c r="BC29" s="47"/>
      <c r="BD29" s="47"/>
      <c r="BE29" s="47"/>
      <c r="BF29" s="47"/>
      <c r="BG29" s="47"/>
      <c r="BH29" s="47"/>
      <c r="BI29" s="47"/>
      <c r="BJ29" s="47"/>
      <c r="BK29" s="47"/>
      <c r="BL29" s="47"/>
      <c r="BM29" s="47"/>
      <c r="BN29" s="47"/>
      <c r="BO29" s="47"/>
      <c r="BP29" s="47"/>
      <c r="BQ29" s="47"/>
    </row>
    <row r="30" spans="1:69">
      <c r="C30" s="42" t="s">
        <v>1176</v>
      </c>
      <c r="D30" s="48"/>
      <c r="E30" s="49"/>
      <c r="F30" s="33"/>
      <c r="G30" s="51"/>
      <c r="H30" s="47"/>
      <c r="I30" s="47"/>
      <c r="J30" s="47"/>
      <c r="K30" s="47"/>
      <c r="L30" s="47"/>
      <c r="M30" s="47"/>
      <c r="N30" s="47"/>
      <c r="O30" s="47"/>
      <c r="P30" s="47"/>
      <c r="Q30" s="47"/>
      <c r="R30" s="47"/>
      <c r="S30" s="47"/>
      <c r="T30" s="47"/>
      <c r="U30" s="47"/>
      <c r="V30" s="47"/>
      <c r="W30" s="47"/>
      <c r="X30" s="47"/>
      <c r="Y30" s="47"/>
      <c r="Z30" s="47"/>
      <c r="AA30" s="47"/>
      <c r="AB30" s="47"/>
      <c r="AC30" s="47"/>
      <c r="AD30" s="47"/>
      <c r="AE30" s="47"/>
      <c r="AF30" s="47"/>
      <c r="AG30" s="47"/>
      <c r="AH30" s="47"/>
      <c r="AI30" s="47"/>
      <c r="AJ30" s="47"/>
      <c r="AK30" s="47"/>
      <c r="AL30" s="47"/>
      <c r="AM30" s="47"/>
      <c r="AN30" s="47"/>
      <c r="AO30" s="47"/>
      <c r="AP30" s="47"/>
      <c r="AQ30" s="47"/>
      <c r="AR30" s="47"/>
      <c r="AS30" s="47"/>
      <c r="AT30" s="47"/>
      <c r="AU30" s="47"/>
      <c r="AV30" s="47"/>
      <c r="AW30" s="47"/>
      <c r="AX30" s="47"/>
      <c r="AY30" s="47"/>
      <c r="AZ30" s="47"/>
      <c r="BA30" s="47"/>
      <c r="BB30" s="47"/>
      <c r="BC30" s="47"/>
      <c r="BD30" s="47"/>
      <c r="BE30" s="47"/>
      <c r="BF30" s="47"/>
      <c r="BG30" s="47"/>
      <c r="BH30" s="47"/>
      <c r="BI30" s="47"/>
      <c r="BJ30" s="47"/>
      <c r="BK30" s="47"/>
      <c r="BL30" s="47"/>
      <c r="BM30" s="47"/>
      <c r="BN30" s="47"/>
      <c r="BO30" s="47"/>
      <c r="BP30" s="47"/>
      <c r="BQ30" s="47"/>
    </row>
    <row r="31" spans="1:69">
      <c r="C31" s="216" t="str" cm="1">
        <f t="array" ref="C31:C33">C432:C434</f>
        <v>Payroll</v>
      </c>
      <c r="D31" s="217"/>
      <c r="E31" s="218"/>
      <c r="F31" s="219" t="s">
        <v>119</v>
      </c>
      <c r="G31" s="220"/>
      <c r="H31" s="223" cm="1">
        <f t="array" ref="H31:BO33">-H432:BO434</f>
        <v>-8768.1839999999993</v>
      </c>
      <c r="I31" s="223">
        <v>-8775.6</v>
      </c>
      <c r="J31" s="223">
        <v>-8783.0159999999996</v>
      </c>
      <c r="K31" s="223">
        <v>-8790.4320000000007</v>
      </c>
      <c r="L31" s="223">
        <v>-8797.848</v>
      </c>
      <c r="M31" s="223">
        <v>-8805.2639999999992</v>
      </c>
      <c r="N31" s="223">
        <v>-8812.68</v>
      </c>
      <c r="O31" s="223">
        <v>-8820.0959999999995</v>
      </c>
      <c r="P31" s="223">
        <v>-8827.5120000000006</v>
      </c>
      <c r="Q31" s="223">
        <v>-8834.9279999999999</v>
      </c>
      <c r="R31" s="223">
        <v>-8842.3439999999991</v>
      </c>
      <c r="S31" s="223">
        <v>-8849.76</v>
      </c>
      <c r="T31" s="223">
        <v>-9122.8912799999998</v>
      </c>
      <c r="U31" s="223">
        <v>-9130.5297599999994</v>
      </c>
      <c r="V31" s="223">
        <v>-9138.1682400000009</v>
      </c>
      <c r="W31" s="223">
        <v>-9145.8067199999987</v>
      </c>
      <c r="X31" s="223">
        <v>-9153.4452000000001</v>
      </c>
      <c r="Y31" s="223">
        <v>-9161.0836799999997</v>
      </c>
      <c r="Z31" s="223">
        <v>-9168.7221599999993</v>
      </c>
      <c r="AA31" s="223">
        <v>-9176.360639999999</v>
      </c>
      <c r="AB31" s="223">
        <v>-9183.9991199999986</v>
      </c>
      <c r="AC31" s="223">
        <v>-9191.6376</v>
      </c>
      <c r="AD31" s="223">
        <v>-9199.2760799999996</v>
      </c>
      <c r="AE31" s="223">
        <v>-9206.9145599999993</v>
      </c>
      <c r="AF31" s="223">
        <v>-9490.9896312000001</v>
      </c>
      <c r="AG31" s="223">
        <v>-9498.8572655999997</v>
      </c>
      <c r="AH31" s="223">
        <v>-9506.7249000000011</v>
      </c>
      <c r="AI31" s="223">
        <v>-9514.5925343999988</v>
      </c>
      <c r="AJ31" s="223">
        <v>-9522.4601688000002</v>
      </c>
      <c r="AK31" s="223">
        <v>-9530.3278032000017</v>
      </c>
      <c r="AL31" s="223">
        <v>-9538.1954375999994</v>
      </c>
      <c r="AM31" s="223">
        <v>-9546.0630720000008</v>
      </c>
      <c r="AN31" s="223">
        <v>-9553.9307064000004</v>
      </c>
      <c r="AO31" s="223">
        <v>-9561.7983408</v>
      </c>
      <c r="AP31" s="223">
        <v>-9569.6659751999996</v>
      </c>
      <c r="AQ31" s="223">
        <v>-9577.5336095999992</v>
      </c>
      <c r="AR31" s="223">
        <v>-9872.9632813200005</v>
      </c>
      <c r="AS31" s="223">
        <v>-9881.0669447519995</v>
      </c>
      <c r="AT31" s="223">
        <v>-9889.1706081839984</v>
      </c>
      <c r="AU31" s="223">
        <v>-9897.2742716159992</v>
      </c>
      <c r="AV31" s="223">
        <v>-9905.3779350479999</v>
      </c>
      <c r="AW31" s="223">
        <v>-9913.4815984799989</v>
      </c>
      <c r="AX31" s="223">
        <v>-9921.5852619119996</v>
      </c>
      <c r="AY31" s="223">
        <v>-9929.6889253440004</v>
      </c>
      <c r="AZ31" s="223">
        <v>-9937.7925887759993</v>
      </c>
      <c r="BA31" s="223">
        <v>-9945.8962522080001</v>
      </c>
      <c r="BB31" s="223">
        <v>-9953.9999156400008</v>
      </c>
      <c r="BC31" s="223">
        <v>-9962.103579071998</v>
      </c>
      <c r="BD31" s="223">
        <v>-10269.313459779118</v>
      </c>
      <c r="BE31" s="223">
        <v>-10277.660233114078</v>
      </c>
      <c r="BF31" s="223">
        <v>-10286.007006449037</v>
      </c>
      <c r="BG31" s="223">
        <v>-10294.353779783998</v>
      </c>
      <c r="BH31" s="223">
        <v>-10302.700553118957</v>
      </c>
      <c r="BI31" s="223">
        <v>-10311.047326453918</v>
      </c>
      <c r="BJ31" s="223">
        <v>-10319.394099788879</v>
      </c>
      <c r="BK31" s="223">
        <v>-10327.740873123837</v>
      </c>
      <c r="BL31" s="223">
        <v>-10336.087646458798</v>
      </c>
      <c r="BM31" s="223">
        <v>-10344.434419793759</v>
      </c>
      <c r="BN31" s="223">
        <v>-10352.781193128718</v>
      </c>
      <c r="BO31" s="223">
        <v>-10361.127966463677</v>
      </c>
      <c r="BP31" s="350"/>
      <c r="BQ31" s="350"/>
    </row>
    <row r="32" spans="1:69">
      <c r="C32" s="64" t="str">
        <v>Rent &amp; Utilities</v>
      </c>
      <c r="D32" s="48"/>
      <c r="E32" s="49"/>
      <c r="F32" s="50" t="s">
        <v>119</v>
      </c>
      <c r="G32" s="51"/>
      <c r="H32" s="148">
        <v>-3008.2790738500012</v>
      </c>
      <c r="I32" s="148">
        <v>-3011.1852772166676</v>
      </c>
      <c r="J32" s="148">
        <v>-3014.3989493166678</v>
      </c>
      <c r="K32" s="148">
        <v>-3017.6513742303041</v>
      </c>
      <c r="L32" s="148">
        <v>-3019.768199330304</v>
      </c>
      <c r="M32" s="148">
        <v>-3021.5420275636375</v>
      </c>
      <c r="N32" s="148">
        <v>-3024.5455364036375</v>
      </c>
      <c r="O32" s="148">
        <v>-3027.5741449923835</v>
      </c>
      <c r="P32" s="148">
        <v>-3030.5038939570895</v>
      </c>
      <c r="Q32" s="148">
        <v>-3035.0158977945894</v>
      </c>
      <c r="R32" s="148">
        <v>-3038.3215385945896</v>
      </c>
      <c r="S32" s="148">
        <v>-3041.2906495545894</v>
      </c>
      <c r="T32" s="148">
        <v>-3135.8016938732267</v>
      </c>
      <c r="U32" s="148">
        <v>-3139.1253783897982</v>
      </c>
      <c r="V32" s="148">
        <v>-3142.3219320796411</v>
      </c>
      <c r="W32" s="148">
        <v>-3145.854283501641</v>
      </c>
      <c r="X32" s="148">
        <v>-3148.6402639250159</v>
      </c>
      <c r="Y32" s="148">
        <v>-3151.7102215714226</v>
      </c>
      <c r="Z32" s="148">
        <v>-3154.7241377490714</v>
      </c>
      <c r="AA32" s="148">
        <v>-3157.6672012712893</v>
      </c>
      <c r="AB32" s="148">
        <v>-3160.683255099289</v>
      </c>
      <c r="AC32" s="148">
        <v>-3163.8435276732889</v>
      </c>
      <c r="AD32" s="148">
        <v>-3166.5914481197174</v>
      </c>
      <c r="AE32" s="148">
        <v>-3170.5317049827177</v>
      </c>
      <c r="AF32" s="148">
        <v>-3268.4904910529763</v>
      </c>
      <c r="AG32" s="148">
        <v>-3270.1421697680162</v>
      </c>
      <c r="AH32" s="148">
        <v>-3274.0312998973513</v>
      </c>
      <c r="AI32" s="148">
        <v>-3277.1144910490475</v>
      </c>
      <c r="AJ32" s="148">
        <v>-3280.523875779938</v>
      </c>
      <c r="AK32" s="148">
        <v>-3283.9743733708146</v>
      </c>
      <c r="AL32" s="148">
        <v>-3286.2201131194047</v>
      </c>
      <c r="AM32" s="148">
        <v>-3288.1019674921481</v>
      </c>
      <c r="AN32" s="148">
        <v>-3291.2883900205043</v>
      </c>
      <c r="AO32" s="148">
        <v>-3294.5014408723046</v>
      </c>
      <c r="AP32" s="148">
        <v>-3297.6096115489609</v>
      </c>
      <c r="AQ32" s="148">
        <v>-3302.3963964201648</v>
      </c>
      <c r="AR32" s="148">
        <v>-3405.0804512672312</v>
      </c>
      <c r="AS32" s="148">
        <v>-3408.3248789792187</v>
      </c>
      <c r="AT32" s="148">
        <v>-3411.7964883934874</v>
      </c>
      <c r="AU32" s="148">
        <v>-3415.3225852971182</v>
      </c>
      <c r="AV32" s="148">
        <v>-3418.7138091066727</v>
      </c>
      <c r="AW32" s="148">
        <v>-3422.4612807302728</v>
      </c>
      <c r="AX32" s="148">
        <v>-3425.4169273614316</v>
      </c>
      <c r="AY32" s="148">
        <v>-3428.6738454285041</v>
      </c>
      <c r="AZ32" s="148">
        <v>-3431.8713091013719</v>
      </c>
      <c r="BA32" s="148">
        <v>-3434.9936051920936</v>
      </c>
      <c r="BB32" s="148">
        <v>-3438.1933366982189</v>
      </c>
      <c r="BC32" s="148">
        <v>-3441.5460698719753</v>
      </c>
      <c r="BD32" s="148">
        <v>-3547.7951788337973</v>
      </c>
      <c r="BE32" s="148">
        <v>-3552.1008038949326</v>
      </c>
      <c r="BF32" s="148">
        <v>-3555.1167674623844</v>
      </c>
      <c r="BG32" s="148">
        <v>-3556.8690334111702</v>
      </c>
      <c r="BH32" s="148">
        <v>-3560.9950115653824</v>
      </c>
      <c r="BI32" s="148">
        <v>-3564.2659690582173</v>
      </c>
      <c r="BJ32" s="148">
        <v>-3567.8829853192178</v>
      </c>
      <c r="BK32" s="148">
        <v>-3571.5436182133794</v>
      </c>
      <c r="BL32" s="148">
        <v>-3573.9261235126583</v>
      </c>
      <c r="BM32" s="148">
        <v>-3575.9225828167023</v>
      </c>
      <c r="BN32" s="148">
        <v>-3579.3030584770345</v>
      </c>
      <c r="BO32" s="148">
        <v>-3582.71178412571</v>
      </c>
      <c r="BP32" s="148"/>
      <c r="BQ32" s="148"/>
    </row>
    <row r="33" spans="3:84">
      <c r="C33" s="64" t="str">
        <v>Other Sales Expenses</v>
      </c>
      <c r="D33" s="48"/>
      <c r="E33" s="49"/>
      <c r="F33" s="50" t="s">
        <v>119</v>
      </c>
      <c r="G33" s="51"/>
      <c r="H33" s="148">
        <v>-1031.0299999999997</v>
      </c>
      <c r="I33" s="148">
        <v>-1032.0599999999997</v>
      </c>
      <c r="J33" s="148">
        <v>-1033.0899999999997</v>
      </c>
      <c r="K33" s="148">
        <v>-1034.1199999999997</v>
      </c>
      <c r="L33" s="148">
        <v>-1035.1499999999996</v>
      </c>
      <c r="M33" s="148">
        <v>-1036.1799999999996</v>
      </c>
      <c r="N33" s="148">
        <v>-1037.2099999999996</v>
      </c>
      <c r="O33" s="148">
        <v>-1038.2399999999996</v>
      </c>
      <c r="P33" s="148">
        <v>-1039.2699999999998</v>
      </c>
      <c r="Q33" s="148">
        <v>-1040.2999999999997</v>
      </c>
      <c r="R33" s="148">
        <v>-1041.3299999999997</v>
      </c>
      <c r="S33" s="148">
        <v>-1042.3599999999999</v>
      </c>
      <c r="T33" s="148">
        <v>-1074.6916999999999</v>
      </c>
      <c r="U33" s="148">
        <v>-1075.7526</v>
      </c>
      <c r="V33" s="148">
        <v>-1076.8135</v>
      </c>
      <c r="W33" s="148">
        <v>-1077.8743999999999</v>
      </c>
      <c r="X33" s="148">
        <v>-1078.9352999999999</v>
      </c>
      <c r="Y33" s="148">
        <v>-1079.9962</v>
      </c>
      <c r="Z33" s="148">
        <v>-1081.0571</v>
      </c>
      <c r="AA33" s="148">
        <v>-1082.1179999999999</v>
      </c>
      <c r="AB33" s="148">
        <v>-1083.1788999999999</v>
      </c>
      <c r="AC33" s="148">
        <v>-1084.2397999999998</v>
      </c>
      <c r="AD33" s="148">
        <v>-1085.3006999999998</v>
      </c>
      <c r="AE33" s="148">
        <v>-1086.3615999999997</v>
      </c>
      <c r="AF33" s="148">
        <v>-1120.0451750000004</v>
      </c>
      <c r="AG33" s="148">
        <v>-1121.1379020000004</v>
      </c>
      <c r="AH33" s="148">
        <v>-1122.2306290000004</v>
      </c>
      <c r="AI33" s="148">
        <v>-1123.3233560000003</v>
      </c>
      <c r="AJ33" s="148">
        <v>-1124.4160830000003</v>
      </c>
      <c r="AK33" s="148">
        <v>-1125.5088100000003</v>
      </c>
      <c r="AL33" s="148">
        <v>-1126.6015370000002</v>
      </c>
      <c r="AM33" s="148">
        <v>-1127.6942640000002</v>
      </c>
      <c r="AN33" s="148">
        <v>-1128.7869910000004</v>
      </c>
      <c r="AO33" s="148">
        <v>-1129.8797180000004</v>
      </c>
      <c r="AP33" s="148">
        <v>-1130.9724450000003</v>
      </c>
      <c r="AQ33" s="148">
        <v>-1132.0651720000003</v>
      </c>
      <c r="AR33" s="148">
        <v>-1167.1526359700003</v>
      </c>
      <c r="AS33" s="148">
        <v>-1168.2781447800003</v>
      </c>
      <c r="AT33" s="148">
        <v>-1169.4036535900002</v>
      </c>
      <c r="AU33" s="148">
        <v>-1170.5291624000004</v>
      </c>
      <c r="AV33" s="148">
        <v>-1171.6546712100003</v>
      </c>
      <c r="AW33" s="148">
        <v>-1172.7801800200002</v>
      </c>
      <c r="AX33" s="148">
        <v>-1173.9056888300001</v>
      </c>
      <c r="AY33" s="148">
        <v>-1175.0311976400001</v>
      </c>
      <c r="AZ33" s="148">
        <v>-1176.15670645</v>
      </c>
      <c r="BA33" s="148">
        <v>-1177.2822152599999</v>
      </c>
      <c r="BB33" s="148">
        <v>-1178.4077240699999</v>
      </c>
      <c r="BC33" s="148">
        <v>-1179.53323288</v>
      </c>
      <c r="BD33" s="148">
        <v>-1216.0785039406999</v>
      </c>
      <c r="BE33" s="148">
        <v>-1217.237778015</v>
      </c>
      <c r="BF33" s="148">
        <v>-1218.3970520892999</v>
      </c>
      <c r="BG33" s="148">
        <v>-1219.5563261635998</v>
      </c>
      <c r="BH33" s="148">
        <v>-1220.7156002378999</v>
      </c>
      <c r="BI33" s="148">
        <v>-1221.8748743121998</v>
      </c>
      <c r="BJ33" s="148">
        <v>-1223.0341483864997</v>
      </c>
      <c r="BK33" s="148">
        <v>-1224.1934224607999</v>
      </c>
      <c r="BL33" s="148">
        <v>-1225.3526965350998</v>
      </c>
      <c r="BM33" s="148">
        <v>-1226.5119706093999</v>
      </c>
      <c r="BN33" s="148">
        <v>-1227.6712446836998</v>
      </c>
      <c r="BO33" s="148">
        <v>-1228.8305187579999</v>
      </c>
      <c r="BP33" s="148"/>
      <c r="BQ33" s="148"/>
    </row>
    <row r="34" spans="3:84" s="31" customFormat="1">
      <c r="C34" s="70" t="s">
        <v>1177</v>
      </c>
      <c r="D34" s="221"/>
      <c r="E34" s="222"/>
      <c r="F34" s="72" t="s">
        <v>119</v>
      </c>
      <c r="G34" s="73"/>
      <c r="H34" s="74">
        <f>SUM(H31:H33)</f>
        <v>-12807.493073850001</v>
      </c>
      <c r="I34" s="74">
        <f t="shared" ref="I34:BO34" si="4">SUM(I31:I33)</f>
        <v>-12818.845277216667</v>
      </c>
      <c r="J34" s="74">
        <f t="shared" si="4"/>
        <v>-12830.504949316668</v>
      </c>
      <c r="K34" s="74">
        <f t="shared" si="4"/>
        <v>-12842.203374230303</v>
      </c>
      <c r="L34" s="74">
        <f t="shared" si="4"/>
        <v>-12852.766199330303</v>
      </c>
      <c r="M34" s="74">
        <f t="shared" si="4"/>
        <v>-12862.986027563637</v>
      </c>
      <c r="N34" s="74">
        <f t="shared" si="4"/>
        <v>-12874.435536403636</v>
      </c>
      <c r="O34" s="74">
        <f t="shared" si="4"/>
        <v>-12885.910144992382</v>
      </c>
      <c r="P34" s="74">
        <f t="shared" si="4"/>
        <v>-12897.285893957091</v>
      </c>
      <c r="Q34" s="74">
        <f t="shared" si="4"/>
        <v>-12910.243897794589</v>
      </c>
      <c r="R34" s="74">
        <f t="shared" si="4"/>
        <v>-12921.995538594589</v>
      </c>
      <c r="S34" s="74">
        <f t="shared" si="4"/>
        <v>-12933.410649554589</v>
      </c>
      <c r="T34" s="74">
        <f t="shared" si="4"/>
        <v>-13333.384673873226</v>
      </c>
      <c r="U34" s="74">
        <f t="shared" si="4"/>
        <v>-13345.407738389797</v>
      </c>
      <c r="V34" s="74">
        <f t="shared" si="4"/>
        <v>-13357.303672079643</v>
      </c>
      <c r="W34" s="74">
        <f t="shared" si="4"/>
        <v>-13369.535403501641</v>
      </c>
      <c r="X34" s="74">
        <f t="shared" si="4"/>
        <v>-13381.020763925015</v>
      </c>
      <c r="Y34" s="74">
        <f t="shared" si="4"/>
        <v>-13392.790101571421</v>
      </c>
      <c r="Z34" s="74">
        <f t="shared" si="4"/>
        <v>-13404.503397749071</v>
      </c>
      <c r="AA34" s="74">
        <f t="shared" si="4"/>
        <v>-13416.145841271289</v>
      </c>
      <c r="AB34" s="74">
        <f t="shared" si="4"/>
        <v>-13427.861275099287</v>
      </c>
      <c r="AC34" s="74">
        <f t="shared" si="4"/>
        <v>-13439.720927673288</v>
      </c>
      <c r="AD34" s="74">
        <f t="shared" si="4"/>
        <v>-13451.168228119717</v>
      </c>
      <c r="AE34" s="74">
        <f t="shared" si="4"/>
        <v>-13463.807864982717</v>
      </c>
      <c r="AF34" s="74">
        <f t="shared" si="4"/>
        <v>-13879.525297252978</v>
      </c>
      <c r="AG34" s="74">
        <f t="shared" si="4"/>
        <v>-13890.137337368016</v>
      </c>
      <c r="AH34" s="74">
        <f t="shared" si="4"/>
        <v>-13902.986828897352</v>
      </c>
      <c r="AI34" s="74">
        <f t="shared" si="4"/>
        <v>-13915.030381449047</v>
      </c>
      <c r="AJ34" s="74">
        <f t="shared" si="4"/>
        <v>-13927.400127579938</v>
      </c>
      <c r="AK34" s="74">
        <f t="shared" si="4"/>
        <v>-13939.810986570817</v>
      </c>
      <c r="AL34" s="74">
        <f t="shared" si="4"/>
        <v>-13951.017087719405</v>
      </c>
      <c r="AM34" s="74">
        <f t="shared" si="4"/>
        <v>-13961.859303492149</v>
      </c>
      <c r="AN34" s="74">
        <f t="shared" si="4"/>
        <v>-13974.006087420505</v>
      </c>
      <c r="AO34" s="74">
        <f t="shared" si="4"/>
        <v>-13986.179499672304</v>
      </c>
      <c r="AP34" s="74">
        <f t="shared" si="4"/>
        <v>-13998.248031748961</v>
      </c>
      <c r="AQ34" s="74">
        <f t="shared" si="4"/>
        <v>-14011.995178020165</v>
      </c>
      <c r="AR34" s="74">
        <f t="shared" si="4"/>
        <v>-14445.196368557232</v>
      </c>
      <c r="AS34" s="74">
        <f t="shared" si="4"/>
        <v>-14457.669968511218</v>
      </c>
      <c r="AT34" s="74">
        <f t="shared" si="4"/>
        <v>-14470.370750167485</v>
      </c>
      <c r="AU34" s="74">
        <f t="shared" si="4"/>
        <v>-14483.126019313118</v>
      </c>
      <c r="AV34" s="74">
        <f t="shared" si="4"/>
        <v>-14495.746415364674</v>
      </c>
      <c r="AW34" s="74">
        <f t="shared" si="4"/>
        <v>-14508.723059230271</v>
      </c>
      <c r="AX34" s="74">
        <f t="shared" si="4"/>
        <v>-14520.907878103431</v>
      </c>
      <c r="AY34" s="74">
        <f t="shared" si="4"/>
        <v>-14533.393968412505</v>
      </c>
      <c r="AZ34" s="74">
        <f t="shared" si="4"/>
        <v>-14545.820604327371</v>
      </c>
      <c r="BA34" s="74">
        <f t="shared" si="4"/>
        <v>-14558.172072660094</v>
      </c>
      <c r="BB34" s="74">
        <f t="shared" si="4"/>
        <v>-14570.600976408219</v>
      </c>
      <c r="BC34" s="74">
        <f t="shared" si="4"/>
        <v>-14583.182881823974</v>
      </c>
      <c r="BD34" s="74">
        <f t="shared" si="4"/>
        <v>-15033.187142553616</v>
      </c>
      <c r="BE34" s="74">
        <f t="shared" si="4"/>
        <v>-15046.998815024011</v>
      </c>
      <c r="BF34" s="74">
        <f t="shared" si="4"/>
        <v>-15059.520826000722</v>
      </c>
      <c r="BG34" s="74">
        <f t="shared" si="4"/>
        <v>-15070.779139358769</v>
      </c>
      <c r="BH34" s="74">
        <f t="shared" si="4"/>
        <v>-15084.41116492224</v>
      </c>
      <c r="BI34" s="74">
        <f t="shared" si="4"/>
        <v>-15097.188169824334</v>
      </c>
      <c r="BJ34" s="74">
        <f t="shared" si="4"/>
        <v>-15110.311233494596</v>
      </c>
      <c r="BK34" s="74">
        <f t="shared" si="4"/>
        <v>-15123.477913798017</v>
      </c>
      <c r="BL34" s="74">
        <f t="shared" si="4"/>
        <v>-15135.366466506555</v>
      </c>
      <c r="BM34" s="74">
        <f t="shared" si="4"/>
        <v>-15146.86897321986</v>
      </c>
      <c r="BN34" s="74">
        <f t="shared" si="4"/>
        <v>-15159.755496289452</v>
      </c>
      <c r="BO34" s="74">
        <f t="shared" si="4"/>
        <v>-15172.670269347385</v>
      </c>
      <c r="BP34" s="331"/>
      <c r="BQ34" s="331"/>
    </row>
    <row r="35" spans="3:84">
      <c r="C35" s="47"/>
      <c r="D35" s="48"/>
      <c r="E35" s="49"/>
      <c r="F35" s="50"/>
      <c r="G35" s="51"/>
      <c r="H35" s="47"/>
      <c r="I35" s="47"/>
      <c r="J35" s="47"/>
      <c r="K35" s="47"/>
      <c r="L35" s="47"/>
      <c r="M35" s="47"/>
      <c r="N35" s="47"/>
      <c r="O35" s="47"/>
      <c r="P35" s="47"/>
      <c r="Q35" s="47"/>
      <c r="R35" s="47"/>
      <c r="S35" s="47"/>
      <c r="T35" s="47"/>
      <c r="U35" s="47"/>
      <c r="V35" s="47"/>
      <c r="W35" s="47"/>
      <c r="X35" s="47"/>
      <c r="Y35" s="47"/>
      <c r="Z35" s="47"/>
      <c r="AA35" s="47"/>
      <c r="AB35" s="47"/>
      <c r="AC35" s="47"/>
      <c r="AD35" s="47"/>
      <c r="AE35" s="47"/>
      <c r="AF35" s="47"/>
      <c r="AG35" s="47"/>
      <c r="AH35" s="47"/>
      <c r="AI35" s="47"/>
      <c r="AJ35" s="47"/>
      <c r="AK35" s="47"/>
      <c r="AL35" s="47"/>
      <c r="AM35" s="47"/>
      <c r="AN35" s="47"/>
      <c r="AO35" s="47"/>
      <c r="AP35" s="47"/>
      <c r="AQ35" s="47"/>
      <c r="AR35" s="47"/>
      <c r="AS35" s="47"/>
      <c r="AT35" s="47"/>
      <c r="AU35" s="47"/>
      <c r="AV35" s="47"/>
      <c r="AW35" s="47"/>
      <c r="AX35" s="47"/>
      <c r="AY35" s="47"/>
      <c r="AZ35" s="47"/>
      <c r="BA35" s="47"/>
      <c r="BB35" s="47"/>
      <c r="BC35" s="47"/>
      <c r="BD35" s="47"/>
      <c r="BE35" s="47"/>
      <c r="BF35" s="47"/>
      <c r="BG35" s="47"/>
      <c r="BH35" s="47"/>
      <c r="BI35" s="47"/>
      <c r="BJ35" s="47"/>
      <c r="BK35" s="47"/>
      <c r="BL35" s="47"/>
      <c r="BM35" s="47"/>
      <c r="BN35" s="47"/>
      <c r="BO35" s="47"/>
      <c r="BP35" s="47"/>
      <c r="BQ35" s="47"/>
    </row>
    <row r="36" spans="3:84" s="148" customFormat="1">
      <c r="C36" s="148" t="s">
        <v>104</v>
      </c>
      <c r="F36" s="225" t="s">
        <v>119</v>
      </c>
      <c r="G36" s="167"/>
      <c r="H36" s="148" cm="1">
        <f t="array" ref="H36:BO36">-H435:BO435</f>
        <v>-5152.0600000000004</v>
      </c>
      <c r="I36" s="148">
        <v>-5154.12</v>
      </c>
      <c r="J36" s="148">
        <v>-5156.18</v>
      </c>
      <c r="K36" s="148">
        <v>-5158.24</v>
      </c>
      <c r="L36" s="148">
        <v>-5160.3</v>
      </c>
      <c r="M36" s="148">
        <v>-5162.3599999999997</v>
      </c>
      <c r="N36" s="148">
        <v>-5164.42</v>
      </c>
      <c r="O36" s="148">
        <v>-5166.4799999999996</v>
      </c>
      <c r="P36" s="148">
        <v>-5168.54</v>
      </c>
      <c r="Q36" s="148">
        <v>-5170.6000000000004</v>
      </c>
      <c r="R36" s="148">
        <v>-5172.66</v>
      </c>
      <c r="S36" s="148">
        <v>-5174.72</v>
      </c>
      <c r="T36" s="148">
        <v>-5332.0834000000004</v>
      </c>
      <c r="U36" s="148">
        <v>-5334.2052000000003</v>
      </c>
      <c r="V36" s="148">
        <v>-5336.3270000000002</v>
      </c>
      <c r="W36" s="148">
        <v>-5338.4488000000001</v>
      </c>
      <c r="X36" s="148">
        <v>-5340.5706</v>
      </c>
      <c r="Y36" s="148">
        <v>-5342.6923999999999</v>
      </c>
      <c r="Z36" s="148">
        <v>-5344.8141999999998</v>
      </c>
      <c r="AA36" s="148">
        <v>-5346.9359999999997</v>
      </c>
      <c r="AB36" s="148">
        <v>-5349.0577999999996</v>
      </c>
      <c r="AC36" s="148">
        <v>-5351.1796000000004</v>
      </c>
      <c r="AD36" s="148">
        <v>-5353.3014000000003</v>
      </c>
      <c r="AE36" s="148">
        <v>-5355.4232000000002</v>
      </c>
      <c r="AF36" s="148">
        <v>-5518.27135</v>
      </c>
      <c r="AG36" s="148">
        <v>-5520.4568040000004</v>
      </c>
      <c r="AH36" s="148">
        <v>-5522.6422579999999</v>
      </c>
      <c r="AI36" s="148">
        <v>-5524.8277120000002</v>
      </c>
      <c r="AJ36" s="148">
        <v>-5527.0131660000006</v>
      </c>
      <c r="AK36" s="148">
        <v>-5529.1986200000001</v>
      </c>
      <c r="AL36" s="148">
        <v>-5531.3840740000005</v>
      </c>
      <c r="AM36" s="148">
        <v>-5533.569528</v>
      </c>
      <c r="AN36" s="148">
        <v>-5535.7549820000004</v>
      </c>
      <c r="AO36" s="148">
        <v>-5537.9404359999999</v>
      </c>
      <c r="AP36" s="148">
        <v>-5540.1258900000003</v>
      </c>
      <c r="AQ36" s="148">
        <v>-5542.3113440000006</v>
      </c>
      <c r="AR36" s="148">
        <v>-5710.8317019399992</v>
      </c>
      <c r="AS36" s="148">
        <v>-5713.0827195599995</v>
      </c>
      <c r="AT36" s="148">
        <v>-5715.3337371799998</v>
      </c>
      <c r="AU36" s="148">
        <v>-5717.5847547999992</v>
      </c>
      <c r="AV36" s="148">
        <v>-5719.8357724199996</v>
      </c>
      <c r="AW36" s="148">
        <v>-5722.0867900399999</v>
      </c>
      <c r="AX36" s="148">
        <v>-5724.3378076599993</v>
      </c>
      <c r="AY36" s="148">
        <v>-5726.5888252799996</v>
      </c>
      <c r="AZ36" s="148">
        <v>-5728.8398428999999</v>
      </c>
      <c r="BA36" s="148">
        <v>-5731.0908605199993</v>
      </c>
      <c r="BB36" s="148">
        <v>-5733.3418781399996</v>
      </c>
      <c r="BC36" s="148">
        <v>-5735.5928957599999</v>
      </c>
      <c r="BD36" s="148">
        <v>-5909.9792307813996</v>
      </c>
      <c r="BE36" s="148">
        <v>-5912.2977789299994</v>
      </c>
      <c r="BF36" s="148">
        <v>-5914.6163270785992</v>
      </c>
      <c r="BG36" s="148">
        <v>-5916.934875227199</v>
      </c>
      <c r="BH36" s="148">
        <v>-5919.2534233757988</v>
      </c>
      <c r="BI36" s="148">
        <v>-5921.5719715243995</v>
      </c>
      <c r="BJ36" s="148">
        <v>-5923.8905196729993</v>
      </c>
      <c r="BK36" s="148">
        <v>-5926.2090678215991</v>
      </c>
      <c r="BL36" s="148">
        <v>-5928.5276159701989</v>
      </c>
      <c r="BM36" s="148">
        <v>-5930.8461641187996</v>
      </c>
      <c r="BN36" s="148">
        <v>-5933.1647122673994</v>
      </c>
      <c r="BO36" s="148">
        <v>-5935.4832604159992</v>
      </c>
    </row>
    <row r="37" spans="3:84">
      <c r="C37" s="47"/>
      <c r="D37" s="48"/>
      <c r="E37" s="49"/>
      <c r="F37" s="50"/>
      <c r="G37" s="51"/>
      <c r="H37" s="47"/>
      <c r="I37" s="47"/>
      <c r="J37" s="47"/>
      <c r="K37" s="47"/>
      <c r="L37" s="47"/>
      <c r="M37" s="47"/>
      <c r="N37" s="47"/>
      <c r="O37" s="47"/>
      <c r="P37" s="47"/>
      <c r="Q37" s="47"/>
      <c r="R37" s="47"/>
      <c r="S37" s="47"/>
      <c r="T37" s="47"/>
      <c r="U37" s="47"/>
      <c r="V37" s="47"/>
      <c r="W37" s="47"/>
      <c r="X37" s="47"/>
      <c r="Y37" s="47"/>
      <c r="Z37" s="47"/>
      <c r="AA37" s="47"/>
      <c r="AB37" s="47"/>
      <c r="AC37" s="47"/>
      <c r="AD37" s="47"/>
      <c r="AE37" s="47"/>
      <c r="AF37" s="47"/>
      <c r="AG37" s="47"/>
      <c r="AH37" s="47"/>
      <c r="AI37" s="47"/>
      <c r="AJ37" s="47"/>
      <c r="AK37" s="47"/>
      <c r="AL37" s="47"/>
      <c r="AM37" s="47"/>
      <c r="AN37" s="47"/>
      <c r="AO37" s="47"/>
      <c r="AP37" s="47"/>
      <c r="AQ37" s="47"/>
      <c r="AR37" s="47"/>
      <c r="AS37" s="47"/>
      <c r="AT37" s="47"/>
      <c r="AU37" s="47"/>
      <c r="AV37" s="47"/>
      <c r="AW37" s="47"/>
      <c r="AX37" s="47"/>
      <c r="AY37" s="47"/>
      <c r="AZ37" s="47"/>
      <c r="BA37" s="47"/>
      <c r="BB37" s="47"/>
      <c r="BC37" s="47"/>
      <c r="BD37" s="47"/>
      <c r="BE37" s="47"/>
      <c r="BF37" s="47"/>
      <c r="BG37" s="47"/>
      <c r="BH37" s="47"/>
      <c r="BI37" s="47"/>
      <c r="BJ37" s="47"/>
      <c r="BK37" s="47"/>
      <c r="BL37" s="47"/>
      <c r="BM37" s="47"/>
      <c r="BN37" s="47"/>
      <c r="BO37" s="47"/>
      <c r="BP37" s="47"/>
      <c r="BQ37" s="47"/>
    </row>
    <row r="38" spans="3:84" s="31" customFormat="1" ht="11.25" customHeight="1">
      <c r="C38" s="52" t="s">
        <v>19</v>
      </c>
      <c r="D38" s="53"/>
      <c r="E38" s="54"/>
      <c r="F38" s="55"/>
      <c r="G38" s="56"/>
      <c r="H38" s="52" cm="1">
        <f t="array" ref="H38:BO38">_xlfn.ANCHORARRAY(H28)+H34:BO34+_xlfn.ANCHORARRAY(H36)</f>
        <v>3851.5648728166643</v>
      </c>
      <c r="I38" s="52">
        <v>2495.0523252833291</v>
      </c>
      <c r="J38" s="52">
        <v>9298.3554313499899</v>
      </c>
      <c r="K38" s="52">
        <v>9312.2852791636451</v>
      </c>
      <c r="L38" s="52">
        <v>9321.2512540636271</v>
      </c>
      <c r="M38" s="52">
        <v>9312.8579591636335</v>
      </c>
      <c r="N38" s="52">
        <v>9326.0346410928687</v>
      </c>
      <c r="O38" s="52">
        <v>9339.8347421504204</v>
      </c>
      <c r="P38" s="52">
        <v>9352.9493637739542</v>
      </c>
      <c r="Q38" s="52">
        <v>9374.7602974364436</v>
      </c>
      <c r="R38" s="52">
        <v>9390.7053566364575</v>
      </c>
      <c r="S38" s="52">
        <v>23162.493983291974</v>
      </c>
      <c r="T38" s="52">
        <v>4019.8554197971398</v>
      </c>
      <c r="U38" s="52">
        <v>2607.6299004618741</v>
      </c>
      <c r="V38" s="52">
        <v>9718.5149758794723</v>
      </c>
      <c r="W38" s="52">
        <v>9728.4489817907961</v>
      </c>
      <c r="X38" s="52">
        <v>9744.0497244924409</v>
      </c>
      <c r="Y38" s="52">
        <v>9758.5491218353363</v>
      </c>
      <c r="Z38" s="52">
        <v>9771.7809315445666</v>
      </c>
      <c r="AA38" s="52">
        <v>9785.0869982041713</v>
      </c>
      <c r="AB38" s="52">
        <v>9787.8889199761907</v>
      </c>
      <c r="AC38" s="52">
        <v>9802.8267853252655</v>
      </c>
      <c r="AD38" s="52">
        <v>9816.2591054502627</v>
      </c>
      <c r="AE38" s="52">
        <v>24111.862035372233</v>
      </c>
      <c r="AF38" s="52">
        <v>4205.3616570246695</v>
      </c>
      <c r="AG38" s="52">
        <v>2733.6101557472966</v>
      </c>
      <c r="AH38" s="52">
        <v>10135.144239873051</v>
      </c>
      <c r="AI38" s="52">
        <v>10149.339612287686</v>
      </c>
      <c r="AJ38" s="52">
        <v>10158.759716718418</v>
      </c>
      <c r="AK38" s="52">
        <v>10173.537892263881</v>
      </c>
      <c r="AL38" s="52">
        <v>10183.049895035307</v>
      </c>
      <c r="AM38" s="52">
        <v>10186.515118115882</v>
      </c>
      <c r="AN38" s="52">
        <v>10200.49425997463</v>
      </c>
      <c r="AO38" s="52">
        <v>10215.134787186606</v>
      </c>
      <c r="AP38" s="52">
        <v>10229.048089266977</v>
      </c>
      <c r="AQ38" s="52">
        <v>25155.434224194381</v>
      </c>
      <c r="AR38" s="52">
        <v>4430.5356057066901</v>
      </c>
      <c r="AS38" s="52">
        <v>2902.4167137358527</v>
      </c>
      <c r="AT38" s="52">
        <v>10603.264567407674</v>
      </c>
      <c r="AU38" s="52">
        <v>10616.198232915413</v>
      </c>
      <c r="AV38" s="52">
        <v>10632.257566846662</v>
      </c>
      <c r="AW38" s="52">
        <v>10617.029905361065</v>
      </c>
      <c r="AX38" s="52">
        <v>10633.580733293224</v>
      </c>
      <c r="AY38" s="52">
        <v>10648.963143934301</v>
      </c>
      <c r="AZ38" s="52">
        <v>10663.000770854855</v>
      </c>
      <c r="BA38" s="52">
        <v>10677.11717697401</v>
      </c>
      <c r="BB38" s="52">
        <v>10685.973895840612</v>
      </c>
      <c r="BC38" s="52">
        <v>26212.120104576195</v>
      </c>
      <c r="BD38" s="52">
        <v>4641.409909635694</v>
      </c>
      <c r="BE38" s="52">
        <v>3051.2526909359049</v>
      </c>
      <c r="BF38" s="52">
        <v>11066.023819519723</v>
      </c>
      <c r="BG38" s="52">
        <v>11075.423770165733</v>
      </c>
      <c r="BH38" s="52">
        <v>11096.782500411529</v>
      </c>
      <c r="BI38" s="52">
        <v>11111.8423710062</v>
      </c>
      <c r="BJ38" s="52">
        <v>11121.836159796729</v>
      </c>
      <c r="BK38" s="52">
        <v>11137.514326232949</v>
      </c>
      <c r="BL38" s="52">
        <v>11147.60560997313</v>
      </c>
      <c r="BM38" s="52">
        <v>11151.281865139328</v>
      </c>
      <c r="BN38" s="52">
        <v>11166.112336737267</v>
      </c>
      <c r="BO38" s="52">
        <v>27326.543472966336</v>
      </c>
      <c r="BP38" s="331"/>
      <c r="BQ38" s="331"/>
    </row>
    <row r="39" spans="3:84" s="333" customFormat="1" ht="12" customHeight="1">
      <c r="C39" s="334" t="s">
        <v>1178</v>
      </c>
      <c r="D39" s="335"/>
      <c r="E39" s="336"/>
      <c r="F39" s="337"/>
      <c r="G39" s="339"/>
      <c r="H39" s="338">
        <f>H38/H20</f>
        <v>3.951665804929954E-2</v>
      </c>
      <c r="I39" s="338">
        <f t="shared" ref="I39:BV39" si="5">I38/I20</f>
        <v>2.7278700915197046E-2</v>
      </c>
      <c r="J39" s="338">
        <f t="shared" si="5"/>
        <v>7.626088670048442E-2</v>
      </c>
      <c r="K39" s="338">
        <f t="shared" si="5"/>
        <v>7.629617062644789E-2</v>
      </c>
      <c r="L39" s="338">
        <f t="shared" si="5"/>
        <v>7.6311670949308893E-2</v>
      </c>
      <c r="M39" s="338">
        <f t="shared" si="5"/>
        <v>7.6231891208631622E-2</v>
      </c>
      <c r="N39" s="338">
        <f t="shared" si="5"/>
        <v>7.6265079964489127E-2</v>
      </c>
      <c r="O39" s="338">
        <f t="shared" si="5"/>
        <v>7.6301473231393913E-2</v>
      </c>
      <c r="P39" s="338">
        <f t="shared" si="5"/>
        <v>7.6334504019359248E-2</v>
      </c>
      <c r="Q39" s="338">
        <f t="shared" si="5"/>
        <v>7.6408098367245936E-2</v>
      </c>
      <c r="R39" s="338">
        <f t="shared" si="5"/>
        <v>7.6457889041109797E-2</v>
      </c>
      <c r="S39" s="338">
        <f t="shared" si="5"/>
        <v>0.12560064650740047</v>
      </c>
      <c r="T39" s="338">
        <f t="shared" si="5"/>
        <v>3.9656636105286587E-2</v>
      </c>
      <c r="U39" s="338">
        <f t="shared" si="5"/>
        <v>2.74135881156909E-2</v>
      </c>
      <c r="V39" s="338">
        <f t="shared" si="5"/>
        <v>7.6549312605232803E-2</v>
      </c>
      <c r="W39" s="338">
        <f t="shared" si="5"/>
        <v>7.6560043115107626E-2</v>
      </c>
      <c r="X39" s="338">
        <f t="shared" si="5"/>
        <v>7.6605523462526012E-2</v>
      </c>
      <c r="Y39" s="338">
        <f t="shared" si="5"/>
        <v>7.6643640193373747E-2</v>
      </c>
      <c r="Z39" s="338">
        <f t="shared" si="5"/>
        <v>7.66742114361465E-2</v>
      </c>
      <c r="AA39" s="338">
        <f t="shared" si="5"/>
        <v>7.6706274330947455E-2</v>
      </c>
      <c r="AB39" s="338">
        <f t="shared" si="5"/>
        <v>7.6684119775838833E-2</v>
      </c>
      <c r="AC39" s="338">
        <f t="shared" si="5"/>
        <v>7.6724856566161639E-2</v>
      </c>
      <c r="AD39" s="338">
        <f t="shared" si="5"/>
        <v>7.6756357390950714E-2</v>
      </c>
      <c r="AE39" s="338">
        <f t="shared" si="5"/>
        <v>0.12569205708386033</v>
      </c>
      <c r="AF39" s="338">
        <f t="shared" si="5"/>
        <v>3.9873500320469012E-2</v>
      </c>
      <c r="AG39" s="338">
        <f t="shared" si="5"/>
        <v>2.7626306217656743E-2</v>
      </c>
      <c r="AH39" s="338">
        <f t="shared" si="5"/>
        <v>7.6727434080457069E-2</v>
      </c>
      <c r="AI39" s="338">
        <f t="shared" si="5"/>
        <v>7.6760894403465368E-2</v>
      </c>
      <c r="AJ39" s="338">
        <f t="shared" si="5"/>
        <v>7.676958747042964E-2</v>
      </c>
      <c r="AK39" s="338">
        <f t="shared" si="5"/>
        <v>7.6803565019029074E-2</v>
      </c>
      <c r="AL39" s="338">
        <f t="shared" si="5"/>
        <v>7.6818341128761514E-2</v>
      </c>
      <c r="AM39" s="338">
        <f t="shared" si="5"/>
        <v>7.680089158112352E-2</v>
      </c>
      <c r="AN39" s="338">
        <f t="shared" si="5"/>
        <v>7.6832778850360231E-2</v>
      </c>
      <c r="AO39" s="338">
        <f t="shared" si="5"/>
        <v>7.6867786806627939E-2</v>
      </c>
      <c r="AP39" s="338">
        <f t="shared" si="5"/>
        <v>7.6899528270558737E-2</v>
      </c>
      <c r="AQ39" s="338">
        <f t="shared" si="5"/>
        <v>0.12590687141214577</v>
      </c>
      <c r="AR39" s="338">
        <f t="shared" si="5"/>
        <v>4.0326739793271449E-2</v>
      </c>
      <c r="AS39" s="338">
        <f t="shared" si="5"/>
        <v>2.8151969412734585E-2</v>
      </c>
      <c r="AT39" s="338">
        <f t="shared" si="5"/>
        <v>7.7073376558387613E-2</v>
      </c>
      <c r="AU39" s="338">
        <f t="shared" si="5"/>
        <v>7.7095504158768521E-2</v>
      </c>
      <c r="AV39" s="338">
        <f t="shared" si="5"/>
        <v>7.7135760787117966E-2</v>
      </c>
      <c r="AW39" s="338">
        <f t="shared" si="5"/>
        <v>7.7025285918886521E-2</v>
      </c>
      <c r="AX39" s="338">
        <f t="shared" si="5"/>
        <v>7.7069308787416538E-2</v>
      </c>
      <c r="AY39" s="338">
        <f t="shared" si="5"/>
        <v>7.7106140601406956E-2</v>
      </c>
      <c r="AZ39" s="338">
        <f t="shared" si="5"/>
        <v>7.7135609374312727E-2</v>
      </c>
      <c r="BA39" s="338">
        <f t="shared" si="5"/>
        <v>7.7166544872668053E-2</v>
      </c>
      <c r="BB39" s="338">
        <f t="shared" si="5"/>
        <v>7.7172651138406184E-2</v>
      </c>
      <c r="BC39" s="338">
        <f t="shared" si="5"/>
        <v>0.12607764123053547</v>
      </c>
      <c r="BD39" s="338">
        <f t="shared" si="5"/>
        <v>4.0601554569383212E-2</v>
      </c>
      <c r="BE39" s="338">
        <f t="shared" si="5"/>
        <v>2.8441558420972443E-2</v>
      </c>
      <c r="BF39" s="338">
        <f t="shared" si="5"/>
        <v>7.7299422533901527E-2</v>
      </c>
      <c r="BG39" s="338">
        <f t="shared" si="5"/>
        <v>7.7308803256419104E-2</v>
      </c>
      <c r="BH39" s="338">
        <f t="shared" si="5"/>
        <v>7.7366155216720328E-2</v>
      </c>
      <c r="BI39" s="338">
        <f t="shared" si="5"/>
        <v>7.7398246583908273E-2</v>
      </c>
      <c r="BJ39" s="338">
        <f t="shared" si="5"/>
        <v>7.7406233314300327E-2</v>
      </c>
      <c r="BK39" s="338">
        <f t="shared" si="5"/>
        <v>7.7438803810384968E-2</v>
      </c>
      <c r="BL39" s="338">
        <f t="shared" si="5"/>
        <v>7.7452781182785549E-2</v>
      </c>
      <c r="BM39" s="338">
        <f t="shared" si="5"/>
        <v>7.7435379204387575E-2</v>
      </c>
      <c r="BN39" s="338">
        <f t="shared" si="5"/>
        <v>7.746594502465988E-2</v>
      </c>
      <c r="BO39" s="338">
        <f t="shared" si="5"/>
        <v>0.12626614874374192</v>
      </c>
      <c r="BP39" s="338"/>
      <c r="BQ39" s="338"/>
      <c r="BR39" s="338" t="e">
        <f t="shared" si="5"/>
        <v>#DIV/0!</v>
      </c>
      <c r="BS39" s="338" t="e">
        <f t="shared" si="5"/>
        <v>#DIV/0!</v>
      </c>
      <c r="BT39" s="338" t="e">
        <f t="shared" si="5"/>
        <v>#DIV/0!</v>
      </c>
      <c r="BU39" s="338" t="e">
        <f t="shared" si="5"/>
        <v>#DIV/0!</v>
      </c>
      <c r="BV39" s="338" t="e">
        <f t="shared" si="5"/>
        <v>#DIV/0!</v>
      </c>
      <c r="BW39" s="338" t="e">
        <f t="shared" ref="BW39:CF39" si="6">BW38/BW20</f>
        <v>#DIV/0!</v>
      </c>
      <c r="BX39" s="338" t="e">
        <f t="shared" si="6"/>
        <v>#DIV/0!</v>
      </c>
      <c r="BY39" s="338" t="e">
        <f t="shared" si="6"/>
        <v>#DIV/0!</v>
      </c>
      <c r="BZ39" s="338" t="e">
        <f t="shared" si="6"/>
        <v>#DIV/0!</v>
      </c>
      <c r="CA39" s="338" t="e">
        <f t="shared" si="6"/>
        <v>#DIV/0!</v>
      </c>
      <c r="CB39" s="338" t="e">
        <f t="shared" si="6"/>
        <v>#DIV/0!</v>
      </c>
      <c r="CC39" s="338" t="e">
        <f t="shared" si="6"/>
        <v>#DIV/0!</v>
      </c>
      <c r="CD39" s="338" t="e">
        <f t="shared" si="6"/>
        <v>#DIV/0!</v>
      </c>
      <c r="CE39" s="338" t="e">
        <f t="shared" si="6"/>
        <v>#DIV/0!</v>
      </c>
      <c r="CF39" s="338" t="e">
        <f t="shared" si="6"/>
        <v>#DIV/0!</v>
      </c>
    </row>
    <row r="40" spans="3:84" s="22" customFormat="1">
      <c r="C40" s="47"/>
      <c r="D40" s="48"/>
      <c r="E40" s="49"/>
      <c r="F40" s="50"/>
      <c r="G40" s="51"/>
      <c r="H40" s="47"/>
      <c r="I40" s="47"/>
      <c r="J40" s="47"/>
      <c r="K40" s="47"/>
      <c r="L40" s="47"/>
      <c r="M40" s="47"/>
      <c r="N40" s="47"/>
      <c r="O40" s="47"/>
      <c r="P40" s="47"/>
      <c r="Q40" s="47"/>
      <c r="R40" s="47"/>
      <c r="S40" s="47"/>
      <c r="T40" s="47"/>
      <c r="U40" s="47"/>
      <c r="V40" s="47"/>
      <c r="W40" s="47"/>
      <c r="X40" s="47"/>
      <c r="Y40" s="47"/>
      <c r="Z40" s="47"/>
      <c r="AA40" s="47"/>
      <c r="AB40" s="47"/>
      <c r="AC40" s="47"/>
      <c r="AD40" s="47"/>
      <c r="AE40" s="47"/>
      <c r="AF40" s="47"/>
      <c r="AG40" s="47"/>
      <c r="AH40" s="47"/>
      <c r="AI40" s="47"/>
      <c r="AJ40" s="47"/>
      <c r="AK40" s="47"/>
      <c r="AL40" s="47"/>
      <c r="AM40" s="47"/>
      <c r="AN40" s="47"/>
      <c r="AO40" s="47"/>
      <c r="AP40" s="47"/>
      <c r="AQ40" s="47"/>
      <c r="AR40" s="47"/>
      <c r="AS40" s="47"/>
      <c r="AT40" s="47"/>
      <c r="AU40" s="47"/>
      <c r="AV40" s="47"/>
      <c r="AW40" s="47"/>
      <c r="AX40" s="47"/>
      <c r="AY40" s="47"/>
      <c r="AZ40" s="47"/>
      <c r="BA40" s="47"/>
      <c r="BB40" s="47"/>
      <c r="BC40" s="47"/>
      <c r="BD40" s="47"/>
      <c r="BE40" s="47"/>
      <c r="BF40" s="47"/>
      <c r="BG40" s="47"/>
      <c r="BH40" s="47"/>
      <c r="BI40" s="47"/>
      <c r="BJ40" s="47"/>
      <c r="BK40" s="47"/>
      <c r="BL40" s="47"/>
      <c r="BM40" s="47"/>
      <c r="BN40" s="47"/>
      <c r="BO40" s="47"/>
      <c r="BP40" s="47"/>
      <c r="BQ40" s="47"/>
    </row>
    <row r="41" spans="3:84" s="22" customFormat="1">
      <c r="C41" s="47" t="s">
        <v>1179</v>
      </c>
      <c r="D41" s="48"/>
      <c r="E41" s="49"/>
      <c r="F41" s="50" t="s">
        <v>119</v>
      </c>
      <c r="G41" s="66"/>
      <c r="H41" s="148" cm="1">
        <f t="array" aca="1" ref="H41:BO41" ca="1">_xlfn.ANCHORARRAY(H472)</f>
        <v>-2777.7777777777778</v>
      </c>
      <c r="I41" s="148">
        <f ca="1"/>
        <v>-2779.4944444444445</v>
      </c>
      <c r="J41" s="148">
        <f ca="1"/>
        <v>-2781.2111111111112</v>
      </c>
      <c r="K41" s="148">
        <f ca="1"/>
        <v>-2782.9277777777779</v>
      </c>
      <c r="L41" s="148">
        <f ca="1"/>
        <v>-2784.6444444444446</v>
      </c>
      <c r="M41" s="148">
        <f ca="1"/>
        <v>-2786.3611111111113</v>
      </c>
      <c r="N41" s="148">
        <f ca="1"/>
        <v>-2788.077777777778</v>
      </c>
      <c r="O41" s="148">
        <f ca="1"/>
        <v>-2789.7944444444447</v>
      </c>
      <c r="P41" s="148">
        <f ca="1"/>
        <v>-2791.5111111111109</v>
      </c>
      <c r="Q41" s="148">
        <f ca="1"/>
        <v>-2793.2277777777776</v>
      </c>
      <c r="R41" s="148">
        <f ca="1"/>
        <v>-2794.9444444444443</v>
      </c>
      <c r="S41" s="148">
        <f ca="1"/>
        <v>-2796.661111111111</v>
      </c>
      <c r="T41" s="148">
        <f ca="1"/>
        <v>-2798.3777777777777</v>
      </c>
      <c r="U41" s="148">
        <f ca="1"/>
        <v>-2800.1459444444445</v>
      </c>
      <c r="V41" s="148">
        <f ca="1"/>
        <v>-2801.9141111111112</v>
      </c>
      <c r="W41" s="148">
        <f ca="1"/>
        <v>-2803.6822777777779</v>
      </c>
      <c r="X41" s="148">
        <f ca="1"/>
        <v>-2805.4504444444447</v>
      </c>
      <c r="Y41" s="148">
        <f ca="1"/>
        <v>-2807.2186111111109</v>
      </c>
      <c r="Z41" s="148">
        <f ca="1"/>
        <v>-2808.9867777777777</v>
      </c>
      <c r="AA41" s="148">
        <f ca="1"/>
        <v>-2810.7549444444444</v>
      </c>
      <c r="AB41" s="148">
        <f ca="1"/>
        <v>-2812.5231111111111</v>
      </c>
      <c r="AC41" s="148">
        <f ca="1"/>
        <v>-2814.2912777777779</v>
      </c>
      <c r="AD41" s="148">
        <f ca="1"/>
        <v>-2816.0594444444446</v>
      </c>
      <c r="AE41" s="148">
        <f ca="1"/>
        <v>-2817.8276111111113</v>
      </c>
      <c r="AF41" s="148">
        <f ca="1"/>
        <v>-2819.5957777777776</v>
      </c>
      <c r="AG41" s="148">
        <f ca="1"/>
        <v>-2821.4169894444444</v>
      </c>
      <c r="AH41" s="148">
        <f ca="1"/>
        <v>-2823.2382011111113</v>
      </c>
      <c r="AI41" s="148">
        <f ca="1"/>
        <v>-2825.0594127777777</v>
      </c>
      <c r="AJ41" s="148">
        <f ca="1"/>
        <v>-2826.8806244444445</v>
      </c>
      <c r="AK41" s="148">
        <f ca="1"/>
        <v>-2828.7018361111113</v>
      </c>
      <c r="AL41" s="148">
        <f ca="1"/>
        <v>-2830.5230477777777</v>
      </c>
      <c r="AM41" s="148">
        <f ca="1"/>
        <v>-2832.3442594444446</v>
      </c>
      <c r="AN41" s="148">
        <f ca="1"/>
        <v>-2834.1654711111114</v>
      </c>
      <c r="AO41" s="148">
        <f ca="1"/>
        <v>-2835.9866827777778</v>
      </c>
      <c r="AP41" s="148">
        <f ca="1"/>
        <v>-2837.8078944444446</v>
      </c>
      <c r="AQ41" s="148">
        <f ca="1"/>
        <v>-2839.629106111111</v>
      </c>
      <c r="AR41" s="148">
        <f ca="1"/>
        <v>-63.672540000000026</v>
      </c>
      <c r="AS41" s="148">
        <f ca="1"/>
        <v>-65.548388016666692</v>
      </c>
      <c r="AT41" s="148">
        <f ca="1"/>
        <v>-67.424236033333358</v>
      </c>
      <c r="AU41" s="148">
        <f ca="1"/>
        <v>-69.300084050000024</v>
      </c>
      <c r="AV41" s="148">
        <f ca="1"/>
        <v>-71.175932066666689</v>
      </c>
      <c r="AW41" s="148">
        <f ca="1"/>
        <v>-73.051780083333355</v>
      </c>
      <c r="AX41" s="148">
        <f ca="1"/>
        <v>-74.927628100000021</v>
      </c>
      <c r="AY41" s="148">
        <f ca="1"/>
        <v>-76.803476116666687</v>
      </c>
      <c r="AZ41" s="148">
        <f ca="1"/>
        <v>-78.679324133333353</v>
      </c>
      <c r="BA41" s="148">
        <f ca="1"/>
        <v>-80.555172150000018</v>
      </c>
      <c r="BB41" s="148">
        <f ca="1"/>
        <v>-82.431020166666684</v>
      </c>
      <c r="BC41" s="148">
        <f ca="1"/>
        <v>-84.30686818333335</v>
      </c>
      <c r="BD41" s="148">
        <f ca="1"/>
        <v>-86.182716200000016</v>
      </c>
      <c r="BE41" s="148">
        <f ca="1"/>
        <v>-88.114839657166684</v>
      </c>
      <c r="BF41" s="148">
        <f ca="1"/>
        <v>-90.046963114333352</v>
      </c>
      <c r="BG41" s="148">
        <f ca="1"/>
        <v>-91.979086571500019</v>
      </c>
      <c r="BH41" s="148">
        <f ca="1"/>
        <v>-93.911210028666687</v>
      </c>
      <c r="BI41" s="148">
        <f ca="1"/>
        <v>-95.843333485833355</v>
      </c>
      <c r="BJ41" s="148">
        <f ca="1"/>
        <v>-97.775456943000023</v>
      </c>
      <c r="BK41" s="148">
        <f ca="1"/>
        <v>-99.707580400166691</v>
      </c>
      <c r="BL41" s="148">
        <f ca="1"/>
        <v>-101.63970385733336</v>
      </c>
      <c r="BM41" s="148">
        <f ca="1"/>
        <v>-103.57182731450003</v>
      </c>
      <c r="BN41" s="148">
        <f ca="1"/>
        <v>-105.50395077166669</v>
      </c>
      <c r="BO41" s="148">
        <f ca="1"/>
        <v>-107.43607422883336</v>
      </c>
      <c r="BP41" s="148"/>
      <c r="BQ41" s="148"/>
    </row>
    <row r="42" spans="3:84" s="22" customFormat="1">
      <c r="C42" s="47" t="s">
        <v>1180</v>
      </c>
      <c r="D42" s="48"/>
      <c r="E42" s="49"/>
      <c r="F42" s="50" t="s">
        <v>119</v>
      </c>
      <c r="G42" s="66"/>
      <c r="H42" s="148" cm="1">
        <f t="array" ref="H42:BO42">H478:BO478</f>
        <v>-27.777777777777779</v>
      </c>
      <c r="I42" s="148">
        <v>-27.777777777777779</v>
      </c>
      <c r="J42" s="148">
        <v>-27.777777777777779</v>
      </c>
      <c r="K42" s="148">
        <v>-27.777777777777779</v>
      </c>
      <c r="L42" s="148">
        <v>-27.777777777777779</v>
      </c>
      <c r="M42" s="148">
        <v>-27.777777777777779</v>
      </c>
      <c r="N42" s="148">
        <v>-27.777777777777779</v>
      </c>
      <c r="O42" s="148">
        <v>-27.777777777777779</v>
      </c>
      <c r="P42" s="148">
        <v>-27.777777777777779</v>
      </c>
      <c r="Q42" s="148">
        <v>-27.777777777777779</v>
      </c>
      <c r="R42" s="148">
        <v>-27.777777777777779</v>
      </c>
      <c r="S42" s="148">
        <v>-27.777777777777779</v>
      </c>
      <c r="T42" s="148">
        <v>-27.777777777777779</v>
      </c>
      <c r="U42" s="148">
        <v>-27.777777777777779</v>
      </c>
      <c r="V42" s="148">
        <v>-27.777777777777779</v>
      </c>
      <c r="W42" s="148">
        <v>-27.777777777777779</v>
      </c>
      <c r="X42" s="148">
        <v>-27.777777777777779</v>
      </c>
      <c r="Y42" s="148">
        <v>-27.777777777777779</v>
      </c>
      <c r="Z42" s="148">
        <v>-27.777777777777779</v>
      </c>
      <c r="AA42" s="148">
        <v>-27.777777777777779</v>
      </c>
      <c r="AB42" s="148">
        <v>-27.777777777777779</v>
      </c>
      <c r="AC42" s="148">
        <v>-27.777777777777779</v>
      </c>
      <c r="AD42" s="148">
        <v>-27.777777777777779</v>
      </c>
      <c r="AE42" s="148">
        <v>-27.777777777777779</v>
      </c>
      <c r="AF42" s="148">
        <v>-27.777777777777779</v>
      </c>
      <c r="AG42" s="148">
        <v>-27.777777777777779</v>
      </c>
      <c r="AH42" s="148">
        <v>-27.777777777777779</v>
      </c>
      <c r="AI42" s="148">
        <v>-27.777777777777779</v>
      </c>
      <c r="AJ42" s="148">
        <v>-27.777777777777779</v>
      </c>
      <c r="AK42" s="148">
        <v>-27.777777777777779</v>
      </c>
      <c r="AL42" s="148">
        <v>-27.777777777777779</v>
      </c>
      <c r="AM42" s="148">
        <v>-27.777777777777779</v>
      </c>
      <c r="AN42" s="148">
        <v>-27.777777777777779</v>
      </c>
      <c r="AO42" s="148">
        <v>-27.777777777777779</v>
      </c>
      <c r="AP42" s="148">
        <v>-27.777777777777779</v>
      </c>
      <c r="AQ42" s="148">
        <v>-27.777777777777779</v>
      </c>
      <c r="AR42" s="148">
        <v>-27.777777777777779</v>
      </c>
      <c r="AS42" s="148">
        <v>-27.777777777777779</v>
      </c>
      <c r="AT42" s="148">
        <v>-27.777777777777779</v>
      </c>
      <c r="AU42" s="148">
        <v>-27.777777777777779</v>
      </c>
      <c r="AV42" s="148">
        <v>-27.777777777777779</v>
      </c>
      <c r="AW42" s="148">
        <v>-27.777777777777779</v>
      </c>
      <c r="AX42" s="148">
        <v>-27.777777777777779</v>
      </c>
      <c r="AY42" s="148">
        <v>-27.777777777777779</v>
      </c>
      <c r="AZ42" s="148">
        <v>-27.777777777777779</v>
      </c>
      <c r="BA42" s="148">
        <v>-27.777777777777779</v>
      </c>
      <c r="BB42" s="148">
        <v>-27.777777777777779</v>
      </c>
      <c r="BC42" s="148">
        <v>-27.777777777777779</v>
      </c>
      <c r="BD42" s="148">
        <v>-27.777777777777779</v>
      </c>
      <c r="BE42" s="148">
        <v>-27.777777777777779</v>
      </c>
      <c r="BF42" s="148">
        <v>-27.777777777777779</v>
      </c>
      <c r="BG42" s="148">
        <v>-27.777777777777779</v>
      </c>
      <c r="BH42" s="148">
        <v>-27.777777777777779</v>
      </c>
      <c r="BI42" s="148">
        <v>-27.777777777777779</v>
      </c>
      <c r="BJ42" s="148">
        <v>-27.777777777777779</v>
      </c>
      <c r="BK42" s="148">
        <v>-27.777777777777779</v>
      </c>
      <c r="BL42" s="148">
        <v>-27.777777777777779</v>
      </c>
      <c r="BM42" s="148">
        <v>-27.777777777777779</v>
      </c>
      <c r="BN42" s="148">
        <v>-27.777777777777779</v>
      </c>
      <c r="BO42" s="148">
        <v>-27.777777777777779</v>
      </c>
      <c r="BP42" s="148"/>
      <c r="BQ42" s="148"/>
    </row>
    <row r="43" spans="3:84" s="22" customFormat="1">
      <c r="C43" s="47"/>
      <c r="D43" s="48"/>
      <c r="E43" s="49"/>
      <c r="F43" s="50"/>
      <c r="G43" s="51"/>
      <c r="H43" s="47"/>
      <c r="I43" s="47"/>
      <c r="J43" s="47"/>
      <c r="K43" s="47"/>
      <c r="L43" s="47"/>
      <c r="M43" s="47"/>
      <c r="N43" s="47"/>
      <c r="O43" s="47"/>
      <c r="P43" s="47"/>
      <c r="Q43" s="47"/>
      <c r="R43" s="47"/>
      <c r="S43" s="47"/>
      <c r="T43" s="47"/>
      <c r="U43" s="47"/>
      <c r="V43" s="47"/>
      <c r="W43" s="47"/>
      <c r="X43" s="47"/>
      <c r="Y43" s="47"/>
      <c r="Z43" s="47"/>
      <c r="AA43" s="47"/>
      <c r="AB43" s="47"/>
      <c r="AC43" s="47"/>
      <c r="AD43" s="47"/>
      <c r="AE43" s="47"/>
      <c r="AF43" s="47"/>
      <c r="AG43" s="47"/>
      <c r="AH43" s="47"/>
      <c r="AI43" s="47"/>
      <c r="AJ43" s="47"/>
      <c r="AK43" s="47"/>
      <c r="AL43" s="47"/>
      <c r="AM43" s="47"/>
      <c r="AN43" s="47"/>
      <c r="AO43" s="47"/>
      <c r="AP43" s="47"/>
      <c r="AQ43" s="47"/>
      <c r="AR43" s="47"/>
      <c r="AS43" s="47"/>
      <c r="AT43" s="47"/>
      <c r="AU43" s="47"/>
      <c r="AV43" s="47"/>
      <c r="AW43" s="47"/>
      <c r="AX43" s="47"/>
      <c r="AY43" s="47"/>
      <c r="AZ43" s="47"/>
      <c r="BA43" s="47"/>
      <c r="BB43" s="47"/>
      <c r="BC43" s="47"/>
      <c r="BD43" s="47"/>
      <c r="BE43" s="47"/>
      <c r="BF43" s="47"/>
      <c r="BG43" s="47"/>
      <c r="BH43" s="47"/>
      <c r="BI43" s="47"/>
      <c r="BJ43" s="47"/>
      <c r="BK43" s="47"/>
      <c r="BL43" s="47"/>
      <c r="BM43" s="47"/>
      <c r="BN43" s="47"/>
      <c r="BO43" s="47"/>
      <c r="BP43" s="47"/>
      <c r="BQ43" s="47"/>
    </row>
    <row r="44" spans="3:84" s="31" customFormat="1" ht="12" customHeight="1">
      <c r="C44" s="52" t="s">
        <v>1181</v>
      </c>
      <c r="D44" s="53"/>
      <c r="E44" s="54"/>
      <c r="F44" s="55"/>
      <c r="G44" s="56"/>
      <c r="H44" s="224" cm="1">
        <f t="array" aca="1" ref="H44:BO44" ca="1">_xlfn.ANCHORARRAY(H38)+_xlfn.ANCHORARRAY(H41)+_xlfn.ANCHORARRAY(H42)</f>
        <v>1046.0093172611087</v>
      </c>
      <c r="I44" s="224">
        <f ca="1"/>
        <v>-312.21989693889321</v>
      </c>
      <c r="J44" s="224">
        <f ca="1"/>
        <v>6489.3665424611008</v>
      </c>
      <c r="K44" s="224">
        <f ca="1"/>
        <v>6501.5797236080898</v>
      </c>
      <c r="L44" s="224">
        <f ca="1"/>
        <v>6508.8290318414056</v>
      </c>
      <c r="M44" s="224">
        <f ca="1"/>
        <v>6498.7190702747448</v>
      </c>
      <c r="N44" s="224">
        <f ca="1"/>
        <v>6510.1790855373129</v>
      </c>
      <c r="O44" s="224">
        <f ca="1"/>
        <v>6522.2625199281983</v>
      </c>
      <c r="P44" s="224">
        <f ca="1"/>
        <v>6533.6604748850659</v>
      </c>
      <c r="Q44" s="224">
        <f ca="1"/>
        <v>6553.7547418808881</v>
      </c>
      <c r="R44" s="224">
        <f ca="1"/>
        <v>6567.9831344142358</v>
      </c>
      <c r="S44" s="224">
        <f ca="1"/>
        <v>20338.055094403084</v>
      </c>
      <c r="T44" s="224">
        <f ca="1"/>
        <v>1193.6998642415842</v>
      </c>
      <c r="U44" s="224">
        <f ca="1"/>
        <v>-220.29382176034818</v>
      </c>
      <c r="V44" s="224">
        <f ca="1"/>
        <v>6888.8230869905838</v>
      </c>
      <c r="W44" s="224">
        <f ca="1"/>
        <v>6896.9889262352408</v>
      </c>
      <c r="X44" s="224">
        <f ca="1"/>
        <v>6910.8215022702188</v>
      </c>
      <c r="Y44" s="224">
        <f ca="1"/>
        <v>6923.5527329464476</v>
      </c>
      <c r="Z44" s="224">
        <f ca="1"/>
        <v>6935.0163759890111</v>
      </c>
      <c r="AA44" s="224">
        <f ca="1"/>
        <v>6946.5542759819491</v>
      </c>
      <c r="AB44" s="224">
        <f ca="1"/>
        <v>6947.5880310873017</v>
      </c>
      <c r="AC44" s="224">
        <f ca="1"/>
        <v>6960.7577297697098</v>
      </c>
      <c r="AD44" s="224">
        <f ca="1"/>
        <v>6972.4218832280403</v>
      </c>
      <c r="AE44" s="224">
        <f ca="1"/>
        <v>21266.256646483344</v>
      </c>
      <c r="AF44" s="224">
        <f ca="1"/>
        <v>1357.9881014691141</v>
      </c>
      <c r="AG44" s="224">
        <f ca="1"/>
        <v>-115.58461147492557</v>
      </c>
      <c r="AH44" s="224">
        <f ca="1"/>
        <v>7284.1282609841619</v>
      </c>
      <c r="AI44" s="224">
        <f ca="1"/>
        <v>7296.5024217321306</v>
      </c>
      <c r="AJ44" s="224">
        <f ca="1"/>
        <v>7304.1013144961962</v>
      </c>
      <c r="AK44" s="224">
        <f ca="1"/>
        <v>7317.0582783749924</v>
      </c>
      <c r="AL44" s="224">
        <f ca="1"/>
        <v>7324.7490694797516</v>
      </c>
      <c r="AM44" s="224">
        <f ca="1"/>
        <v>7326.3930808936602</v>
      </c>
      <c r="AN44" s="224">
        <f ca="1"/>
        <v>7338.5510110857413</v>
      </c>
      <c r="AO44" s="224">
        <f ca="1"/>
        <v>7351.3703266310504</v>
      </c>
      <c r="AP44" s="224">
        <f ca="1"/>
        <v>7363.4624170447551</v>
      </c>
      <c r="AQ44" s="224">
        <f ca="1"/>
        <v>22288.027340305493</v>
      </c>
      <c r="AR44" s="224">
        <f ca="1"/>
        <v>4339.0852879289123</v>
      </c>
      <c r="AS44" s="224">
        <f ca="1"/>
        <v>2809.0905479414082</v>
      </c>
      <c r="AT44" s="224">
        <f ca="1"/>
        <v>10508.062553596563</v>
      </c>
      <c r="AU44" s="224">
        <f ca="1"/>
        <v>10519.120371087634</v>
      </c>
      <c r="AV44" s="224">
        <f ca="1"/>
        <v>10533.303857002218</v>
      </c>
      <c r="AW44" s="224">
        <f ca="1"/>
        <v>10516.200347499955</v>
      </c>
      <c r="AX44" s="224">
        <f ca="1"/>
        <v>10530.875327415446</v>
      </c>
      <c r="AY44" s="224">
        <f ca="1"/>
        <v>10544.381890039856</v>
      </c>
      <c r="AZ44" s="224">
        <f ca="1"/>
        <v>10556.543668943745</v>
      </c>
      <c r="BA44" s="224">
        <f ca="1"/>
        <v>10568.784227046233</v>
      </c>
      <c r="BB44" s="224">
        <f ca="1"/>
        <v>10575.765097896168</v>
      </c>
      <c r="BC44" s="224">
        <f ca="1"/>
        <v>26100.035458615086</v>
      </c>
      <c r="BD44" s="224">
        <f ca="1"/>
        <v>4527.4494156579167</v>
      </c>
      <c r="BE44" s="224">
        <f ca="1"/>
        <v>2935.3600735009604</v>
      </c>
      <c r="BF44" s="224">
        <f ca="1"/>
        <v>10948.199078627613</v>
      </c>
      <c r="BG44" s="224">
        <f ca="1"/>
        <v>10955.666905816455</v>
      </c>
      <c r="BH44" s="224">
        <f ca="1"/>
        <v>10975.093512605084</v>
      </c>
      <c r="BI44" s="224">
        <f ca="1"/>
        <v>10988.22125974259</v>
      </c>
      <c r="BJ44" s="224">
        <f ca="1"/>
        <v>10996.282925075951</v>
      </c>
      <c r="BK44" s="224">
        <f ca="1"/>
        <v>11010.028968055005</v>
      </c>
      <c r="BL44" s="224">
        <f ca="1"/>
        <v>11018.188128338019</v>
      </c>
      <c r="BM44" s="224">
        <f ca="1"/>
        <v>11019.932260047051</v>
      </c>
      <c r="BN44" s="224">
        <f ca="1"/>
        <v>11032.830608187824</v>
      </c>
      <c r="BO44" s="224">
        <f ca="1"/>
        <v>27191.329620959725</v>
      </c>
      <c r="BP44" s="352"/>
      <c r="BQ44" s="352"/>
    </row>
    <row r="45" spans="3:84" s="22" customFormat="1">
      <c r="C45" s="47"/>
      <c r="D45" s="48"/>
      <c r="E45" s="49"/>
      <c r="F45" s="50"/>
      <c r="G45" s="51"/>
      <c r="H45" s="47"/>
      <c r="I45" s="47"/>
      <c r="J45" s="47"/>
      <c r="K45" s="47"/>
      <c r="L45" s="47"/>
      <c r="M45" s="47"/>
      <c r="N45" s="47"/>
      <c r="O45" s="47"/>
      <c r="P45" s="47"/>
      <c r="Q45" s="47"/>
      <c r="R45" s="47"/>
      <c r="S45" s="47"/>
      <c r="T45" s="47"/>
      <c r="U45" s="47"/>
      <c r="V45" s="47"/>
      <c r="W45" s="47"/>
      <c r="X45" s="47"/>
      <c r="Y45" s="47"/>
      <c r="Z45" s="47"/>
      <c r="AA45" s="47"/>
      <c r="AB45" s="47"/>
      <c r="AC45" s="47"/>
      <c r="AD45" s="47"/>
      <c r="AE45" s="47"/>
      <c r="AF45" s="47"/>
      <c r="AG45" s="47"/>
      <c r="AH45" s="47"/>
      <c r="AI45" s="47"/>
      <c r="AJ45" s="47"/>
      <c r="AK45" s="47"/>
      <c r="AL45" s="47"/>
      <c r="AM45" s="47"/>
      <c r="AN45" s="47"/>
      <c r="AO45" s="47"/>
      <c r="AP45" s="47"/>
      <c r="AQ45" s="47"/>
      <c r="AR45" s="47"/>
      <c r="AS45" s="47"/>
      <c r="AT45" s="47"/>
      <c r="AU45" s="47"/>
      <c r="AV45" s="47"/>
      <c r="AW45" s="47"/>
      <c r="AX45" s="47"/>
      <c r="AY45" s="47"/>
      <c r="AZ45" s="47"/>
      <c r="BA45" s="47"/>
      <c r="BB45" s="47"/>
      <c r="BC45" s="47"/>
      <c r="BD45" s="47"/>
      <c r="BE45" s="47"/>
      <c r="BF45" s="47"/>
      <c r="BG45" s="47"/>
      <c r="BH45" s="47"/>
      <c r="BI45" s="47"/>
      <c r="BJ45" s="47"/>
      <c r="BK45" s="47"/>
      <c r="BL45" s="47"/>
      <c r="BM45" s="47"/>
      <c r="BN45" s="47"/>
      <c r="BO45" s="47"/>
      <c r="BP45" s="47"/>
      <c r="BQ45" s="47"/>
    </row>
    <row r="46" spans="3:84" s="22" customFormat="1">
      <c r="C46" s="47" t="s">
        <v>1182</v>
      </c>
      <c r="D46" s="48"/>
      <c r="E46" s="49"/>
      <c r="F46" s="50"/>
      <c r="G46" s="51"/>
      <c r="H46" s="148" cm="1">
        <f t="array" aca="1" ref="H46:BO46" ca="1">H513:BO513</f>
        <v>-309.58333333333337</v>
      </c>
      <c r="I46" s="148">
        <f ca="1"/>
        <v>-356.49121662380759</v>
      </c>
      <c r="J46" s="148">
        <f ca="1"/>
        <v>-354.99797889714722</v>
      </c>
      <c r="K46" s="148">
        <f ca="1"/>
        <v>-298.01041666666663</v>
      </c>
      <c r="L46" s="148">
        <f ca="1"/>
        <v>-294.15277777777771</v>
      </c>
      <c r="M46" s="148">
        <f ca="1"/>
        <v>-290.2951388888888</v>
      </c>
      <c r="N46" s="148">
        <f ca="1"/>
        <v>-286.4375</v>
      </c>
      <c r="O46" s="148">
        <f ca="1"/>
        <v>-282.57986111111109</v>
      </c>
      <c r="P46" s="148">
        <f ca="1"/>
        <v>-278.72222222222217</v>
      </c>
      <c r="Q46" s="148">
        <f ca="1"/>
        <v>-274.86458333333326</v>
      </c>
      <c r="R46" s="148">
        <f ca="1"/>
        <v>-271.00694444444434</v>
      </c>
      <c r="S46" s="148">
        <f ca="1"/>
        <v>-267.14930555555543</v>
      </c>
      <c r="T46" s="148">
        <f ca="1"/>
        <v>-257.29166666666657</v>
      </c>
      <c r="U46" s="148">
        <f ca="1"/>
        <v>-253.55902777777766</v>
      </c>
      <c r="V46" s="148">
        <f ca="1"/>
        <v>-249.8263888888888</v>
      </c>
      <c r="W46" s="148">
        <f ca="1"/>
        <v>-246.09374999999989</v>
      </c>
      <c r="X46" s="148">
        <f ca="1"/>
        <v>-242.36111111111097</v>
      </c>
      <c r="Y46" s="148">
        <f ca="1"/>
        <v>-238.62847222222206</v>
      </c>
      <c r="Z46" s="148">
        <f ca="1"/>
        <v>-234.8958333333332</v>
      </c>
      <c r="AA46" s="148">
        <f ca="1"/>
        <v>-231.16319444444429</v>
      </c>
      <c r="AB46" s="148">
        <f ca="1"/>
        <v>-227.43055555555534</v>
      </c>
      <c r="AC46" s="148">
        <f ca="1"/>
        <v>-223.69791666666646</v>
      </c>
      <c r="AD46" s="148">
        <f ca="1"/>
        <v>-219.96527777777757</v>
      </c>
      <c r="AE46" s="148">
        <f ca="1"/>
        <v>-216.23263888888866</v>
      </c>
      <c r="AF46" s="148">
        <f ca="1"/>
        <v>-208.74999999999977</v>
      </c>
      <c r="AG46" s="148">
        <f ca="1"/>
        <v>-205.12152777777754</v>
      </c>
      <c r="AH46" s="148">
        <f ca="1"/>
        <v>-201.49305555555532</v>
      </c>
      <c r="AI46" s="148">
        <f ca="1"/>
        <v>-197.86458333333306</v>
      </c>
      <c r="AJ46" s="148">
        <f ca="1"/>
        <v>-194.23611111111083</v>
      </c>
      <c r="AK46" s="148">
        <f ca="1"/>
        <v>-190.60763888888863</v>
      </c>
      <c r="AL46" s="148">
        <f ca="1"/>
        <v>-186.97916666666637</v>
      </c>
      <c r="AM46" s="148">
        <f ca="1"/>
        <v>-183.35069444444412</v>
      </c>
      <c r="AN46" s="148">
        <f ca="1"/>
        <v>-179.72222222222192</v>
      </c>
      <c r="AO46" s="148">
        <f ca="1"/>
        <v>-176.09374999999969</v>
      </c>
      <c r="AP46" s="148">
        <f ca="1"/>
        <v>-172.46527777777743</v>
      </c>
      <c r="AQ46" s="148">
        <f ca="1"/>
        <v>-168.83680555555526</v>
      </c>
      <c r="AR46" s="148">
        <f ca="1"/>
        <v>-165.20833333333303</v>
      </c>
      <c r="AS46" s="148">
        <f ca="1"/>
        <v>-161.5798611111108</v>
      </c>
      <c r="AT46" s="148">
        <f ca="1"/>
        <v>-157.9513888888886</v>
      </c>
      <c r="AU46" s="148">
        <f ca="1"/>
        <v>-154.32291666666637</v>
      </c>
      <c r="AV46" s="148">
        <f ca="1"/>
        <v>-150.69444444444417</v>
      </c>
      <c r="AW46" s="148">
        <f ca="1"/>
        <v>-147.06597222222194</v>
      </c>
      <c r="AX46" s="148">
        <f ca="1"/>
        <v>-143.43749999999972</v>
      </c>
      <c r="AY46" s="148">
        <f ca="1"/>
        <v>-139.80902777777752</v>
      </c>
      <c r="AZ46" s="148">
        <f ca="1"/>
        <v>-136.18055555555529</v>
      </c>
      <c r="BA46" s="148">
        <f ca="1"/>
        <v>-132.55208333333309</v>
      </c>
      <c r="BB46" s="148">
        <f ca="1"/>
        <v>-128.92361111111086</v>
      </c>
      <c r="BC46" s="148">
        <f ca="1"/>
        <v>-125.29513888888863</v>
      </c>
      <c r="BD46" s="148">
        <f ca="1"/>
        <v>-121.66666666666642</v>
      </c>
      <c r="BE46" s="148">
        <f ca="1"/>
        <v>-118.0381944444442</v>
      </c>
      <c r="BF46" s="148">
        <f ca="1"/>
        <v>-114.40972222222197</v>
      </c>
      <c r="BG46" s="148">
        <f ca="1"/>
        <v>-110.78124999999976</v>
      </c>
      <c r="BH46" s="148">
        <f ca="1"/>
        <v>-107.15277777777754</v>
      </c>
      <c r="BI46" s="148">
        <f ca="1"/>
        <v>-103.52430555555533</v>
      </c>
      <c r="BJ46" s="148">
        <f ca="1"/>
        <v>-99.895833333333101</v>
      </c>
      <c r="BK46" s="148">
        <f ca="1"/>
        <v>-96.267361111110901</v>
      </c>
      <c r="BL46" s="148">
        <f ca="1"/>
        <v>-92.638888888888658</v>
      </c>
      <c r="BM46" s="148">
        <f ca="1"/>
        <v>-89.010416666666458</v>
      </c>
      <c r="BN46" s="148">
        <f ca="1"/>
        <v>-85.381944444444244</v>
      </c>
      <c r="BO46" s="148">
        <f ca="1"/>
        <v>-81.753472222222015</v>
      </c>
      <c r="BP46" s="148"/>
      <c r="BQ46" s="148"/>
    </row>
    <row r="47" spans="3:84" s="22" customFormat="1">
      <c r="C47" s="47"/>
      <c r="D47" s="48"/>
      <c r="E47" s="49"/>
      <c r="F47" s="50"/>
      <c r="G47" s="51"/>
      <c r="H47" s="47"/>
      <c r="I47" s="47"/>
      <c r="J47" s="47"/>
      <c r="K47" s="47"/>
      <c r="L47" s="47"/>
      <c r="M47" s="47"/>
      <c r="N47" s="47"/>
      <c r="O47" s="47"/>
      <c r="P47" s="47"/>
      <c r="Q47" s="47"/>
      <c r="R47" s="47"/>
      <c r="S47" s="47"/>
      <c r="T47" s="47"/>
      <c r="U47" s="47"/>
      <c r="V47" s="47"/>
      <c r="W47" s="47"/>
      <c r="X47" s="47"/>
      <c r="Y47" s="47"/>
      <c r="Z47" s="47"/>
      <c r="AA47" s="47"/>
      <c r="AB47" s="47"/>
      <c r="AC47" s="47"/>
      <c r="AD47" s="47"/>
      <c r="AE47" s="47"/>
      <c r="AF47" s="47"/>
      <c r="AG47" s="47"/>
      <c r="AH47" s="47"/>
      <c r="AI47" s="47"/>
      <c r="AJ47" s="47"/>
      <c r="AK47" s="47"/>
      <c r="AL47" s="47"/>
      <c r="AM47" s="47"/>
      <c r="AN47" s="47"/>
      <c r="AO47" s="47"/>
      <c r="AP47" s="47"/>
      <c r="AQ47" s="47"/>
      <c r="AR47" s="47"/>
      <c r="AS47" s="47"/>
      <c r="AT47" s="47"/>
      <c r="AU47" s="47"/>
      <c r="AV47" s="47"/>
      <c r="AW47" s="47"/>
      <c r="AX47" s="47"/>
      <c r="AY47" s="47"/>
      <c r="AZ47" s="47"/>
      <c r="BA47" s="47"/>
      <c r="BB47" s="47"/>
      <c r="BC47" s="47"/>
      <c r="BD47" s="47"/>
      <c r="BE47" s="47"/>
      <c r="BF47" s="47"/>
      <c r="BG47" s="47"/>
      <c r="BH47" s="47"/>
      <c r="BI47" s="47"/>
      <c r="BJ47" s="47"/>
      <c r="BK47" s="47"/>
      <c r="BL47" s="47"/>
      <c r="BM47" s="47"/>
      <c r="BN47" s="47"/>
      <c r="BO47" s="47"/>
      <c r="BP47" s="47"/>
      <c r="BQ47" s="47"/>
    </row>
    <row r="48" spans="3:84" s="31" customFormat="1" ht="12" customHeight="1">
      <c r="C48" s="52" t="s">
        <v>1183</v>
      </c>
      <c r="D48" s="53"/>
      <c r="E48" s="54"/>
      <c r="F48" s="55"/>
      <c r="G48" s="56"/>
      <c r="H48" s="224" cm="1">
        <f t="array" aca="1" ref="H48:BO48" ca="1">_xlfn.ANCHORARRAY(H44)+_xlfn.ANCHORARRAY(H46)</f>
        <v>736.42598392777529</v>
      </c>
      <c r="I48" s="224">
        <f ca="1"/>
        <v>-668.7111135627008</v>
      </c>
      <c r="J48" s="224">
        <f ca="1"/>
        <v>6134.368563563954</v>
      </c>
      <c r="K48" s="224">
        <f ca="1"/>
        <v>6203.5693069414228</v>
      </c>
      <c r="L48" s="224">
        <f ca="1"/>
        <v>6214.6762540636282</v>
      </c>
      <c r="M48" s="224">
        <f ca="1"/>
        <v>6208.4239313858561</v>
      </c>
      <c r="N48" s="224">
        <f ca="1"/>
        <v>6223.7415855373129</v>
      </c>
      <c r="O48" s="224">
        <f ca="1"/>
        <v>6239.682658817087</v>
      </c>
      <c r="P48" s="224">
        <f ca="1"/>
        <v>6254.9382526628433</v>
      </c>
      <c r="Q48" s="224">
        <f ca="1"/>
        <v>6278.8901585475551</v>
      </c>
      <c r="R48" s="224">
        <f ca="1"/>
        <v>6296.9761899697914</v>
      </c>
      <c r="S48" s="224">
        <f ca="1"/>
        <v>20070.905788847529</v>
      </c>
      <c r="T48" s="224">
        <f ca="1"/>
        <v>936.40819757491772</v>
      </c>
      <c r="U48" s="224">
        <f ca="1"/>
        <v>-473.85284953812584</v>
      </c>
      <c r="V48" s="224">
        <f ca="1"/>
        <v>6638.9966981016951</v>
      </c>
      <c r="W48" s="224">
        <f ca="1"/>
        <v>6650.8951762352408</v>
      </c>
      <c r="X48" s="224">
        <f ca="1"/>
        <v>6668.4603911591075</v>
      </c>
      <c r="Y48" s="224">
        <f ca="1"/>
        <v>6684.9242607242259</v>
      </c>
      <c r="Z48" s="224">
        <f ca="1"/>
        <v>6700.120542655678</v>
      </c>
      <c r="AA48" s="224">
        <f ca="1"/>
        <v>6715.3910815375048</v>
      </c>
      <c r="AB48" s="224">
        <f ca="1"/>
        <v>6720.1574755317461</v>
      </c>
      <c r="AC48" s="224">
        <f ca="1"/>
        <v>6737.0598131030438</v>
      </c>
      <c r="AD48" s="224">
        <f ca="1"/>
        <v>6752.4566054502629</v>
      </c>
      <c r="AE48" s="224">
        <f ca="1"/>
        <v>21050.024007594457</v>
      </c>
      <c r="AF48" s="224">
        <f ca="1"/>
        <v>1149.2381014691143</v>
      </c>
      <c r="AG48" s="224">
        <f ca="1"/>
        <v>-320.70613925270311</v>
      </c>
      <c r="AH48" s="224">
        <f ca="1"/>
        <v>7082.6352054286062</v>
      </c>
      <c r="AI48" s="224">
        <f ca="1"/>
        <v>7098.6378383987976</v>
      </c>
      <c r="AJ48" s="224">
        <f ca="1"/>
        <v>7109.8652033850858</v>
      </c>
      <c r="AK48" s="224">
        <f ca="1"/>
        <v>7126.4506394861037</v>
      </c>
      <c r="AL48" s="224">
        <f ca="1"/>
        <v>7137.7699028130855</v>
      </c>
      <c r="AM48" s="224">
        <f ca="1"/>
        <v>7143.0423864492159</v>
      </c>
      <c r="AN48" s="224">
        <f ca="1"/>
        <v>7158.8287888635195</v>
      </c>
      <c r="AO48" s="224">
        <f ca="1"/>
        <v>7175.2765766310504</v>
      </c>
      <c r="AP48" s="224">
        <f ca="1"/>
        <v>7190.9971392669777</v>
      </c>
      <c r="AQ48" s="224">
        <f ca="1"/>
        <v>22119.190534749938</v>
      </c>
      <c r="AR48" s="224">
        <f ca="1"/>
        <v>4173.8769545955793</v>
      </c>
      <c r="AS48" s="224">
        <f ca="1"/>
        <v>2647.5106868302973</v>
      </c>
      <c r="AT48" s="224">
        <f ca="1"/>
        <v>10350.111164707674</v>
      </c>
      <c r="AU48" s="224">
        <f ca="1"/>
        <v>10364.797454420968</v>
      </c>
      <c r="AV48" s="224">
        <f ca="1"/>
        <v>10382.609412557775</v>
      </c>
      <c r="AW48" s="224">
        <f ca="1"/>
        <v>10369.134375277732</v>
      </c>
      <c r="AX48" s="224">
        <f ca="1"/>
        <v>10387.437827415446</v>
      </c>
      <c r="AY48" s="224">
        <f ca="1"/>
        <v>10404.572862262079</v>
      </c>
      <c r="AZ48" s="224">
        <f ca="1"/>
        <v>10420.36311338819</v>
      </c>
      <c r="BA48" s="224">
        <f ca="1"/>
        <v>10436.232143712899</v>
      </c>
      <c r="BB48" s="224">
        <f ca="1"/>
        <v>10446.841486785057</v>
      </c>
      <c r="BC48" s="224">
        <f ca="1"/>
        <v>25974.740319726199</v>
      </c>
      <c r="BD48" s="224">
        <f ca="1"/>
        <v>4405.7827489912506</v>
      </c>
      <c r="BE48" s="224">
        <f ca="1"/>
        <v>2817.3218790565161</v>
      </c>
      <c r="BF48" s="224">
        <f ca="1"/>
        <v>10833.78935640539</v>
      </c>
      <c r="BG48" s="224">
        <f ca="1"/>
        <v>10844.885655816455</v>
      </c>
      <c r="BH48" s="224">
        <f ca="1"/>
        <v>10867.940734827307</v>
      </c>
      <c r="BI48" s="224">
        <f ca="1"/>
        <v>10884.696954187035</v>
      </c>
      <c r="BJ48" s="224">
        <f ca="1"/>
        <v>10896.387091742617</v>
      </c>
      <c r="BK48" s="224">
        <f ca="1"/>
        <v>10913.761606943894</v>
      </c>
      <c r="BL48" s="224">
        <f ca="1"/>
        <v>10925.54923944913</v>
      </c>
      <c r="BM48" s="224">
        <f ca="1"/>
        <v>10930.921843380385</v>
      </c>
      <c r="BN48" s="224">
        <f ca="1"/>
        <v>10947.44866374338</v>
      </c>
      <c r="BO48" s="224">
        <f ca="1"/>
        <v>27109.576148737502</v>
      </c>
      <c r="BP48" s="352"/>
      <c r="BQ48" s="352"/>
    </row>
    <row r="49" spans="2:69" s="22" customFormat="1">
      <c r="C49" s="47"/>
      <c r="D49" s="48"/>
      <c r="E49" s="49"/>
      <c r="F49" s="50"/>
      <c r="G49" s="51"/>
      <c r="H49" s="47"/>
      <c r="I49" s="47"/>
      <c r="J49" s="47"/>
      <c r="K49" s="47"/>
      <c r="L49" s="47"/>
      <c r="M49" s="47"/>
      <c r="N49" s="47"/>
      <c r="O49" s="47"/>
      <c r="P49" s="47"/>
      <c r="Q49" s="47"/>
      <c r="R49" s="47"/>
      <c r="S49" s="47"/>
      <c r="T49" s="47"/>
      <c r="U49" s="47"/>
      <c r="V49" s="47"/>
      <c r="W49" s="47"/>
      <c r="X49" s="47"/>
      <c r="Y49" s="47"/>
      <c r="Z49" s="47"/>
      <c r="AA49" s="47"/>
      <c r="AB49" s="47"/>
      <c r="AC49" s="47"/>
      <c r="AD49" s="47"/>
      <c r="AE49" s="47"/>
      <c r="AF49" s="47"/>
      <c r="AG49" s="47"/>
      <c r="AH49" s="47"/>
      <c r="AI49" s="47"/>
      <c r="AJ49" s="47"/>
      <c r="AK49" s="47"/>
      <c r="AL49" s="47"/>
      <c r="AM49" s="47"/>
      <c r="AN49" s="47"/>
      <c r="AO49" s="47"/>
      <c r="AP49" s="47"/>
      <c r="AQ49" s="47"/>
      <c r="AR49" s="47"/>
      <c r="AS49" s="47"/>
      <c r="AT49" s="47"/>
      <c r="AU49" s="47"/>
      <c r="AV49" s="47"/>
      <c r="AW49" s="47"/>
      <c r="AX49" s="47"/>
      <c r="AY49" s="47"/>
      <c r="AZ49" s="47"/>
      <c r="BA49" s="47"/>
      <c r="BB49" s="47"/>
      <c r="BC49" s="47"/>
      <c r="BD49" s="47"/>
      <c r="BE49" s="47"/>
      <c r="BF49" s="47"/>
      <c r="BG49" s="47"/>
      <c r="BH49" s="47"/>
      <c r="BI49" s="47"/>
      <c r="BJ49" s="47"/>
      <c r="BK49" s="47"/>
      <c r="BL49" s="47"/>
      <c r="BM49" s="47"/>
      <c r="BN49" s="47"/>
      <c r="BO49" s="47"/>
      <c r="BP49" s="47"/>
      <c r="BQ49" s="47"/>
    </row>
    <row r="50" spans="2:69" s="22" customFormat="1">
      <c r="C50" s="47" t="s">
        <v>1184</v>
      </c>
      <c r="D50" s="249">
        <f>Assumptions!D61</f>
        <v>0.2</v>
      </c>
      <c r="E50" s="49"/>
      <c r="F50" s="50"/>
      <c r="G50" s="66"/>
      <c r="H50" s="148" cm="1">
        <f t="array" aca="1" ref="H50:BO50" ca="1">-_xlfn.ANCHORARRAY(H48)*D50</f>
        <v>-147.28519678555506</v>
      </c>
      <c r="I50" s="148">
        <f ca="1"/>
        <v>133.74222271254015</v>
      </c>
      <c r="J50" s="148">
        <f ca="1"/>
        <v>-1226.8737127127908</v>
      </c>
      <c r="K50" s="148">
        <f ca="1"/>
        <v>-1240.7138613882846</v>
      </c>
      <c r="L50" s="148">
        <f ca="1"/>
        <v>-1242.9352508127258</v>
      </c>
      <c r="M50" s="148">
        <f ca="1"/>
        <v>-1241.6847862771713</v>
      </c>
      <c r="N50" s="148">
        <f ca="1"/>
        <v>-1244.7483171074628</v>
      </c>
      <c r="O50" s="148">
        <f ca="1"/>
        <v>-1247.9365317634174</v>
      </c>
      <c r="P50" s="148">
        <f ca="1"/>
        <v>-1250.9876505325688</v>
      </c>
      <c r="Q50" s="148">
        <f ca="1"/>
        <v>-1255.7780317095112</v>
      </c>
      <c r="R50" s="148">
        <f ca="1"/>
        <v>-1259.3952379939583</v>
      </c>
      <c r="S50" s="148">
        <f ca="1"/>
        <v>-4014.1811577695062</v>
      </c>
      <c r="T50" s="148">
        <f ca="1"/>
        <v>-187.28163951498357</v>
      </c>
      <c r="U50" s="148">
        <f ca="1"/>
        <v>94.770569907625173</v>
      </c>
      <c r="V50" s="148">
        <f ca="1"/>
        <v>-1327.7993396203392</v>
      </c>
      <c r="W50" s="148">
        <f ca="1"/>
        <v>-1330.1790352470482</v>
      </c>
      <c r="X50" s="148">
        <f ca="1"/>
        <v>-1333.6920782318216</v>
      </c>
      <c r="Y50" s="148">
        <f ca="1"/>
        <v>-1336.9848521448453</v>
      </c>
      <c r="Z50" s="148">
        <f ca="1"/>
        <v>-1340.0241085311357</v>
      </c>
      <c r="AA50" s="148">
        <f ca="1"/>
        <v>-1343.078216307501</v>
      </c>
      <c r="AB50" s="148">
        <f ca="1"/>
        <v>-1344.0314951063492</v>
      </c>
      <c r="AC50" s="148">
        <f ca="1"/>
        <v>-1347.4119626206088</v>
      </c>
      <c r="AD50" s="148">
        <f ca="1"/>
        <v>-1350.4913210900527</v>
      </c>
      <c r="AE50" s="148">
        <f ca="1"/>
        <v>-4210.0048015188913</v>
      </c>
      <c r="AF50" s="148">
        <f ca="1"/>
        <v>-229.84762029382287</v>
      </c>
      <c r="AG50" s="148">
        <f ca="1"/>
        <v>64.141227850540631</v>
      </c>
      <c r="AH50" s="148">
        <f ca="1"/>
        <v>-1416.5270410857213</v>
      </c>
      <c r="AI50" s="148">
        <f ca="1"/>
        <v>-1419.7275676797597</v>
      </c>
      <c r="AJ50" s="148">
        <f ca="1"/>
        <v>-1421.9730406770173</v>
      </c>
      <c r="AK50" s="148">
        <f ca="1"/>
        <v>-1425.2901278972208</v>
      </c>
      <c r="AL50" s="148">
        <f ca="1"/>
        <v>-1427.5539805626172</v>
      </c>
      <c r="AM50" s="148">
        <f ca="1"/>
        <v>-1428.6084772898432</v>
      </c>
      <c r="AN50" s="148">
        <f ca="1"/>
        <v>-1431.7657577727041</v>
      </c>
      <c r="AO50" s="148">
        <f ca="1"/>
        <v>-1435.0553153262101</v>
      </c>
      <c r="AP50" s="148">
        <f ca="1"/>
        <v>-1438.1994278533957</v>
      </c>
      <c r="AQ50" s="148">
        <f ca="1"/>
        <v>-4423.8381069499874</v>
      </c>
      <c r="AR50" s="148">
        <f ca="1"/>
        <v>-834.77539091911592</v>
      </c>
      <c r="AS50" s="148">
        <f ca="1"/>
        <v>-529.50213736605951</v>
      </c>
      <c r="AT50" s="148">
        <f ca="1"/>
        <v>-2070.0222329415351</v>
      </c>
      <c r="AU50" s="148">
        <f ca="1"/>
        <v>-2072.9594908841937</v>
      </c>
      <c r="AV50" s="148">
        <f ca="1"/>
        <v>-2076.5218825115548</v>
      </c>
      <c r="AW50" s="148">
        <f ca="1"/>
        <v>-2073.8268750555467</v>
      </c>
      <c r="AX50" s="148">
        <f ca="1"/>
        <v>-2077.4875654830894</v>
      </c>
      <c r="AY50" s="148">
        <f ca="1"/>
        <v>-2080.914572452416</v>
      </c>
      <c r="AZ50" s="148">
        <f ca="1"/>
        <v>-2084.0726226776383</v>
      </c>
      <c r="BA50" s="148">
        <f ca="1"/>
        <v>-2087.2464287425801</v>
      </c>
      <c r="BB50" s="148">
        <f ca="1"/>
        <v>-2089.3682973570117</v>
      </c>
      <c r="BC50" s="148">
        <f ca="1"/>
        <v>-5194.9480639452404</v>
      </c>
      <c r="BD50" s="148">
        <f ca="1"/>
        <v>-881.15654979825013</v>
      </c>
      <c r="BE50" s="148">
        <f ca="1"/>
        <v>-563.46437581130328</v>
      </c>
      <c r="BF50" s="148">
        <f ca="1"/>
        <v>-2166.7578712810782</v>
      </c>
      <c r="BG50" s="148">
        <f ca="1"/>
        <v>-2168.9771311632912</v>
      </c>
      <c r="BH50" s="148">
        <f ca="1"/>
        <v>-2173.5881469654614</v>
      </c>
      <c r="BI50" s="148">
        <f ca="1"/>
        <v>-2176.9393908374072</v>
      </c>
      <c r="BJ50" s="148">
        <f ca="1"/>
        <v>-2179.2774183485235</v>
      </c>
      <c r="BK50" s="148">
        <f ca="1"/>
        <v>-2182.7523213887789</v>
      </c>
      <c r="BL50" s="148">
        <f ca="1"/>
        <v>-2185.1098478898261</v>
      </c>
      <c r="BM50" s="148">
        <f ca="1"/>
        <v>-2186.1843686760772</v>
      </c>
      <c r="BN50" s="148">
        <f ca="1"/>
        <v>-2189.489732748676</v>
      </c>
      <c r="BO50" s="148">
        <f ca="1"/>
        <v>-5421.9152297475011</v>
      </c>
      <c r="BP50" s="148"/>
      <c r="BQ50" s="148"/>
    </row>
    <row r="51" spans="2:69" s="22" customFormat="1">
      <c r="C51" s="47"/>
      <c r="D51" s="48"/>
      <c r="E51" s="49"/>
      <c r="F51" s="50"/>
      <c r="G51" s="51"/>
      <c r="H51" s="47"/>
      <c r="I51" s="47"/>
      <c r="J51" s="47"/>
      <c r="K51" s="47"/>
      <c r="L51" s="47"/>
      <c r="M51" s="47"/>
      <c r="N51" s="47"/>
      <c r="O51" s="47"/>
      <c r="P51" s="47"/>
      <c r="Q51" s="47"/>
      <c r="R51" s="47"/>
      <c r="S51" s="47"/>
      <c r="T51" s="47"/>
      <c r="U51" s="47"/>
      <c r="V51" s="47"/>
      <c r="W51" s="47"/>
      <c r="X51" s="47"/>
      <c r="Y51" s="47"/>
      <c r="Z51" s="47"/>
      <c r="AA51" s="47"/>
      <c r="AB51" s="47"/>
      <c r="AC51" s="47"/>
      <c r="AD51" s="47"/>
      <c r="AE51" s="47"/>
      <c r="AF51" s="47"/>
      <c r="AG51" s="47"/>
      <c r="AH51" s="47"/>
      <c r="AI51" s="47"/>
      <c r="AJ51" s="47"/>
      <c r="AK51" s="47"/>
      <c r="AL51" s="47"/>
      <c r="AM51" s="47"/>
      <c r="AN51" s="47"/>
      <c r="AO51" s="47"/>
      <c r="AP51" s="47"/>
      <c r="AQ51" s="47"/>
      <c r="AR51" s="47"/>
      <c r="AS51" s="47"/>
      <c r="AT51" s="47"/>
      <c r="AU51" s="47"/>
      <c r="AV51" s="47"/>
      <c r="AW51" s="47"/>
      <c r="AX51" s="47"/>
      <c r="AY51" s="47"/>
      <c r="AZ51" s="47"/>
      <c r="BA51" s="47"/>
      <c r="BB51" s="47"/>
      <c r="BC51" s="47"/>
      <c r="BD51" s="47"/>
      <c r="BE51" s="47"/>
      <c r="BF51" s="47"/>
      <c r="BG51" s="47"/>
      <c r="BH51" s="47"/>
      <c r="BI51" s="47"/>
      <c r="BJ51" s="47"/>
      <c r="BK51" s="47"/>
      <c r="BL51" s="47"/>
      <c r="BM51" s="47"/>
      <c r="BN51" s="47"/>
      <c r="BO51" s="47"/>
      <c r="BP51" s="47"/>
      <c r="BQ51" s="47"/>
    </row>
    <row r="52" spans="2:69" s="31" customFormat="1" ht="12" customHeight="1">
      <c r="C52" s="52" t="s">
        <v>21</v>
      </c>
      <c r="D52" s="53"/>
      <c r="E52" s="54"/>
      <c r="F52" s="55"/>
      <c r="G52" s="56"/>
      <c r="H52" s="224" cm="1">
        <f t="array" aca="1" ref="H52:BO52" ca="1">_xlfn.ANCHORARRAY(H48)+_xlfn.ANCHORARRAY(H50)</f>
        <v>589.14078714222023</v>
      </c>
      <c r="I52" s="224">
        <f ca="1"/>
        <v>-534.96889085016062</v>
      </c>
      <c r="J52" s="224">
        <f ca="1"/>
        <v>4907.4948508511634</v>
      </c>
      <c r="K52" s="224">
        <f ca="1"/>
        <v>4962.8554455531385</v>
      </c>
      <c r="L52" s="224">
        <f ca="1"/>
        <v>4971.7410032509024</v>
      </c>
      <c r="M52" s="224">
        <f ca="1"/>
        <v>4966.7391451086851</v>
      </c>
      <c r="N52" s="224">
        <f ca="1"/>
        <v>4978.9932684298501</v>
      </c>
      <c r="O52" s="224">
        <f ca="1"/>
        <v>4991.7461270536696</v>
      </c>
      <c r="P52" s="224">
        <f ca="1"/>
        <v>5003.950602130275</v>
      </c>
      <c r="Q52" s="224">
        <f ca="1"/>
        <v>5023.1121268380439</v>
      </c>
      <c r="R52" s="224">
        <f ca="1"/>
        <v>5037.5809519758332</v>
      </c>
      <c r="S52" s="224">
        <f ca="1"/>
        <v>16056.724631078023</v>
      </c>
      <c r="T52" s="224">
        <f ca="1"/>
        <v>749.12655805993415</v>
      </c>
      <c r="U52" s="224">
        <f ca="1"/>
        <v>-379.08227963050069</v>
      </c>
      <c r="V52" s="224">
        <f ca="1"/>
        <v>5311.1973584813559</v>
      </c>
      <c r="W52" s="224">
        <f ca="1"/>
        <v>5320.7161409881928</v>
      </c>
      <c r="X52" s="224">
        <f ca="1"/>
        <v>5334.7683129272864</v>
      </c>
      <c r="Y52" s="224">
        <f ca="1"/>
        <v>5347.9394085793811</v>
      </c>
      <c r="Z52" s="224">
        <f ca="1"/>
        <v>5360.0964341245426</v>
      </c>
      <c r="AA52" s="224">
        <f ca="1"/>
        <v>5372.3128652300038</v>
      </c>
      <c r="AB52" s="224">
        <f ca="1"/>
        <v>5376.1259804253968</v>
      </c>
      <c r="AC52" s="224">
        <f ca="1"/>
        <v>5389.6478504824354</v>
      </c>
      <c r="AD52" s="224">
        <f ca="1"/>
        <v>5401.9652843602107</v>
      </c>
      <c r="AE52" s="224">
        <f ca="1"/>
        <v>16840.019206075565</v>
      </c>
      <c r="AF52" s="224">
        <f ca="1"/>
        <v>919.39048117529148</v>
      </c>
      <c r="AG52" s="224">
        <f ca="1"/>
        <v>-256.56491140216247</v>
      </c>
      <c r="AH52" s="224">
        <f ca="1"/>
        <v>5666.1081643428852</v>
      </c>
      <c r="AI52" s="224">
        <f ca="1"/>
        <v>5678.9102707190377</v>
      </c>
      <c r="AJ52" s="224">
        <f ca="1"/>
        <v>5687.892162708069</v>
      </c>
      <c r="AK52" s="224">
        <f ca="1"/>
        <v>5701.1605115888833</v>
      </c>
      <c r="AL52" s="224">
        <f ca="1"/>
        <v>5710.2159222504688</v>
      </c>
      <c r="AM52" s="224">
        <f ca="1"/>
        <v>5714.4339091593729</v>
      </c>
      <c r="AN52" s="224">
        <f ca="1"/>
        <v>5727.0630310908155</v>
      </c>
      <c r="AO52" s="224">
        <f ca="1"/>
        <v>5740.2212613048405</v>
      </c>
      <c r="AP52" s="224">
        <f ca="1"/>
        <v>5752.797711413582</v>
      </c>
      <c r="AQ52" s="224">
        <f ca="1"/>
        <v>17695.35242779995</v>
      </c>
      <c r="AR52" s="224">
        <f ca="1"/>
        <v>3339.1015636764632</v>
      </c>
      <c r="AS52" s="224">
        <f ca="1"/>
        <v>2118.0085494642381</v>
      </c>
      <c r="AT52" s="224">
        <f ca="1"/>
        <v>8280.0889317661386</v>
      </c>
      <c r="AU52" s="224">
        <f ca="1"/>
        <v>8291.8379635367746</v>
      </c>
      <c r="AV52" s="224">
        <f ca="1"/>
        <v>8306.0875300462194</v>
      </c>
      <c r="AW52" s="224">
        <f ca="1"/>
        <v>8295.3075002221849</v>
      </c>
      <c r="AX52" s="224">
        <f ca="1"/>
        <v>8309.9502619323575</v>
      </c>
      <c r="AY52" s="224">
        <f ca="1"/>
        <v>8323.658289809664</v>
      </c>
      <c r="AZ52" s="224">
        <f ca="1"/>
        <v>8336.2904907105512</v>
      </c>
      <c r="BA52" s="224">
        <f ca="1"/>
        <v>8348.9857149703203</v>
      </c>
      <c r="BB52" s="224">
        <f ca="1"/>
        <v>8357.4731894280449</v>
      </c>
      <c r="BC52" s="224">
        <f ca="1"/>
        <v>20779.792255780958</v>
      </c>
      <c r="BD52" s="224">
        <f ca="1"/>
        <v>3524.6261991930005</v>
      </c>
      <c r="BE52" s="224">
        <f ca="1"/>
        <v>2253.8575032452127</v>
      </c>
      <c r="BF52" s="224">
        <f ca="1"/>
        <v>8667.0314851243129</v>
      </c>
      <c r="BG52" s="224">
        <f ca="1"/>
        <v>8675.9085246531649</v>
      </c>
      <c r="BH52" s="224">
        <f ca="1"/>
        <v>8694.3525878618457</v>
      </c>
      <c r="BI52" s="224">
        <f ca="1"/>
        <v>8707.7575633496272</v>
      </c>
      <c r="BJ52" s="224">
        <f ca="1"/>
        <v>8717.109673394094</v>
      </c>
      <c r="BK52" s="224">
        <f ca="1"/>
        <v>8731.0092855551156</v>
      </c>
      <c r="BL52" s="224">
        <f ca="1"/>
        <v>8740.4393915593046</v>
      </c>
      <c r="BM52" s="224">
        <f ca="1"/>
        <v>8744.7374747043086</v>
      </c>
      <c r="BN52" s="224">
        <f ca="1"/>
        <v>8757.9589309947041</v>
      </c>
      <c r="BO52" s="224">
        <f ca="1"/>
        <v>21687.660918990001</v>
      </c>
      <c r="BP52" s="352"/>
      <c r="BQ52" s="352"/>
    </row>
    <row r="53" spans="2:69" s="31" customFormat="1" ht="12" customHeight="1">
      <c r="C53" s="42"/>
      <c r="D53" s="43"/>
      <c r="E53" s="44"/>
      <c r="F53" s="45"/>
      <c r="G53" s="46"/>
      <c r="H53" s="42"/>
      <c r="I53" s="42"/>
      <c r="J53" s="42"/>
      <c r="K53" s="42"/>
      <c r="L53" s="42"/>
      <c r="M53" s="42"/>
      <c r="N53" s="42"/>
      <c r="O53" s="42"/>
      <c r="P53" s="42"/>
      <c r="Q53" s="42"/>
      <c r="R53" s="42"/>
      <c r="S53" s="42"/>
      <c r="T53" s="42"/>
      <c r="U53" s="42"/>
      <c r="V53" s="42"/>
      <c r="W53" s="42"/>
      <c r="X53" s="42"/>
      <c r="Y53" s="42"/>
      <c r="Z53" s="42"/>
      <c r="AA53" s="42"/>
      <c r="AB53" s="42"/>
      <c r="AC53" s="42"/>
      <c r="AD53" s="42"/>
      <c r="AE53" s="42"/>
      <c r="AF53" s="42"/>
      <c r="AG53" s="42"/>
      <c r="AH53" s="42"/>
      <c r="AI53" s="42"/>
      <c r="AJ53" s="42"/>
      <c r="AK53" s="42"/>
      <c r="AL53" s="42"/>
      <c r="AM53" s="42"/>
      <c r="AN53" s="42"/>
      <c r="AO53" s="42"/>
      <c r="AP53" s="42"/>
      <c r="AQ53" s="42"/>
      <c r="AR53" s="42"/>
      <c r="AS53" s="42"/>
      <c r="AT53" s="42"/>
      <c r="AU53" s="42"/>
      <c r="AV53" s="42"/>
      <c r="AW53" s="42"/>
      <c r="AX53" s="42"/>
      <c r="AY53" s="42"/>
      <c r="AZ53" s="42"/>
      <c r="BA53" s="42"/>
      <c r="BB53" s="42"/>
      <c r="BC53" s="42"/>
      <c r="BD53" s="42"/>
      <c r="BE53" s="42"/>
      <c r="BF53" s="42"/>
      <c r="BG53" s="42"/>
      <c r="BH53" s="42"/>
      <c r="BI53" s="42"/>
      <c r="BJ53" s="42"/>
      <c r="BK53" s="42"/>
      <c r="BL53" s="42"/>
      <c r="BM53" s="42"/>
      <c r="BN53" s="42"/>
      <c r="BO53" s="42"/>
      <c r="BP53" s="42"/>
      <c r="BQ53" s="42"/>
    </row>
    <row r="54" spans="2:69" s="23" customFormat="1" ht="13.7" customHeight="1">
      <c r="B54" s="38" t="s">
        <v>1185</v>
      </c>
      <c r="C54" s="39"/>
      <c r="D54" s="39"/>
      <c r="E54" s="40"/>
      <c r="F54" s="27"/>
      <c r="G54" s="27"/>
      <c r="H54" s="39"/>
      <c r="I54" s="39"/>
      <c r="J54" s="39"/>
      <c r="K54" s="39"/>
      <c r="L54" s="39"/>
      <c r="M54" s="39"/>
      <c r="N54" s="39"/>
      <c r="O54" s="39"/>
      <c r="P54" s="39"/>
      <c r="Q54" s="39"/>
      <c r="R54" s="39"/>
      <c r="S54" s="39"/>
      <c r="T54" s="39"/>
      <c r="U54" s="39"/>
      <c r="V54" s="39"/>
      <c r="W54" s="39"/>
      <c r="X54" s="39"/>
      <c r="Y54" s="39"/>
      <c r="Z54" s="39"/>
      <c r="AA54" s="39"/>
      <c r="AB54" s="39"/>
      <c r="AC54" s="39"/>
      <c r="AD54" s="39"/>
      <c r="AE54" s="39"/>
      <c r="AF54" s="39"/>
      <c r="AG54" s="39"/>
      <c r="AH54" s="39"/>
      <c r="AI54" s="39"/>
      <c r="AJ54" s="39"/>
      <c r="AK54" s="39"/>
      <c r="AL54" s="39"/>
      <c r="AM54" s="39"/>
      <c r="AN54" s="39"/>
      <c r="AO54" s="39"/>
      <c r="AP54" s="39"/>
      <c r="AQ54" s="39"/>
      <c r="AR54" s="39"/>
      <c r="AS54" s="39"/>
      <c r="AT54" s="39"/>
      <c r="AU54" s="39"/>
      <c r="AV54" s="39"/>
      <c r="AW54" s="39"/>
      <c r="AX54" s="39"/>
      <c r="AY54" s="39"/>
      <c r="AZ54" s="39"/>
      <c r="BA54" s="39"/>
      <c r="BB54" s="39"/>
      <c r="BC54" s="39"/>
      <c r="BD54" s="39"/>
      <c r="BE54" s="39"/>
      <c r="BF54" s="39"/>
      <c r="BG54" s="39"/>
      <c r="BH54" s="39"/>
      <c r="BI54" s="39"/>
      <c r="BJ54" s="39"/>
      <c r="BK54" s="39"/>
      <c r="BL54" s="39"/>
      <c r="BM54" s="39"/>
      <c r="BN54" s="39"/>
      <c r="BO54" s="39"/>
      <c r="BP54" s="349"/>
      <c r="BQ54" s="349"/>
    </row>
    <row r="55" spans="2:69" s="22" customFormat="1">
      <c r="E55" s="28"/>
      <c r="F55" s="29"/>
      <c r="G55" s="63"/>
      <c r="H55" s="41"/>
      <c r="I55" s="41"/>
      <c r="J55" s="41"/>
      <c r="K55" s="41"/>
      <c r="L55" s="41"/>
      <c r="M55" s="41"/>
      <c r="N55" s="41"/>
      <c r="O55" s="41"/>
      <c r="P55" s="41"/>
      <c r="Q55" s="41"/>
      <c r="R55" s="41"/>
      <c r="S55" s="41"/>
      <c r="T55" s="41"/>
      <c r="U55" s="41"/>
      <c r="V55" s="41"/>
      <c r="W55" s="41"/>
      <c r="X55" s="41"/>
      <c r="Y55" s="41"/>
      <c r="Z55" s="41"/>
      <c r="AA55" s="41"/>
      <c r="AB55" s="41"/>
      <c r="AC55" s="41"/>
      <c r="AD55" s="41"/>
      <c r="AE55" s="41"/>
      <c r="AF55" s="41"/>
      <c r="AG55" s="41"/>
      <c r="AH55" s="41"/>
      <c r="AI55" s="41"/>
      <c r="AJ55" s="41"/>
      <c r="AK55" s="41"/>
      <c r="AL55" s="41"/>
      <c r="AM55" s="41"/>
      <c r="AN55" s="41"/>
      <c r="AO55" s="41"/>
      <c r="AP55" s="41"/>
      <c r="AQ55" s="41"/>
      <c r="AR55" s="41"/>
      <c r="AS55" s="41"/>
      <c r="AT55" s="41"/>
      <c r="AU55" s="41"/>
      <c r="AV55" s="41"/>
      <c r="AW55" s="41"/>
      <c r="AX55" s="41"/>
      <c r="AY55" s="41"/>
      <c r="AZ55" s="41"/>
      <c r="BA55" s="41"/>
      <c r="BB55" s="41"/>
      <c r="BC55" s="41"/>
      <c r="BD55" s="41"/>
      <c r="BE55" s="41"/>
      <c r="BF55" s="41"/>
      <c r="BG55" s="41"/>
      <c r="BH55" s="41"/>
      <c r="BI55" s="41"/>
      <c r="BJ55" s="41"/>
      <c r="BK55" s="41"/>
      <c r="BL55" s="41"/>
      <c r="BM55" s="41"/>
      <c r="BN55" s="41"/>
      <c r="BO55" s="41"/>
      <c r="BP55" s="41"/>
      <c r="BQ55" s="41"/>
    </row>
    <row r="56" spans="2:69" s="22" customFormat="1">
      <c r="B56" s="32"/>
      <c r="C56" s="31" t="s">
        <v>1186</v>
      </c>
      <c r="E56" s="28"/>
      <c r="F56" s="29"/>
      <c r="G56" s="63"/>
      <c r="H56" s="41"/>
      <c r="I56" s="41"/>
      <c r="J56" s="41"/>
      <c r="K56" s="41"/>
      <c r="L56" s="41"/>
      <c r="M56" s="41"/>
      <c r="N56" s="41"/>
      <c r="O56" s="41"/>
      <c r="P56" s="41"/>
      <c r="Q56" s="41"/>
      <c r="R56" s="41"/>
      <c r="S56" s="41"/>
      <c r="T56" s="41"/>
      <c r="U56" s="41"/>
      <c r="V56" s="41"/>
      <c r="W56" s="41"/>
      <c r="X56" s="41"/>
      <c r="Y56" s="41"/>
      <c r="Z56" s="41"/>
      <c r="AA56" s="41"/>
      <c r="AB56" s="41"/>
      <c r="AC56" s="41"/>
      <c r="AD56" s="41"/>
      <c r="AE56" s="41"/>
      <c r="AF56" s="41"/>
      <c r="AG56" s="41"/>
      <c r="AH56" s="41"/>
      <c r="AI56" s="41"/>
      <c r="AJ56" s="41"/>
      <c r="AK56" s="41"/>
      <c r="AL56" s="41"/>
      <c r="AM56" s="41"/>
      <c r="AN56" s="41"/>
      <c r="AO56" s="41"/>
      <c r="AP56" s="41"/>
      <c r="AQ56" s="41"/>
      <c r="AR56" s="41"/>
      <c r="AS56" s="41"/>
      <c r="AT56" s="41"/>
      <c r="AU56" s="41"/>
      <c r="AV56" s="41"/>
      <c r="AW56" s="41"/>
      <c r="AX56" s="41"/>
      <c r="AY56" s="41"/>
      <c r="AZ56" s="41"/>
      <c r="BA56" s="41"/>
      <c r="BB56" s="41"/>
      <c r="BC56" s="41"/>
      <c r="BD56" s="41"/>
      <c r="BE56" s="41"/>
      <c r="BF56" s="41"/>
      <c r="BG56" s="41"/>
      <c r="BH56" s="41"/>
      <c r="BI56" s="41"/>
      <c r="BJ56" s="41"/>
      <c r="BK56" s="41"/>
      <c r="BL56" s="41"/>
      <c r="BM56" s="41"/>
      <c r="BN56" s="41"/>
      <c r="BO56" s="41"/>
      <c r="BP56" s="41"/>
      <c r="BQ56" s="41"/>
    </row>
    <row r="57" spans="2:69" s="22" customFormat="1">
      <c r="B57" s="64"/>
      <c r="C57" s="64" t="s">
        <v>1187</v>
      </c>
      <c r="E57" s="28"/>
      <c r="F57" s="50" t="s">
        <v>119</v>
      </c>
      <c r="G57" s="63">
        <f>Assumptions!D47</f>
        <v>10000</v>
      </c>
      <c r="H57" s="41" cm="1">
        <f t="array" aca="1" ref="H57:BO57" ca="1">H112:BO112</f>
        <v>0</v>
      </c>
      <c r="I57" s="41">
        <f ca="1"/>
        <v>0</v>
      </c>
      <c r="J57" s="41">
        <f ca="1"/>
        <v>6112.9615849343863</v>
      </c>
      <c r="K57" s="41">
        <f ca="1"/>
        <v>10498.991353522306</v>
      </c>
      <c r="L57" s="41">
        <f ca="1"/>
        <v>14867.781158561102</v>
      </c>
      <c r="M57" s="41">
        <f ca="1"/>
        <v>19212.18898370209</v>
      </c>
      <c r="N57" s="41">
        <f ca="1"/>
        <v>23598.125450578787</v>
      </c>
      <c r="O57" s="41">
        <f ca="1"/>
        <v>27993.119122702214</v>
      </c>
      <c r="P57" s="41">
        <f ca="1"/>
        <v>32394.630358821469</v>
      </c>
      <c r="Q57" s="41">
        <f ca="1"/>
        <v>36824.78277947718</v>
      </c>
      <c r="R57" s="41">
        <f ca="1"/>
        <v>41249.182791438405</v>
      </c>
      <c r="S57" s="41">
        <f ca="1"/>
        <v>70911.814750766993</v>
      </c>
      <c r="T57" s="41">
        <f ca="1"/>
        <v>44037.023972265393</v>
      </c>
      <c r="U57" s="41">
        <f ca="1"/>
        <v>43708.161463819219</v>
      </c>
      <c r="V57" s="41">
        <f ca="1"/>
        <v>58447.96600340349</v>
      </c>
      <c r="W57" s="41">
        <f ca="1"/>
        <v>63013.153392501874</v>
      </c>
      <c r="X57" s="41">
        <f ca="1"/>
        <v>67590.726370637523</v>
      </c>
      <c r="Y57" s="41">
        <f ca="1"/>
        <v>72176.389700769476</v>
      </c>
      <c r="Z57" s="41">
        <f ca="1"/>
        <v>76768.856258844127</v>
      </c>
      <c r="AA57" s="41">
        <f ca="1"/>
        <v>81368.334927555668</v>
      </c>
      <c r="AB57" s="41">
        <f ca="1"/>
        <v>85956.490111350751</v>
      </c>
      <c r="AC57" s="41">
        <f ca="1"/>
        <v>90570.231332902476</v>
      </c>
      <c r="AD57" s="41">
        <f ca="1"/>
        <v>95190.923783030201</v>
      </c>
      <c r="AE57" s="41">
        <f ca="1"/>
        <v>126017.52977128925</v>
      </c>
      <c r="AF57" s="41">
        <f ca="1"/>
        <v>98072.484860298864</v>
      </c>
      <c r="AG57" s="41">
        <f ca="1"/>
        <v>97730.953171603818</v>
      </c>
      <c r="AH57" s="41">
        <f ca="1"/>
        <v>113084.6237786873</v>
      </c>
      <c r="AI57" s="41">
        <f ca="1"/>
        <v>117848.41300145007</v>
      </c>
      <c r="AJ57" s="41">
        <f ca="1"/>
        <v>122612.52664295155</v>
      </c>
      <c r="AK57" s="41">
        <f ca="1"/>
        <v>127393.87912263763</v>
      </c>
      <c r="AL57" s="41">
        <f ca="1"/>
        <v>132168.02919337907</v>
      </c>
      <c r="AM57" s="41">
        <f ca="1"/>
        <v>136939.39312618101</v>
      </c>
      <c r="AN57" s="41">
        <f ca="1"/>
        <v>141736.31068082224</v>
      </c>
      <c r="AO57" s="41">
        <f ca="1"/>
        <v>146542.65138575976</v>
      </c>
      <c r="AP57" s="41">
        <f ca="1"/>
        <v>151355.72093559051</v>
      </c>
      <c r="AQ57" s="41">
        <f ca="1"/>
        <v>183536.68722069403</v>
      </c>
      <c r="AR57" s="41">
        <f ca="1"/>
        <v>153340.53781480255</v>
      </c>
      <c r="AS57" s="41">
        <f ca="1"/>
        <v>151344.3330609749</v>
      </c>
      <c r="AT57" s="41">
        <f ca="1"/>
        <v>165669.48716235059</v>
      </c>
      <c r="AU57" s="41">
        <f ca="1"/>
        <v>168979.13174259607</v>
      </c>
      <c r="AV57" s="41">
        <f ca="1"/>
        <v>172299.30350250704</v>
      </c>
      <c r="AW57" s="41">
        <f ca="1"/>
        <v>175572.82568525049</v>
      </c>
      <c r="AX57" s="41">
        <f ca="1"/>
        <v>178898.13117517575</v>
      </c>
      <c r="AY57" s="41">
        <f ca="1"/>
        <v>182231.88712578386</v>
      </c>
      <c r="AZ57" s="41">
        <f ca="1"/>
        <v>185572.72802716633</v>
      </c>
      <c r="BA57" s="41">
        <f ca="1"/>
        <v>188920.87548297356</v>
      </c>
      <c r="BB57" s="41">
        <f ca="1"/>
        <v>192267.50071243872</v>
      </c>
      <c r="BC57" s="41">
        <f ca="1"/>
        <v>224079.51306694298</v>
      </c>
      <c r="BD57" s="41">
        <f ca="1"/>
        <v>192151.24482244311</v>
      </c>
      <c r="BE57" s="41">
        <f ca="1"/>
        <v>190155.2493483712</v>
      </c>
      <c r="BF57" s="41">
        <f ca="1"/>
        <v>205139.3302072119</v>
      </c>
      <c r="BG57" s="41">
        <f ca="1"/>
        <v>208647.97642012767</v>
      </c>
      <c r="BH57" s="41">
        <f ca="1"/>
        <v>212191.03654196238</v>
      </c>
      <c r="BI57" s="41">
        <f ca="1"/>
        <v>215730.38704797492</v>
      </c>
      <c r="BJ57" s="41">
        <f ca="1"/>
        <v>219269.99334024396</v>
      </c>
      <c r="BK57" s="41">
        <f ca="1"/>
        <v>222827.7999263597</v>
      </c>
      <c r="BL57" s="41">
        <f ca="1"/>
        <v>226377.87708724273</v>
      </c>
      <c r="BM57" s="41">
        <f ca="1"/>
        <v>229924.91004480235</v>
      </c>
      <c r="BN57" s="41">
        <f ca="1"/>
        <v>233498.96445018804</v>
      </c>
      <c r="BO57" s="41">
        <f ca="1"/>
        <v>266694.99898654449</v>
      </c>
      <c r="BP57" s="41"/>
      <c r="BQ57" s="41"/>
    </row>
    <row r="58" spans="2:69" s="22" customFormat="1">
      <c r="B58" s="64"/>
      <c r="C58" s="64" t="s">
        <v>1188</v>
      </c>
      <c r="E58" s="28"/>
      <c r="F58" s="50" t="s">
        <v>119</v>
      </c>
      <c r="G58" s="167">
        <f>Assumptions!D48</f>
        <v>90000</v>
      </c>
      <c r="H58" s="148" cm="1">
        <f t="array" ref="H58:BO58">_xlfn.ANCHORARRAY(H448)</f>
        <v>48733.433733333324</v>
      </c>
      <c r="I58" s="148">
        <v>45732.608987499989</v>
      </c>
      <c r="J58" s="148">
        <v>60964.118263333316</v>
      </c>
      <c r="K58" s="148">
        <v>61027.212786060605</v>
      </c>
      <c r="L58" s="148">
        <v>61073.562786060596</v>
      </c>
      <c r="M58" s="148">
        <v>61082.427652727267</v>
      </c>
      <c r="N58" s="148">
        <v>61142.233414265727</v>
      </c>
      <c r="O58" s="148">
        <v>61203.502020375046</v>
      </c>
      <c r="P58" s="148">
        <v>61262.920902727987</v>
      </c>
      <c r="Q58" s="148">
        <v>61346.64059022798</v>
      </c>
      <c r="R58" s="148">
        <v>61410.964090227979</v>
      </c>
      <c r="S58" s="148">
        <v>92206.905885342014</v>
      </c>
      <c r="T58" s="148">
        <v>50683.262810347856</v>
      </c>
      <c r="U58" s="148">
        <v>47560.900992915398</v>
      </c>
      <c r="V58" s="148">
        <v>63478.786713593086</v>
      </c>
      <c r="W58" s="148">
        <v>63534.766870259751</v>
      </c>
      <c r="X58" s="148">
        <v>63598.871752759755</v>
      </c>
      <c r="Y58" s="148">
        <v>63661.832196476331</v>
      </c>
      <c r="Z58" s="148">
        <v>63722.735118589422</v>
      </c>
      <c r="AA58" s="148">
        <v>63782.833174680331</v>
      </c>
      <c r="AB58" s="148">
        <v>63819.529705680332</v>
      </c>
      <c r="AC58" s="148">
        <v>63882.991927603405</v>
      </c>
      <c r="AD58" s="148">
        <v>63944.274058317693</v>
      </c>
      <c r="AE58" s="148">
        <v>95916.411087476547</v>
      </c>
      <c r="AF58" s="148">
        <v>52733.790904053792</v>
      </c>
      <c r="AG58" s="148">
        <v>49474.767531537931</v>
      </c>
      <c r="AH58" s="148">
        <v>66046.41717358389</v>
      </c>
      <c r="AI58" s="148">
        <v>66110.092197085542</v>
      </c>
      <c r="AJ58" s="148">
        <v>66163.959267277562</v>
      </c>
      <c r="AK58" s="148">
        <v>66230.896246438919</v>
      </c>
      <c r="AL58" s="148">
        <v>66280.068961438927</v>
      </c>
      <c r="AM58" s="148">
        <v>66317.687909625587</v>
      </c>
      <c r="AN58" s="148">
        <v>66381.135842041753</v>
      </c>
      <c r="AO58" s="148">
        <v>66446.135706263129</v>
      </c>
      <c r="AP58" s="148">
        <v>66509.173198551362</v>
      </c>
      <c r="AQ58" s="148">
        <v>99896.98712253019</v>
      </c>
      <c r="AR58" s="148">
        <v>54932.975346124171</v>
      </c>
      <c r="AS58" s="148">
        <v>51549.088292610541</v>
      </c>
      <c r="AT58" s="148">
        <v>68786.817451646726</v>
      </c>
      <c r="AU58" s="148">
        <v>68850.955375119433</v>
      </c>
      <c r="AV58" s="148">
        <v>68919.120381725064</v>
      </c>
      <c r="AW58" s="148">
        <v>68919.120381725064</v>
      </c>
      <c r="AX58" s="148">
        <v>68987.12925156932</v>
      </c>
      <c r="AY58" s="148">
        <v>69053.923986308233</v>
      </c>
      <c r="AZ58" s="148">
        <v>69118.535896378016</v>
      </c>
      <c r="BA58" s="148">
        <v>69182.293924084865</v>
      </c>
      <c r="BB58" s="148">
        <v>69234.202390402061</v>
      </c>
      <c r="BC58" s="148">
        <v>103952.29419246039</v>
      </c>
      <c r="BD58" s="148">
        <v>57158.031987470808</v>
      </c>
      <c r="BE58" s="148">
        <v>53640.743692264594</v>
      </c>
      <c r="BF58" s="148">
        <v>71578.95529340113</v>
      </c>
      <c r="BG58" s="148">
        <v>71631.064663040932</v>
      </c>
      <c r="BH58" s="148">
        <v>71716.000810217971</v>
      </c>
      <c r="BI58" s="148">
        <v>71783.553642650877</v>
      </c>
      <c r="BJ58" s="148">
        <v>71840.701217417576</v>
      </c>
      <c r="BK58" s="148">
        <v>71911.714658609868</v>
      </c>
      <c r="BL58" s="148">
        <v>71963.881991953356</v>
      </c>
      <c r="BM58" s="148">
        <v>72003.791934084598</v>
      </c>
      <c r="BN58" s="148">
        <v>72071.103845584905</v>
      </c>
      <c r="BO58" s="148">
        <v>108210.09330230605</v>
      </c>
      <c r="BP58" s="148"/>
      <c r="BQ58" s="148"/>
    </row>
    <row r="59" spans="2:69" s="22" customFormat="1">
      <c r="B59" s="64"/>
      <c r="C59" s="64" t="s">
        <v>123</v>
      </c>
      <c r="E59" s="28"/>
      <c r="F59" s="50" t="s">
        <v>119</v>
      </c>
      <c r="G59" s="167">
        <f>Assumptions!D49</f>
        <v>92500</v>
      </c>
      <c r="H59" s="148" cm="1">
        <f t="array" ref="H59:BO59">_xlfn.ANCHORARRAY(H449)</f>
        <v>95370.275000000009</v>
      </c>
      <c r="I59" s="148">
        <v>95465.55</v>
      </c>
      <c r="J59" s="148">
        <v>95560.825000000012</v>
      </c>
      <c r="K59" s="148">
        <v>95656.1</v>
      </c>
      <c r="L59" s="148">
        <v>95751.375</v>
      </c>
      <c r="M59" s="148">
        <v>95846.650000000009</v>
      </c>
      <c r="N59" s="148">
        <v>95941.925000000003</v>
      </c>
      <c r="O59" s="148">
        <v>96037.200000000012</v>
      </c>
      <c r="P59" s="148">
        <v>96132.475000000006</v>
      </c>
      <c r="Q59" s="148">
        <v>96227.75</v>
      </c>
      <c r="R59" s="148">
        <v>96323.025000000009</v>
      </c>
      <c r="S59" s="148">
        <v>96418.3</v>
      </c>
      <c r="T59" s="148">
        <v>99408.982249999986</v>
      </c>
      <c r="U59" s="148">
        <v>99507.115499999985</v>
      </c>
      <c r="V59" s="148">
        <v>99605.248749999984</v>
      </c>
      <c r="W59" s="148">
        <v>99703.381999999983</v>
      </c>
      <c r="X59" s="148">
        <v>99801.515249999997</v>
      </c>
      <c r="Y59" s="148">
        <v>99899.648499999996</v>
      </c>
      <c r="Z59" s="148">
        <v>99997.781749999995</v>
      </c>
      <c r="AA59" s="148">
        <v>100095.91499999999</v>
      </c>
      <c r="AB59" s="148">
        <v>100194.04824999999</v>
      </c>
      <c r="AC59" s="148">
        <v>100292.18149999999</v>
      </c>
      <c r="AD59" s="148">
        <v>100390.31474999999</v>
      </c>
      <c r="AE59" s="148">
        <v>100488.44799999999</v>
      </c>
      <c r="AF59" s="148">
        <v>103604.1786875</v>
      </c>
      <c r="AG59" s="148">
        <v>103705.25593499999</v>
      </c>
      <c r="AH59" s="148">
        <v>103806.33318249999</v>
      </c>
      <c r="AI59" s="148">
        <v>103907.41043</v>
      </c>
      <c r="AJ59" s="148">
        <v>104008.4876775</v>
      </c>
      <c r="AK59" s="148">
        <v>104109.564925</v>
      </c>
      <c r="AL59" s="148">
        <v>104210.6421725</v>
      </c>
      <c r="AM59" s="148">
        <v>104311.71941999999</v>
      </c>
      <c r="AN59" s="148">
        <v>104412.79666749999</v>
      </c>
      <c r="AO59" s="148">
        <v>104513.873915</v>
      </c>
      <c r="AP59" s="148">
        <v>104614.9511625</v>
      </c>
      <c r="AQ59" s="148">
        <v>104716.02841</v>
      </c>
      <c r="AR59" s="148">
        <v>107961.61882722499</v>
      </c>
      <c r="AS59" s="148">
        <v>108065.72839214999</v>
      </c>
      <c r="AT59" s="148">
        <v>108169.83795707498</v>
      </c>
      <c r="AU59" s="148">
        <v>108273.94752199999</v>
      </c>
      <c r="AV59" s="148">
        <v>108378.05708692499</v>
      </c>
      <c r="AW59" s="148">
        <v>108482.16665184998</v>
      </c>
      <c r="AX59" s="148">
        <v>108586.27621677499</v>
      </c>
      <c r="AY59" s="148">
        <v>108690.38578169998</v>
      </c>
      <c r="AZ59" s="148">
        <v>108794.49534662499</v>
      </c>
      <c r="BA59" s="148">
        <v>108898.60491154999</v>
      </c>
      <c r="BB59" s="148">
        <v>109002.71447647498</v>
      </c>
      <c r="BC59" s="148">
        <v>109106.82404139999</v>
      </c>
      <c r="BD59" s="148">
        <v>112487.26161451473</v>
      </c>
      <c r="BE59" s="148">
        <v>112594.49446638749</v>
      </c>
      <c r="BF59" s="148">
        <v>112701.72731826024</v>
      </c>
      <c r="BG59" s="148">
        <v>112808.960170133</v>
      </c>
      <c r="BH59" s="148">
        <v>112916.19302200574</v>
      </c>
      <c r="BI59" s="148">
        <v>113023.42587387848</v>
      </c>
      <c r="BJ59" s="148">
        <v>113130.65872575124</v>
      </c>
      <c r="BK59" s="148">
        <v>113237.89157762399</v>
      </c>
      <c r="BL59" s="148">
        <v>113345.12442949673</v>
      </c>
      <c r="BM59" s="148">
        <v>113452.35728136949</v>
      </c>
      <c r="BN59" s="148">
        <v>113559.59013324224</v>
      </c>
      <c r="BO59" s="148">
        <v>113666.822985115</v>
      </c>
      <c r="BP59" s="148"/>
      <c r="BQ59" s="148"/>
    </row>
    <row r="60" spans="2:69" s="31" customFormat="1">
      <c r="C60" s="70" t="s">
        <v>1162</v>
      </c>
      <c r="D60" s="221"/>
      <c r="E60" s="222"/>
      <c r="F60" s="72" t="s">
        <v>119</v>
      </c>
      <c r="G60" s="234">
        <f>SUM(G57:G59)</f>
        <v>192500</v>
      </c>
      <c r="H60" s="214">
        <f ca="1">SUM(H57:H59)</f>
        <v>144103.70873333333</v>
      </c>
      <c r="I60" s="214">
        <f t="shared" ref="I60" ca="1" si="7">SUM(I57:I59)</f>
        <v>141198.15898750001</v>
      </c>
      <c r="J60" s="214">
        <f ca="1">SUM(J57:J59)</f>
        <v>162637.90484826773</v>
      </c>
      <c r="K60" s="214">
        <f t="shared" ref="K60" ca="1" si="8">SUM(K57:K59)</f>
        <v>167182.30413958291</v>
      </c>
      <c r="L60" s="214">
        <f t="shared" ref="L60" ca="1" si="9">SUM(L57:L59)</f>
        <v>171692.71894462168</v>
      </c>
      <c r="M60" s="214">
        <f t="shared" ref="M60" ca="1" si="10">SUM(M57:M59)</f>
        <v>176141.26663642935</v>
      </c>
      <c r="N60" s="214">
        <f t="shared" ref="N60" ca="1" si="11">SUM(N57:N59)</f>
        <v>180682.28386484453</v>
      </c>
      <c r="O60" s="214">
        <f t="shared" ref="O60" ca="1" si="12">SUM(O57:O59)</f>
        <v>185233.82114307728</v>
      </c>
      <c r="P60" s="214">
        <f t="shared" ref="P60" ca="1" si="13">SUM(P57:P59)</f>
        <v>189790.02626154944</v>
      </c>
      <c r="Q60" s="214">
        <f t="shared" ref="Q60" ca="1" si="14">SUM(Q57:Q59)</f>
        <v>194399.17336970515</v>
      </c>
      <c r="R60" s="214">
        <f t="shared" ref="R60" ca="1" si="15">SUM(R57:R59)</f>
        <v>198983.17188166641</v>
      </c>
      <c r="S60" s="214">
        <f t="shared" ref="S60" ca="1" si="16">SUM(S57:S59)</f>
        <v>259537.02063610899</v>
      </c>
      <c r="T60" s="214">
        <f t="shared" ref="T60" ca="1" si="17">SUM(T57:T59)</f>
        <v>194129.26903261326</v>
      </c>
      <c r="U60" s="214">
        <f t="shared" ref="U60" ca="1" si="18">SUM(U57:U59)</f>
        <v>190776.17795673461</v>
      </c>
      <c r="V60" s="214">
        <f t="shared" ref="V60" ca="1" si="19">SUM(V57:V59)</f>
        <v>221532.00146699656</v>
      </c>
      <c r="W60" s="214">
        <f t="shared" ref="W60" ca="1" si="20">SUM(W57:W59)</f>
        <v>226251.3022627616</v>
      </c>
      <c r="X60" s="214">
        <f t="shared" ref="X60" ca="1" si="21">SUM(X57:X59)</f>
        <v>230991.11337339727</v>
      </c>
      <c r="Y60" s="214">
        <f t="shared" ref="Y60" ca="1" si="22">SUM(Y57:Y59)</f>
        <v>235737.8703972458</v>
      </c>
      <c r="Z60" s="214">
        <f t="shared" ref="Z60" ca="1" si="23">SUM(Z57:Z59)</f>
        <v>240489.37312743356</v>
      </c>
      <c r="AA60" s="214">
        <f t="shared" ref="AA60" ca="1" si="24">SUM(AA57:AA59)</f>
        <v>245247.08310223598</v>
      </c>
      <c r="AB60" s="214">
        <f t="shared" ref="AB60" ca="1" si="25">SUM(AB57:AB59)</f>
        <v>249970.06806703107</v>
      </c>
      <c r="AC60" s="214">
        <f t="shared" ref="AC60" ca="1" si="26">SUM(AC57:AC59)</f>
        <v>254745.40476050589</v>
      </c>
      <c r="AD60" s="214">
        <f t="shared" ref="AD60" ca="1" si="27">SUM(AD57:AD59)</f>
        <v>259525.51259134788</v>
      </c>
      <c r="AE60" s="214">
        <f t="shared" ref="AE60" ca="1" si="28">SUM(AE57:AE59)</f>
        <v>322422.38885876577</v>
      </c>
      <c r="AF60" s="214">
        <f t="shared" ref="AF60" ca="1" si="29">SUM(AF57:AF59)</f>
        <v>254410.45445185265</v>
      </c>
      <c r="AG60" s="214">
        <f t="shared" ref="AG60" ca="1" si="30">SUM(AG57:AG59)</f>
        <v>250910.97663814176</v>
      </c>
      <c r="AH60" s="214">
        <f t="shared" ref="AH60" ca="1" si="31">SUM(AH57:AH59)</f>
        <v>282937.37413477118</v>
      </c>
      <c r="AI60" s="214">
        <f t="shared" ref="AI60" ca="1" si="32">SUM(AI57:AI59)</f>
        <v>287865.91562853561</v>
      </c>
      <c r="AJ60" s="214">
        <f t="shared" ref="AJ60" ca="1" si="33">SUM(AJ57:AJ59)</f>
        <v>292784.9735877291</v>
      </c>
      <c r="AK60" s="214">
        <f t="shared" ref="AK60" ca="1" si="34">SUM(AK57:AK59)</f>
        <v>297734.34029407654</v>
      </c>
      <c r="AL60" s="214">
        <f t="shared" ref="AL60" ca="1" si="35">SUM(AL57:AL59)</f>
        <v>302658.74032731797</v>
      </c>
      <c r="AM60" s="214">
        <f t="shared" ref="AM60" ca="1" si="36">SUM(AM57:AM59)</f>
        <v>307568.8004558066</v>
      </c>
      <c r="AN60" s="214">
        <f t="shared" ref="AN60" ca="1" si="37">SUM(AN57:AN59)</f>
        <v>312530.24319036398</v>
      </c>
      <c r="AO60" s="214">
        <f t="shared" ref="AO60" ca="1" si="38">SUM(AO57:AO59)</f>
        <v>317502.66100702289</v>
      </c>
      <c r="AP60" s="214">
        <f t="shared" ref="AP60" ca="1" si="39">SUM(AP57:AP59)</f>
        <v>322479.84529664187</v>
      </c>
      <c r="AQ60" s="214">
        <f t="shared" ref="AQ60" ca="1" si="40">SUM(AQ57:AQ59)</f>
        <v>388149.70275322418</v>
      </c>
      <c r="AR60" s="214">
        <f t="shared" ref="AR60" ca="1" si="41">SUM(AR57:AR59)</f>
        <v>316235.1319881517</v>
      </c>
      <c r="AS60" s="214">
        <f t="shared" ref="AS60" ca="1" si="42">SUM(AS57:AS59)</f>
        <v>310959.14974573546</v>
      </c>
      <c r="AT60" s="214">
        <f t="shared" ref="AT60" ca="1" si="43">SUM(AT57:AT59)</f>
        <v>342626.14257107233</v>
      </c>
      <c r="AU60" s="214">
        <f t="shared" ref="AU60" ca="1" si="44">SUM(AU57:AU59)</f>
        <v>346104.03463971551</v>
      </c>
      <c r="AV60" s="214">
        <f t="shared" ref="AV60" ca="1" si="45">SUM(AV57:AV59)</f>
        <v>349596.48097115709</v>
      </c>
      <c r="AW60" s="214">
        <f t="shared" ref="AW60" ca="1" si="46">SUM(AW57:AW59)</f>
        <v>352974.11271882552</v>
      </c>
      <c r="AX60" s="214">
        <f t="shared" ref="AX60" ca="1" si="47">SUM(AX57:AX59)</f>
        <v>356471.53664352006</v>
      </c>
      <c r="AY60" s="214">
        <f t="shared" ref="AY60" ca="1" si="48">SUM(AY57:AY59)</f>
        <v>359976.19689379208</v>
      </c>
      <c r="AZ60" s="214">
        <f t="shared" ref="AZ60" ca="1" si="49">SUM(AZ57:AZ59)</f>
        <v>363485.75927016931</v>
      </c>
      <c r="BA60" s="214">
        <f t="shared" ref="BA60" ca="1" si="50">SUM(BA57:BA59)</f>
        <v>367001.7743186084</v>
      </c>
      <c r="BB60" s="214">
        <f t="shared" ref="BB60" ca="1" si="51">SUM(BB57:BB59)</f>
        <v>370504.41757931578</v>
      </c>
      <c r="BC60" s="214">
        <f t="shared" ref="BC60" ca="1" si="52">SUM(BC57:BC59)</f>
        <v>437138.63130080339</v>
      </c>
      <c r="BD60" s="214">
        <f t="shared" ref="BD60" ca="1" si="53">SUM(BD57:BD59)</f>
        <v>361796.53842442867</v>
      </c>
      <c r="BE60" s="214">
        <f t="shared" ref="BE60" ca="1" si="54">SUM(BE57:BE59)</f>
        <v>356390.48750702327</v>
      </c>
      <c r="BF60" s="214">
        <f t="shared" ref="BF60" ca="1" si="55">SUM(BF57:BF59)</f>
        <v>389420.01281887328</v>
      </c>
      <c r="BG60" s="214">
        <f t="shared" ref="BG60" ca="1" si="56">SUM(BG57:BG59)</f>
        <v>393088.00125330157</v>
      </c>
      <c r="BH60" s="214">
        <f t="shared" ref="BH60" ca="1" si="57">SUM(BH57:BH59)</f>
        <v>396823.23037418607</v>
      </c>
      <c r="BI60" s="214">
        <f t="shared" ref="BI60" ca="1" si="58">SUM(BI57:BI59)</f>
        <v>400537.36656450428</v>
      </c>
      <c r="BJ60" s="214">
        <f t="shared" ref="BJ60" ca="1" si="59">SUM(BJ57:BJ59)</f>
        <v>404241.35328341275</v>
      </c>
      <c r="BK60" s="214">
        <f t="shared" ref="BK60" ca="1" si="60">SUM(BK57:BK59)</f>
        <v>407977.40616259351</v>
      </c>
      <c r="BL60" s="214">
        <f t="shared" ref="BL60" ca="1" si="61">SUM(BL57:BL59)</f>
        <v>411686.88350869284</v>
      </c>
      <c r="BM60" s="214">
        <f t="shared" ref="BM60" ca="1" si="62">SUM(BM57:BM59)</f>
        <v>415381.05926025647</v>
      </c>
      <c r="BN60" s="214">
        <f t="shared" ref="BN60" ca="1" si="63">SUM(BN57:BN59)</f>
        <v>419129.65842901519</v>
      </c>
      <c r="BO60" s="214">
        <f t="shared" ref="BO60" ca="1" si="64">SUM(BO57:BO59)</f>
        <v>488571.91527396557</v>
      </c>
      <c r="BP60" s="351"/>
      <c r="BQ60" s="351"/>
    </row>
    <row r="61" spans="2:69" s="22" customFormat="1">
      <c r="E61" s="28"/>
      <c r="F61" s="29"/>
      <c r="G61" s="167"/>
      <c r="H61" s="148"/>
      <c r="I61" s="148"/>
      <c r="J61" s="148"/>
      <c r="K61" s="148"/>
      <c r="L61" s="148"/>
      <c r="M61" s="148"/>
      <c r="N61" s="148"/>
      <c r="O61" s="148"/>
      <c r="P61" s="148"/>
      <c r="Q61" s="148"/>
      <c r="R61" s="148"/>
      <c r="S61" s="148"/>
      <c r="T61" s="148"/>
      <c r="U61" s="148"/>
      <c r="V61" s="148"/>
      <c r="W61" s="148"/>
      <c r="X61" s="148"/>
      <c r="Y61" s="148"/>
      <c r="Z61" s="148"/>
      <c r="AA61" s="148"/>
      <c r="AB61" s="148"/>
      <c r="AC61" s="148"/>
      <c r="AD61" s="148"/>
      <c r="AE61" s="148"/>
      <c r="AF61" s="148"/>
      <c r="AG61" s="148"/>
      <c r="AH61" s="148"/>
      <c r="AI61" s="148"/>
      <c r="AJ61" s="148"/>
      <c r="AK61" s="148"/>
      <c r="AL61" s="148"/>
      <c r="AM61" s="148"/>
      <c r="AN61" s="148"/>
      <c r="AO61" s="148"/>
      <c r="AP61" s="148"/>
      <c r="AQ61" s="148"/>
      <c r="AR61" s="148"/>
      <c r="AS61" s="148"/>
      <c r="AT61" s="148"/>
      <c r="AU61" s="148"/>
      <c r="AV61" s="148"/>
      <c r="AW61" s="148"/>
      <c r="AX61" s="148"/>
      <c r="AY61" s="148"/>
      <c r="AZ61" s="148"/>
      <c r="BA61" s="148"/>
      <c r="BB61" s="148"/>
      <c r="BC61" s="148"/>
      <c r="BD61" s="148"/>
      <c r="BE61" s="148"/>
      <c r="BF61" s="148"/>
      <c r="BG61" s="148"/>
      <c r="BH61" s="148"/>
      <c r="BI61" s="148"/>
      <c r="BJ61" s="148"/>
      <c r="BK61" s="148"/>
      <c r="BL61" s="148"/>
      <c r="BM61" s="148"/>
      <c r="BN61" s="148"/>
      <c r="BO61" s="148"/>
      <c r="BP61" s="148"/>
      <c r="BQ61" s="148"/>
    </row>
    <row r="62" spans="2:69" s="22" customFormat="1">
      <c r="C62" s="31" t="s">
        <v>1189</v>
      </c>
      <c r="E62" s="28"/>
      <c r="F62" s="29"/>
      <c r="G62" s="167"/>
      <c r="H62" s="148"/>
      <c r="I62" s="148"/>
      <c r="J62" s="148"/>
      <c r="K62" s="148"/>
      <c r="L62" s="148"/>
      <c r="M62" s="148"/>
      <c r="N62" s="148"/>
      <c r="O62" s="148"/>
      <c r="P62" s="148"/>
      <c r="Q62" s="148"/>
      <c r="R62" s="148"/>
      <c r="S62" s="148"/>
      <c r="T62" s="148"/>
      <c r="U62" s="148"/>
      <c r="V62" s="148"/>
      <c r="W62" s="148"/>
      <c r="X62" s="148"/>
      <c r="Y62" s="148"/>
      <c r="Z62" s="148"/>
      <c r="AA62" s="148"/>
      <c r="AB62" s="148"/>
      <c r="AC62" s="148"/>
      <c r="AD62" s="148"/>
      <c r="AE62" s="148"/>
      <c r="AF62" s="148"/>
      <c r="AG62" s="148"/>
      <c r="AH62" s="148"/>
      <c r="AI62" s="148"/>
      <c r="AJ62" s="148"/>
      <c r="AK62" s="148"/>
      <c r="AL62" s="148"/>
      <c r="AM62" s="148"/>
      <c r="AN62" s="148"/>
      <c r="AO62" s="148"/>
      <c r="AP62" s="148"/>
      <c r="AQ62" s="148"/>
      <c r="AR62" s="148"/>
      <c r="AS62" s="148"/>
      <c r="AT62" s="148"/>
      <c r="AU62" s="148"/>
      <c r="AV62" s="148"/>
      <c r="AW62" s="148"/>
      <c r="AX62" s="148"/>
      <c r="AY62" s="148"/>
      <c r="AZ62" s="148"/>
      <c r="BA62" s="148"/>
      <c r="BB62" s="148"/>
      <c r="BC62" s="148"/>
      <c r="BD62" s="148"/>
      <c r="BE62" s="148"/>
      <c r="BF62" s="148"/>
      <c r="BG62" s="148"/>
      <c r="BH62" s="148"/>
      <c r="BI62" s="148"/>
      <c r="BJ62" s="148"/>
      <c r="BK62" s="148"/>
      <c r="BL62" s="148"/>
      <c r="BM62" s="148"/>
      <c r="BN62" s="148"/>
      <c r="BO62" s="148"/>
      <c r="BP62" s="148"/>
      <c r="BQ62" s="148"/>
    </row>
    <row r="63" spans="2:69" s="22" customFormat="1">
      <c r="C63" s="64" t="s">
        <v>125</v>
      </c>
      <c r="E63" s="28"/>
      <c r="F63" s="50" t="s">
        <v>119</v>
      </c>
      <c r="G63" s="167">
        <f>Assumptions!D50</f>
        <v>100000</v>
      </c>
      <c r="H63" s="148" cm="1">
        <f t="array" aca="1" ref="H63:BO63" ca="1">H473:BO473</f>
        <v>97325.222222222219</v>
      </c>
      <c r="I63" s="148">
        <f ca="1"/>
        <v>94648.727777777778</v>
      </c>
      <c r="J63" s="148">
        <f ca="1"/>
        <v>91970.516666666663</v>
      </c>
      <c r="K63" s="148">
        <f ca="1"/>
        <v>89290.588888888888</v>
      </c>
      <c r="L63" s="148">
        <f ca="1"/>
        <v>86608.944444444423</v>
      </c>
      <c r="M63" s="148">
        <f ca="1"/>
        <v>83925.583333333314</v>
      </c>
      <c r="N63" s="148">
        <f ca="1"/>
        <v>81240.50555555553</v>
      </c>
      <c r="O63" s="148">
        <f ca="1"/>
        <v>78553.711111111086</v>
      </c>
      <c r="P63" s="148">
        <f ca="1"/>
        <v>75865.199999999983</v>
      </c>
      <c r="Q63" s="148">
        <f ca="1"/>
        <v>73174.97222222219</v>
      </c>
      <c r="R63" s="148">
        <f ca="1"/>
        <v>70483.027777777752</v>
      </c>
      <c r="S63" s="148">
        <f ca="1"/>
        <v>67789.366666666625</v>
      </c>
      <c r="T63" s="148">
        <f ca="1"/>
        <v>65097.078888888842</v>
      </c>
      <c r="U63" s="148">
        <f ca="1"/>
        <v>62403.022944444398</v>
      </c>
      <c r="V63" s="148">
        <f ca="1"/>
        <v>59707.198833333285</v>
      </c>
      <c r="W63" s="148">
        <f ca="1"/>
        <v>57009.606555555503</v>
      </c>
      <c r="X63" s="148">
        <f ca="1"/>
        <v>54310.246111111053</v>
      </c>
      <c r="Y63" s="148">
        <f ca="1"/>
        <v>51609.117499999942</v>
      </c>
      <c r="Z63" s="148">
        <f ca="1"/>
        <v>48906.220722222162</v>
      </c>
      <c r="AA63" s="148">
        <f ca="1"/>
        <v>46201.555777777714</v>
      </c>
      <c r="AB63" s="148">
        <f ca="1"/>
        <v>43495.122666666597</v>
      </c>
      <c r="AC63" s="148">
        <f ca="1"/>
        <v>40786.921388888819</v>
      </c>
      <c r="AD63" s="148">
        <f ca="1"/>
        <v>38076.951944444372</v>
      </c>
      <c r="AE63" s="148">
        <f ca="1"/>
        <v>35365.214333333257</v>
      </c>
      <c r="AF63" s="148">
        <f ca="1"/>
        <v>32654.891255555482</v>
      </c>
      <c r="AG63" s="148">
        <f ca="1"/>
        <v>29942.746966111034</v>
      </c>
      <c r="AH63" s="148">
        <f ca="1"/>
        <v>27228.781464999924</v>
      </c>
      <c r="AI63" s="148">
        <f ca="1"/>
        <v>24512.994752222148</v>
      </c>
      <c r="AJ63" s="148">
        <f ca="1"/>
        <v>21795.3868277777</v>
      </c>
      <c r="AK63" s="148">
        <f ca="1"/>
        <v>19075.95769166659</v>
      </c>
      <c r="AL63" s="148">
        <f ca="1"/>
        <v>16354.707343888815</v>
      </c>
      <c r="AM63" s="148">
        <f ca="1"/>
        <v>13631.635784444372</v>
      </c>
      <c r="AN63" s="148">
        <f ca="1"/>
        <v>10906.743013333258</v>
      </c>
      <c r="AO63" s="148">
        <f ca="1"/>
        <v>8180.0290305554818</v>
      </c>
      <c r="AP63" s="148">
        <f ca="1"/>
        <v>5451.493836111038</v>
      </c>
      <c r="AQ63" s="148">
        <f ca="1"/>
        <v>2721.1374299999266</v>
      </c>
      <c r="AR63" s="148">
        <f ca="1"/>
        <v>2770.0157709999262</v>
      </c>
      <c r="AS63" s="148">
        <f ca="1"/>
        <v>2817.0182639832597</v>
      </c>
      <c r="AT63" s="148">
        <f ca="1"/>
        <v>2862.1449089499265</v>
      </c>
      <c r="AU63" s="148">
        <f ca="1"/>
        <v>2905.3957058999267</v>
      </c>
      <c r="AV63" s="148">
        <f ca="1"/>
        <v>2946.7706548332603</v>
      </c>
      <c r="AW63" s="148">
        <f ca="1"/>
        <v>2986.2697557499273</v>
      </c>
      <c r="AX63" s="148">
        <f ca="1"/>
        <v>3023.8930086499272</v>
      </c>
      <c r="AY63" s="148">
        <f ca="1"/>
        <v>3059.6404135332605</v>
      </c>
      <c r="AZ63" s="148">
        <f ca="1"/>
        <v>3093.5119703999271</v>
      </c>
      <c r="BA63" s="148">
        <f ca="1"/>
        <v>3125.5076792499272</v>
      </c>
      <c r="BB63" s="148">
        <f ca="1"/>
        <v>3155.6275400832606</v>
      </c>
      <c r="BC63" s="148">
        <f ca="1"/>
        <v>3183.8715528999273</v>
      </c>
      <c r="BD63" s="148">
        <f ca="1"/>
        <v>3213.6162441299275</v>
      </c>
      <c r="BE63" s="148">
        <f ca="1"/>
        <v>3241.428811902761</v>
      </c>
      <c r="BF63" s="148">
        <f ca="1"/>
        <v>3267.3092562184279</v>
      </c>
      <c r="BG63" s="148">
        <f ca="1"/>
        <v>3291.2575770769281</v>
      </c>
      <c r="BH63" s="148">
        <f ca="1"/>
        <v>3313.2737744782617</v>
      </c>
      <c r="BI63" s="148">
        <f ca="1"/>
        <v>3333.3578484224286</v>
      </c>
      <c r="BJ63" s="148">
        <f ca="1"/>
        <v>3351.5097989094288</v>
      </c>
      <c r="BK63" s="148">
        <f ca="1"/>
        <v>3367.7296259392624</v>
      </c>
      <c r="BL63" s="148">
        <f ca="1"/>
        <v>3382.0173295119293</v>
      </c>
      <c r="BM63" s="148">
        <f ca="1"/>
        <v>3394.3729096274296</v>
      </c>
      <c r="BN63" s="148">
        <f ca="1"/>
        <v>3404.7963662857633</v>
      </c>
      <c r="BO63" s="148">
        <f ca="1"/>
        <v>3413.2876994869303</v>
      </c>
      <c r="BP63" s="148"/>
      <c r="BQ63" s="148"/>
    </row>
    <row r="64" spans="2:69" s="22" customFormat="1">
      <c r="C64" s="64" t="s">
        <v>127</v>
      </c>
      <c r="E64" s="28"/>
      <c r="F64" s="50" t="s">
        <v>119</v>
      </c>
      <c r="G64" s="167">
        <f>Assumptions!D51</f>
        <v>5000</v>
      </c>
      <c r="H64" s="148" cm="1">
        <f t="array" ref="H64:BO64">H479:BO479</f>
        <v>4972.2222222222226</v>
      </c>
      <c r="I64" s="148">
        <v>4944.4444444444453</v>
      </c>
      <c r="J64" s="148">
        <v>4916.6666666666679</v>
      </c>
      <c r="K64" s="148">
        <v>4888.8888888888905</v>
      </c>
      <c r="L64" s="148">
        <v>4861.1111111111131</v>
      </c>
      <c r="M64" s="148">
        <v>4833.3333333333358</v>
      </c>
      <c r="N64" s="148">
        <v>4805.5555555555584</v>
      </c>
      <c r="O64" s="148">
        <v>4777.777777777781</v>
      </c>
      <c r="P64" s="148">
        <v>4750.0000000000036</v>
      </c>
      <c r="Q64" s="148">
        <v>4722.2222222222263</v>
      </c>
      <c r="R64" s="148">
        <v>4694.4444444444489</v>
      </c>
      <c r="S64" s="148">
        <v>4666.6666666666715</v>
      </c>
      <c r="T64" s="148">
        <v>4638.8888888888941</v>
      </c>
      <c r="U64" s="148">
        <v>4611.1111111111168</v>
      </c>
      <c r="V64" s="148">
        <v>4583.3333333333394</v>
      </c>
      <c r="W64" s="148">
        <v>4555.555555555562</v>
      </c>
      <c r="X64" s="148">
        <v>4527.7777777777846</v>
      </c>
      <c r="Y64" s="148">
        <v>4500.0000000000073</v>
      </c>
      <c r="Z64" s="148">
        <v>4472.2222222222299</v>
      </c>
      <c r="AA64" s="148">
        <v>4444.4444444444525</v>
      </c>
      <c r="AB64" s="148">
        <v>4416.6666666666752</v>
      </c>
      <c r="AC64" s="148">
        <v>4388.8888888888978</v>
      </c>
      <c r="AD64" s="148">
        <v>4361.1111111111204</v>
      </c>
      <c r="AE64" s="148">
        <v>4333.333333333343</v>
      </c>
      <c r="AF64" s="148">
        <v>4305.5555555555657</v>
      </c>
      <c r="AG64" s="148">
        <v>4277.7777777777883</v>
      </c>
      <c r="AH64" s="148">
        <v>4250.0000000000109</v>
      </c>
      <c r="AI64" s="148">
        <v>4222.2222222222335</v>
      </c>
      <c r="AJ64" s="148">
        <v>4194.4444444444562</v>
      </c>
      <c r="AK64" s="148">
        <v>4166.6666666666788</v>
      </c>
      <c r="AL64" s="148">
        <v>4138.8888888889014</v>
      </c>
      <c r="AM64" s="148">
        <v>4111.111111111124</v>
      </c>
      <c r="AN64" s="148">
        <v>4083.3333333333462</v>
      </c>
      <c r="AO64" s="148">
        <v>4055.5555555555684</v>
      </c>
      <c r="AP64" s="148">
        <v>4027.7777777777906</v>
      </c>
      <c r="AQ64" s="148">
        <v>4000.0000000000127</v>
      </c>
      <c r="AR64" s="148">
        <v>3972.2222222222349</v>
      </c>
      <c r="AS64" s="148">
        <v>3944.4444444444571</v>
      </c>
      <c r="AT64" s="148">
        <v>3916.6666666666792</v>
      </c>
      <c r="AU64" s="148">
        <v>3888.8888888889014</v>
      </c>
      <c r="AV64" s="148">
        <v>3861.1111111111236</v>
      </c>
      <c r="AW64" s="148">
        <v>3833.3333333333458</v>
      </c>
      <c r="AX64" s="148">
        <v>3805.5555555555679</v>
      </c>
      <c r="AY64" s="148">
        <v>3777.7777777777901</v>
      </c>
      <c r="AZ64" s="148">
        <v>3750.0000000000123</v>
      </c>
      <c r="BA64" s="148">
        <v>3722.2222222222344</v>
      </c>
      <c r="BB64" s="148">
        <v>3694.4444444444566</v>
      </c>
      <c r="BC64" s="148">
        <v>3666.6666666666788</v>
      </c>
      <c r="BD64" s="148">
        <v>3638.888888888901</v>
      </c>
      <c r="BE64" s="148">
        <v>3611.1111111111231</v>
      </c>
      <c r="BF64" s="148">
        <v>3583.3333333333453</v>
      </c>
      <c r="BG64" s="148">
        <v>3555.5555555555675</v>
      </c>
      <c r="BH64" s="148">
        <v>3527.7777777777897</v>
      </c>
      <c r="BI64" s="148">
        <v>3500.0000000000118</v>
      </c>
      <c r="BJ64" s="148">
        <v>3472.222222222234</v>
      </c>
      <c r="BK64" s="148">
        <v>3444.4444444444562</v>
      </c>
      <c r="BL64" s="148">
        <v>3416.6666666666783</v>
      </c>
      <c r="BM64" s="148">
        <v>3388.8888888889005</v>
      </c>
      <c r="BN64" s="148">
        <v>3361.1111111111227</v>
      </c>
      <c r="BO64" s="148">
        <v>3333.3333333333449</v>
      </c>
      <c r="BP64" s="148"/>
      <c r="BQ64" s="148"/>
    </row>
    <row r="65" spans="3:69" s="31" customFormat="1">
      <c r="C65" s="70" t="s">
        <v>1190</v>
      </c>
      <c r="D65" s="221"/>
      <c r="E65" s="222"/>
      <c r="F65" s="72" t="s">
        <v>119</v>
      </c>
      <c r="G65" s="233">
        <f t="shared" ref="G65:AL65" si="65">SUM(G63:G64)</f>
        <v>105000</v>
      </c>
      <c r="H65" s="231">
        <f t="shared" ca="1" si="65"/>
        <v>102297.44444444444</v>
      </c>
      <c r="I65" s="231">
        <f t="shared" ca="1" si="65"/>
        <v>99593.172222222231</v>
      </c>
      <c r="J65" s="231">
        <f t="shared" ca="1" si="65"/>
        <v>96887.183333333334</v>
      </c>
      <c r="K65" s="231">
        <f t="shared" ca="1" si="65"/>
        <v>94179.477777777778</v>
      </c>
      <c r="L65" s="231">
        <f t="shared" ca="1" si="65"/>
        <v>91470.055555555533</v>
      </c>
      <c r="M65" s="231">
        <f t="shared" ca="1" si="65"/>
        <v>88758.916666666657</v>
      </c>
      <c r="N65" s="231">
        <f t="shared" ca="1" si="65"/>
        <v>86046.061111111092</v>
      </c>
      <c r="O65" s="231">
        <f t="shared" ca="1" si="65"/>
        <v>83331.488888888867</v>
      </c>
      <c r="P65" s="231">
        <f t="shared" ca="1" si="65"/>
        <v>80615.199999999983</v>
      </c>
      <c r="Q65" s="231">
        <f t="shared" ca="1" si="65"/>
        <v>77897.194444444409</v>
      </c>
      <c r="R65" s="231">
        <f t="shared" ca="1" si="65"/>
        <v>75177.472222222204</v>
      </c>
      <c r="S65" s="231">
        <f t="shared" ca="1" si="65"/>
        <v>72456.033333333296</v>
      </c>
      <c r="T65" s="231">
        <f t="shared" ca="1" si="65"/>
        <v>69735.96777777774</v>
      </c>
      <c r="U65" s="231">
        <f t="shared" ca="1" si="65"/>
        <v>67014.134055555507</v>
      </c>
      <c r="V65" s="231">
        <f t="shared" ca="1" si="65"/>
        <v>64290.532166666628</v>
      </c>
      <c r="W65" s="231">
        <f t="shared" ca="1" si="65"/>
        <v>61565.162111111065</v>
      </c>
      <c r="X65" s="231">
        <f t="shared" ca="1" si="65"/>
        <v>58838.023888888842</v>
      </c>
      <c r="Y65" s="231">
        <f t="shared" ca="1" si="65"/>
        <v>56109.117499999949</v>
      </c>
      <c r="Z65" s="231">
        <f t="shared" ca="1" si="65"/>
        <v>53378.442944444396</v>
      </c>
      <c r="AA65" s="231">
        <f t="shared" ca="1" si="65"/>
        <v>50646.000222222166</v>
      </c>
      <c r="AB65" s="231">
        <f t="shared" ca="1" si="65"/>
        <v>47911.789333333276</v>
      </c>
      <c r="AC65" s="231">
        <f t="shared" ca="1" si="65"/>
        <v>45175.810277777717</v>
      </c>
      <c r="AD65" s="231">
        <f t="shared" ca="1" si="65"/>
        <v>42438.063055555496</v>
      </c>
      <c r="AE65" s="231">
        <f t="shared" ca="1" si="65"/>
        <v>39698.5476666666</v>
      </c>
      <c r="AF65" s="231">
        <f t="shared" ca="1" si="65"/>
        <v>36960.446811111047</v>
      </c>
      <c r="AG65" s="231">
        <f t="shared" ca="1" si="65"/>
        <v>34220.524743888818</v>
      </c>
      <c r="AH65" s="231">
        <f t="shared" ca="1" si="65"/>
        <v>31478.781464999935</v>
      </c>
      <c r="AI65" s="231">
        <f t="shared" ca="1" si="65"/>
        <v>28735.216974444382</v>
      </c>
      <c r="AJ65" s="231">
        <f t="shared" ca="1" si="65"/>
        <v>25989.831272222156</v>
      </c>
      <c r="AK65" s="231">
        <f t="shared" ca="1" si="65"/>
        <v>23242.624358333269</v>
      </c>
      <c r="AL65" s="231">
        <f t="shared" ca="1" si="65"/>
        <v>20493.596232777716</v>
      </c>
      <c r="AM65" s="231">
        <f t="shared" ref="AM65:BO65" ca="1" si="66">SUM(AM63:AM64)</f>
        <v>17742.746895555494</v>
      </c>
      <c r="AN65" s="231">
        <f t="shared" ca="1" si="66"/>
        <v>14990.076346666605</v>
      </c>
      <c r="AO65" s="231">
        <f t="shared" ca="1" si="66"/>
        <v>12235.58458611105</v>
      </c>
      <c r="AP65" s="231">
        <f t="shared" ca="1" si="66"/>
        <v>9479.2716138888281</v>
      </c>
      <c r="AQ65" s="231">
        <f t="shared" ca="1" si="66"/>
        <v>6721.1374299999388</v>
      </c>
      <c r="AR65" s="231">
        <f t="shared" ca="1" si="66"/>
        <v>6742.2379932221611</v>
      </c>
      <c r="AS65" s="231">
        <f t="shared" ca="1" si="66"/>
        <v>6761.4627084277163</v>
      </c>
      <c r="AT65" s="231">
        <f t="shared" ca="1" si="66"/>
        <v>6778.8115756166062</v>
      </c>
      <c r="AU65" s="231">
        <f t="shared" ca="1" si="66"/>
        <v>6794.2845947888281</v>
      </c>
      <c r="AV65" s="231">
        <f t="shared" ca="1" si="66"/>
        <v>6807.8817659443839</v>
      </c>
      <c r="AW65" s="231">
        <f t="shared" ca="1" si="66"/>
        <v>6819.6030890832735</v>
      </c>
      <c r="AX65" s="231">
        <f t="shared" ca="1" si="66"/>
        <v>6829.4485642054951</v>
      </c>
      <c r="AY65" s="231">
        <f t="shared" ca="1" si="66"/>
        <v>6837.4181913110506</v>
      </c>
      <c r="AZ65" s="231">
        <f t="shared" ca="1" si="66"/>
        <v>6843.5119703999389</v>
      </c>
      <c r="BA65" s="231">
        <f t="shared" ca="1" si="66"/>
        <v>6847.7299014721611</v>
      </c>
      <c r="BB65" s="231">
        <f t="shared" ca="1" si="66"/>
        <v>6850.0719845277172</v>
      </c>
      <c r="BC65" s="231">
        <f t="shared" ca="1" si="66"/>
        <v>6850.5382195666061</v>
      </c>
      <c r="BD65" s="231">
        <f t="shared" ca="1" si="66"/>
        <v>6852.5051330188289</v>
      </c>
      <c r="BE65" s="231">
        <f t="shared" ca="1" si="66"/>
        <v>6852.5399230138846</v>
      </c>
      <c r="BF65" s="231">
        <f t="shared" ca="1" si="66"/>
        <v>6850.6425895517732</v>
      </c>
      <c r="BG65" s="231">
        <f t="shared" ca="1" si="66"/>
        <v>6846.8131326324956</v>
      </c>
      <c r="BH65" s="231">
        <f t="shared" ca="1" si="66"/>
        <v>6841.0515522560509</v>
      </c>
      <c r="BI65" s="231">
        <f t="shared" ca="1" si="66"/>
        <v>6833.3578484224399</v>
      </c>
      <c r="BJ65" s="231">
        <f t="shared" ca="1" si="66"/>
        <v>6823.7320211316628</v>
      </c>
      <c r="BK65" s="231">
        <f t="shared" ca="1" si="66"/>
        <v>6812.1740703837186</v>
      </c>
      <c r="BL65" s="231">
        <f t="shared" ca="1" si="66"/>
        <v>6798.6839961786081</v>
      </c>
      <c r="BM65" s="231">
        <f t="shared" ca="1" si="66"/>
        <v>6783.2617985163306</v>
      </c>
      <c r="BN65" s="231">
        <f t="shared" ca="1" si="66"/>
        <v>6765.907477396886</v>
      </c>
      <c r="BO65" s="231">
        <f t="shared" ca="1" si="66"/>
        <v>6746.6210328202751</v>
      </c>
      <c r="BP65" s="353"/>
      <c r="BQ65" s="353"/>
    </row>
    <row r="66" spans="3:69" s="22" customFormat="1">
      <c r="E66" s="28"/>
      <c r="F66" s="29"/>
      <c r="G66" s="63"/>
      <c r="H66" s="41"/>
      <c r="I66" s="41"/>
      <c r="J66" s="41"/>
      <c r="K66" s="41"/>
      <c r="L66" s="41"/>
      <c r="M66" s="41"/>
      <c r="N66" s="41"/>
      <c r="O66" s="41"/>
      <c r="P66" s="41"/>
      <c r="Q66" s="41"/>
      <c r="R66" s="41"/>
      <c r="S66" s="41"/>
      <c r="T66" s="41"/>
      <c r="U66" s="41"/>
      <c r="V66" s="41"/>
      <c r="W66" s="41"/>
      <c r="X66" s="41"/>
      <c r="Y66" s="41"/>
      <c r="Z66" s="41"/>
      <c r="AA66" s="41"/>
      <c r="AB66" s="41"/>
      <c r="AC66" s="41"/>
      <c r="AD66" s="41"/>
      <c r="AE66" s="41"/>
      <c r="AF66" s="41"/>
      <c r="AG66" s="41"/>
      <c r="AH66" s="41"/>
      <c r="AI66" s="41"/>
      <c r="AJ66" s="41"/>
      <c r="AK66" s="41"/>
      <c r="AL66" s="41"/>
      <c r="AM66" s="41"/>
      <c r="AN66" s="41"/>
      <c r="AO66" s="41"/>
      <c r="AP66" s="41"/>
      <c r="AQ66" s="41"/>
      <c r="AR66" s="41"/>
      <c r="AS66" s="41"/>
      <c r="AT66" s="41"/>
      <c r="AU66" s="41"/>
      <c r="AV66" s="41"/>
      <c r="AW66" s="41"/>
      <c r="AX66" s="41"/>
      <c r="AY66" s="41"/>
      <c r="AZ66" s="41"/>
      <c r="BA66" s="41"/>
      <c r="BB66" s="41"/>
      <c r="BC66" s="41"/>
      <c r="BD66" s="41"/>
      <c r="BE66" s="41"/>
      <c r="BF66" s="41"/>
      <c r="BG66" s="41"/>
      <c r="BH66" s="41"/>
      <c r="BI66" s="41"/>
      <c r="BJ66" s="41"/>
      <c r="BK66" s="41"/>
      <c r="BL66" s="41"/>
      <c r="BM66" s="41"/>
      <c r="BN66" s="41"/>
      <c r="BO66" s="41"/>
      <c r="BP66" s="41"/>
      <c r="BQ66" s="41"/>
    </row>
    <row r="67" spans="3:69" s="31" customFormat="1" ht="12" customHeight="1">
      <c r="C67" s="52" t="s">
        <v>1191</v>
      </c>
      <c r="D67" s="53"/>
      <c r="E67" s="54"/>
      <c r="F67" s="232" t="s">
        <v>119</v>
      </c>
      <c r="G67" s="56" cm="1">
        <f t="array" aca="1" ref="G67:BO67" ca="1">G60:BO60+G65:BO65</f>
        <v>297500</v>
      </c>
      <c r="H67" s="52">
        <f ca="1"/>
        <v>246401.15317777777</v>
      </c>
      <c r="I67" s="52">
        <f ca="1"/>
        <v>240791.33120972224</v>
      </c>
      <c r="J67" s="52">
        <f ca="1"/>
        <v>259525.08818160108</v>
      </c>
      <c r="K67" s="52">
        <f ca="1"/>
        <v>261361.78191736067</v>
      </c>
      <c r="L67" s="52">
        <f ca="1"/>
        <v>263162.77450017724</v>
      </c>
      <c r="M67" s="52">
        <f ca="1"/>
        <v>264900.18330309598</v>
      </c>
      <c r="N67" s="52">
        <f ca="1"/>
        <v>266728.34497595561</v>
      </c>
      <c r="O67" s="52">
        <f ca="1"/>
        <v>268565.31003196613</v>
      </c>
      <c r="P67" s="52">
        <f ca="1"/>
        <v>270405.2262615494</v>
      </c>
      <c r="Q67" s="52">
        <f ca="1"/>
        <v>272296.36781414959</v>
      </c>
      <c r="R67" s="52">
        <f ca="1"/>
        <v>274160.6441038886</v>
      </c>
      <c r="S67" s="52">
        <f ca="1"/>
        <v>331993.05396944226</v>
      </c>
      <c r="T67" s="52">
        <f ca="1"/>
        <v>263865.23681039101</v>
      </c>
      <c r="U67" s="52">
        <f ca="1"/>
        <v>257790.31201229012</v>
      </c>
      <c r="V67" s="52">
        <f ca="1"/>
        <v>285822.5336336632</v>
      </c>
      <c r="W67" s="52">
        <f ca="1"/>
        <v>287816.46437387267</v>
      </c>
      <c r="X67" s="52">
        <f ca="1"/>
        <v>289829.13726228609</v>
      </c>
      <c r="Y67" s="52">
        <f ca="1"/>
        <v>291846.98789724574</v>
      </c>
      <c r="Z67" s="52">
        <f ca="1"/>
        <v>293867.81607187795</v>
      </c>
      <c r="AA67" s="52">
        <f ca="1"/>
        <v>295893.08332445816</v>
      </c>
      <c r="AB67" s="52">
        <f ca="1"/>
        <v>297881.85740036436</v>
      </c>
      <c r="AC67" s="52">
        <f ca="1"/>
        <v>299921.21503828361</v>
      </c>
      <c r="AD67" s="52">
        <f ca="1"/>
        <v>301963.57564690337</v>
      </c>
      <c r="AE67" s="52">
        <f ca="1"/>
        <v>362120.93652543239</v>
      </c>
      <c r="AF67" s="52">
        <f ca="1"/>
        <v>291370.90126296371</v>
      </c>
      <c r="AG67" s="52">
        <f ca="1"/>
        <v>285131.50138203055</v>
      </c>
      <c r="AH67" s="52">
        <f ca="1"/>
        <v>314416.15559977113</v>
      </c>
      <c r="AI67" s="52">
        <f ca="1"/>
        <v>316601.13260298001</v>
      </c>
      <c r="AJ67" s="52">
        <f ca="1"/>
        <v>318774.80485995125</v>
      </c>
      <c r="AK67" s="52">
        <f ca="1"/>
        <v>320976.96465240978</v>
      </c>
      <c r="AL67" s="52">
        <f ca="1"/>
        <v>323152.33656009566</v>
      </c>
      <c r="AM67" s="52">
        <f ca="1"/>
        <v>325311.54735136207</v>
      </c>
      <c r="AN67" s="52">
        <f ca="1"/>
        <v>327520.31953703059</v>
      </c>
      <c r="AO67" s="52">
        <f ca="1"/>
        <v>329738.24559313396</v>
      </c>
      <c r="AP67" s="52">
        <f ca="1"/>
        <v>331959.11691053072</v>
      </c>
      <c r="AQ67" s="52">
        <f ca="1"/>
        <v>394870.84018322412</v>
      </c>
      <c r="AR67" s="52">
        <f ca="1"/>
        <v>322977.36998137383</v>
      </c>
      <c r="AS67" s="52">
        <f ca="1"/>
        <v>317720.61245416314</v>
      </c>
      <c r="AT67" s="52">
        <f ca="1"/>
        <v>349404.95414668892</v>
      </c>
      <c r="AU67" s="52">
        <f ca="1"/>
        <v>352898.31923450436</v>
      </c>
      <c r="AV67" s="52">
        <f ca="1"/>
        <v>356404.36273710144</v>
      </c>
      <c r="AW67" s="52">
        <f ca="1"/>
        <v>359793.7158079088</v>
      </c>
      <c r="AX67" s="52">
        <f ca="1"/>
        <v>363300.98520772555</v>
      </c>
      <c r="AY67" s="52">
        <f ca="1"/>
        <v>366813.61508510314</v>
      </c>
      <c r="AZ67" s="52">
        <f ca="1"/>
        <v>370329.27124056924</v>
      </c>
      <c r="BA67" s="52">
        <f ca="1"/>
        <v>373849.50422008056</v>
      </c>
      <c r="BB67" s="52">
        <f ca="1"/>
        <v>377354.48956384347</v>
      </c>
      <c r="BC67" s="52">
        <f ca="1"/>
        <v>443989.16952037002</v>
      </c>
      <c r="BD67" s="52">
        <f ca="1"/>
        <v>368649.0435574475</v>
      </c>
      <c r="BE67" s="52">
        <f ca="1"/>
        <v>363243.02743003715</v>
      </c>
      <c r="BF67" s="52">
        <f ca="1"/>
        <v>396270.65540842502</v>
      </c>
      <c r="BG67" s="52">
        <f ca="1"/>
        <v>399934.81438593409</v>
      </c>
      <c r="BH67" s="52">
        <f ca="1"/>
        <v>403664.28192644211</v>
      </c>
      <c r="BI67" s="52">
        <f ca="1"/>
        <v>407370.72441292671</v>
      </c>
      <c r="BJ67" s="52">
        <f ca="1"/>
        <v>411065.08530454442</v>
      </c>
      <c r="BK67" s="52">
        <f ca="1"/>
        <v>414789.58023297723</v>
      </c>
      <c r="BL67" s="52">
        <f ca="1"/>
        <v>418485.56750487146</v>
      </c>
      <c r="BM67" s="52">
        <f ca="1"/>
        <v>422164.3210587728</v>
      </c>
      <c r="BN67" s="52">
        <f ca="1"/>
        <v>425895.56590641208</v>
      </c>
      <c r="BO67" s="52">
        <f ca="1"/>
        <v>495318.53630678583</v>
      </c>
      <c r="BP67" s="331"/>
      <c r="BQ67" s="331"/>
    </row>
    <row r="68" spans="3:69" s="22" customFormat="1">
      <c r="E68" s="28"/>
      <c r="F68" s="29"/>
      <c r="G68" s="63"/>
      <c r="H68" s="41"/>
      <c r="I68" s="41"/>
      <c r="J68" s="41"/>
      <c r="K68" s="41"/>
      <c r="L68" s="41"/>
      <c r="M68" s="41"/>
      <c r="N68" s="41"/>
      <c r="O68" s="41"/>
      <c r="P68" s="41"/>
      <c r="Q68" s="41"/>
      <c r="R68" s="41"/>
      <c r="S68" s="41"/>
      <c r="T68" s="41"/>
      <c r="U68" s="41"/>
      <c r="V68" s="41"/>
      <c r="W68" s="41"/>
      <c r="X68" s="41"/>
      <c r="Y68" s="41"/>
      <c r="Z68" s="41"/>
      <c r="AA68" s="41"/>
      <c r="AB68" s="41"/>
      <c r="AC68" s="41"/>
      <c r="AD68" s="41"/>
      <c r="AE68" s="41"/>
      <c r="AF68" s="41"/>
      <c r="AG68" s="41"/>
      <c r="AH68" s="41"/>
      <c r="AI68" s="41"/>
      <c r="AJ68" s="41"/>
      <c r="AK68" s="41"/>
      <c r="AL68" s="41"/>
      <c r="AM68" s="41"/>
      <c r="AN68" s="41"/>
      <c r="AO68" s="41"/>
      <c r="AP68" s="41"/>
      <c r="AQ68" s="41"/>
      <c r="AR68" s="41"/>
      <c r="AS68" s="41"/>
      <c r="AT68" s="41"/>
      <c r="AU68" s="41"/>
      <c r="AV68" s="41"/>
      <c r="AW68" s="41"/>
      <c r="AX68" s="41"/>
      <c r="AY68" s="41"/>
      <c r="AZ68" s="41"/>
      <c r="BA68" s="41"/>
      <c r="BB68" s="41"/>
      <c r="BC68" s="41"/>
      <c r="BD68" s="41"/>
      <c r="BE68" s="41"/>
      <c r="BF68" s="41"/>
      <c r="BG68" s="41"/>
      <c r="BH68" s="41"/>
      <c r="BI68" s="41"/>
      <c r="BJ68" s="41"/>
      <c r="BK68" s="41"/>
      <c r="BL68" s="41"/>
      <c r="BM68" s="41"/>
      <c r="BN68" s="41"/>
      <c r="BO68" s="41"/>
      <c r="BP68" s="41"/>
      <c r="BQ68" s="41"/>
    </row>
    <row r="69" spans="3:69" s="22" customFormat="1">
      <c r="C69" s="42" t="s">
        <v>1192</v>
      </c>
      <c r="E69" s="28"/>
      <c r="F69" s="29"/>
      <c r="G69" s="63"/>
      <c r="H69" s="41"/>
      <c r="I69" s="41"/>
      <c r="J69" s="41"/>
      <c r="K69" s="41"/>
      <c r="L69" s="41"/>
      <c r="M69" s="41"/>
      <c r="N69" s="41"/>
      <c r="O69" s="41"/>
      <c r="P69" s="41"/>
      <c r="Q69" s="41"/>
      <c r="R69" s="41"/>
      <c r="S69" s="41"/>
      <c r="T69" s="41"/>
      <c r="U69" s="41"/>
      <c r="V69" s="41"/>
      <c r="W69" s="41"/>
      <c r="X69" s="41"/>
      <c r="Y69" s="41"/>
      <c r="Z69" s="41"/>
      <c r="AA69" s="41"/>
      <c r="AB69" s="41"/>
      <c r="AC69" s="41"/>
      <c r="AD69" s="41"/>
      <c r="AE69" s="41"/>
      <c r="AF69" s="41"/>
      <c r="AG69" s="41"/>
      <c r="AH69" s="41"/>
      <c r="AI69" s="41"/>
      <c r="AJ69" s="41"/>
      <c r="AK69" s="41"/>
      <c r="AL69" s="41"/>
      <c r="AM69" s="41"/>
      <c r="AN69" s="41"/>
      <c r="AO69" s="41"/>
      <c r="AP69" s="41"/>
      <c r="AQ69" s="41"/>
      <c r="AR69" s="41"/>
      <c r="AS69" s="41"/>
      <c r="AT69" s="41"/>
      <c r="AU69" s="41"/>
      <c r="AV69" s="41"/>
      <c r="AW69" s="41"/>
      <c r="AX69" s="41"/>
      <c r="AY69" s="41"/>
      <c r="AZ69" s="41"/>
      <c r="BA69" s="41"/>
      <c r="BB69" s="41"/>
      <c r="BC69" s="41"/>
      <c r="BD69" s="41"/>
      <c r="BE69" s="41"/>
      <c r="BF69" s="41"/>
      <c r="BG69" s="41"/>
      <c r="BH69" s="41"/>
      <c r="BI69" s="41"/>
      <c r="BJ69" s="41"/>
      <c r="BK69" s="41"/>
      <c r="BL69" s="41"/>
      <c r="BM69" s="41"/>
      <c r="BN69" s="41"/>
      <c r="BO69" s="41"/>
      <c r="BP69" s="41"/>
      <c r="BQ69" s="41"/>
    </row>
    <row r="70" spans="3:69" s="22" customFormat="1">
      <c r="C70" s="64" t="s">
        <v>1193</v>
      </c>
      <c r="E70" s="28"/>
      <c r="F70" s="50" t="s">
        <v>119</v>
      </c>
      <c r="G70" s="63">
        <v>0</v>
      </c>
      <c r="H70" s="41" cm="1">
        <f t="array" aca="1" ref="H70:BO70" ca="1">H505:BO505</f>
        <v>7614.8283269044705</v>
      </c>
      <c r="I70" s="41">
        <f ca="1"/>
        <v>7969.488501238754</v>
      </c>
      <c r="J70" s="41">
        <f ca="1"/>
        <v>0</v>
      </c>
      <c r="K70" s="41">
        <f ca="1"/>
        <v>0</v>
      </c>
      <c r="L70" s="41">
        <f ca="1"/>
        <v>0</v>
      </c>
      <c r="M70" s="41">
        <f ca="1"/>
        <v>0</v>
      </c>
      <c r="N70" s="41">
        <f ca="1"/>
        <v>0</v>
      </c>
      <c r="O70" s="41">
        <f ca="1"/>
        <v>0</v>
      </c>
      <c r="P70" s="41">
        <f ca="1"/>
        <v>0</v>
      </c>
      <c r="Q70" s="41">
        <f ca="1"/>
        <v>0</v>
      </c>
      <c r="R70" s="41">
        <f ca="1"/>
        <v>0</v>
      </c>
      <c r="S70" s="41">
        <f ca="1"/>
        <v>0</v>
      </c>
      <c r="T70" s="41">
        <f ca="1"/>
        <v>0</v>
      </c>
      <c r="U70" s="41">
        <f ca="1"/>
        <v>0</v>
      </c>
      <c r="V70" s="41">
        <f ca="1"/>
        <v>0</v>
      </c>
      <c r="W70" s="41">
        <f ca="1"/>
        <v>0</v>
      </c>
      <c r="X70" s="41">
        <f ca="1"/>
        <v>0</v>
      </c>
      <c r="Y70" s="41">
        <f ca="1"/>
        <v>0</v>
      </c>
      <c r="Z70" s="41">
        <f ca="1"/>
        <v>0</v>
      </c>
      <c r="AA70" s="41">
        <f ca="1"/>
        <v>0</v>
      </c>
      <c r="AB70" s="41">
        <f ca="1"/>
        <v>0</v>
      </c>
      <c r="AC70" s="41">
        <f ca="1"/>
        <v>0</v>
      </c>
      <c r="AD70" s="41">
        <f ca="1"/>
        <v>0</v>
      </c>
      <c r="AE70" s="41">
        <f ca="1"/>
        <v>0</v>
      </c>
      <c r="AF70" s="41">
        <f ca="1"/>
        <v>0</v>
      </c>
      <c r="AG70" s="41">
        <f ca="1"/>
        <v>0</v>
      </c>
      <c r="AH70" s="41">
        <f ca="1"/>
        <v>0</v>
      </c>
      <c r="AI70" s="41">
        <f ca="1"/>
        <v>0</v>
      </c>
      <c r="AJ70" s="41">
        <f ca="1"/>
        <v>0</v>
      </c>
      <c r="AK70" s="41">
        <f ca="1"/>
        <v>0</v>
      </c>
      <c r="AL70" s="41">
        <f ca="1"/>
        <v>0</v>
      </c>
      <c r="AM70" s="41">
        <f ca="1"/>
        <v>0</v>
      </c>
      <c r="AN70" s="41">
        <f ca="1"/>
        <v>0</v>
      </c>
      <c r="AO70" s="41">
        <f ca="1"/>
        <v>0</v>
      </c>
      <c r="AP70" s="41">
        <f ca="1"/>
        <v>0</v>
      </c>
      <c r="AQ70" s="41">
        <f ca="1"/>
        <v>0</v>
      </c>
      <c r="AR70" s="41">
        <f ca="1"/>
        <v>0</v>
      </c>
      <c r="AS70" s="41">
        <f ca="1"/>
        <v>0</v>
      </c>
      <c r="AT70" s="41">
        <f ca="1"/>
        <v>0</v>
      </c>
      <c r="AU70" s="41">
        <f ca="1"/>
        <v>0</v>
      </c>
      <c r="AV70" s="41">
        <f ca="1"/>
        <v>0</v>
      </c>
      <c r="AW70" s="41">
        <f ca="1"/>
        <v>0</v>
      </c>
      <c r="AX70" s="41">
        <f ca="1"/>
        <v>0</v>
      </c>
      <c r="AY70" s="41">
        <f ca="1"/>
        <v>0</v>
      </c>
      <c r="AZ70" s="41">
        <f ca="1"/>
        <v>0</v>
      </c>
      <c r="BA70" s="41">
        <f ca="1"/>
        <v>0</v>
      </c>
      <c r="BB70" s="41">
        <f ca="1"/>
        <v>0</v>
      </c>
      <c r="BC70" s="41">
        <f ca="1"/>
        <v>0</v>
      </c>
      <c r="BD70" s="41">
        <f ca="1"/>
        <v>0</v>
      </c>
      <c r="BE70" s="41">
        <f ca="1"/>
        <v>0</v>
      </c>
      <c r="BF70" s="41">
        <f ca="1"/>
        <v>0</v>
      </c>
      <c r="BG70" s="41">
        <f ca="1"/>
        <v>0</v>
      </c>
      <c r="BH70" s="41">
        <f ca="1"/>
        <v>0</v>
      </c>
      <c r="BI70" s="41">
        <f ca="1"/>
        <v>0</v>
      </c>
      <c r="BJ70" s="41">
        <f ca="1"/>
        <v>0</v>
      </c>
      <c r="BK70" s="41">
        <f ca="1"/>
        <v>0</v>
      </c>
      <c r="BL70" s="41">
        <f ca="1"/>
        <v>0</v>
      </c>
      <c r="BM70" s="41">
        <f ca="1"/>
        <v>0</v>
      </c>
      <c r="BN70" s="41">
        <f ca="1"/>
        <v>0</v>
      </c>
      <c r="BO70" s="41">
        <f ca="1"/>
        <v>0</v>
      </c>
      <c r="BP70" s="41"/>
      <c r="BQ70" s="41"/>
    </row>
    <row r="71" spans="3:69" s="22" customFormat="1">
      <c r="C71" s="64" t="s">
        <v>129</v>
      </c>
      <c r="E71" s="28"/>
      <c r="F71" s="50" t="s">
        <v>119</v>
      </c>
      <c r="G71" s="63">
        <f>Assumptions!D53</f>
        <v>150000</v>
      </c>
      <c r="H71" s="41" cm="1">
        <f t="array" ref="H71:BO71">-_xlfn.ANCHORARRAY(H450)</f>
        <v>93615.302593849978</v>
      </c>
      <c r="I71" s="41">
        <v>88970.165649716655</v>
      </c>
      <c r="J71" s="41">
        <v>112629.88109531664</v>
      </c>
      <c r="K71" s="41">
        <v>112742.14029295757</v>
      </c>
      <c r="L71" s="41">
        <v>112825.87431805755</v>
      </c>
      <c r="M71" s="41">
        <v>112851.9973462909</v>
      </c>
      <c r="N71" s="41">
        <v>112958.43218743859</v>
      </c>
      <c r="O71" s="41">
        <v>113067.16929859968</v>
      </c>
      <c r="P71" s="41">
        <v>113172.89244168202</v>
      </c>
      <c r="Q71" s="41">
        <v>113318.52088301952</v>
      </c>
      <c r="R71" s="41">
        <v>113431.22282381951</v>
      </c>
      <c r="S71" s="41">
        <v>161251.31778739204</v>
      </c>
      <c r="T71" s="41">
        <v>97346.670200898574</v>
      </c>
      <c r="U71" s="41">
        <v>92514.172085368933</v>
      </c>
      <c r="V71" s="41">
        <v>117239.0584513067</v>
      </c>
      <c r="W71" s="41">
        <v>117341.0847587287</v>
      </c>
      <c r="X71" s="41">
        <v>117453.69378102708</v>
      </c>
      <c r="Y71" s="41">
        <v>117565.11527111732</v>
      </c>
      <c r="Z71" s="41">
        <v>117673.68930563428</v>
      </c>
      <c r="AA71" s="41">
        <v>117780.5793511565</v>
      </c>
      <c r="AB71" s="41">
        <v>117851.17049138446</v>
      </c>
      <c r="AC71" s="41">
        <v>117963.15706988155</v>
      </c>
      <c r="AD71" s="41">
        <v>118072.28901118512</v>
      </c>
      <c r="AE71" s="41">
        <v>167720.96013958086</v>
      </c>
      <c r="AF71" s="41">
        <v>101262.22015108292</v>
      </c>
      <c r="AG71" s="41">
        <v>96215.924907328576</v>
      </c>
      <c r="AH71" s="41">
        <v>121957.69010729474</v>
      </c>
      <c r="AI71" s="41">
        <v>122070.8447818834</v>
      </c>
      <c r="AJ71" s="41">
        <v>122169.15881783671</v>
      </c>
      <c r="AK71" s="41">
        <v>122288.25460061395</v>
      </c>
      <c r="AL71" s="41">
        <v>122377.08802784253</v>
      </c>
      <c r="AM71" s="41">
        <v>122448.8607011353</v>
      </c>
      <c r="AN71" s="41">
        <v>122561.77742410888</v>
      </c>
      <c r="AO71" s="41">
        <v>122677.13662533966</v>
      </c>
      <c r="AP71" s="41">
        <v>122789.29830783575</v>
      </c>
      <c r="AQ71" s="41">
        <v>174638.540020866</v>
      </c>
      <c r="AR71" s="41">
        <v>105435.41508654166</v>
      </c>
      <c r="AS71" s="41">
        <v>100195.75987148522</v>
      </c>
      <c r="AT71" s="41">
        <v>126970.37033588577</v>
      </c>
      <c r="AU71" s="41">
        <v>127085.71251732345</v>
      </c>
      <c r="AV71" s="41">
        <v>127205.98319660347</v>
      </c>
      <c r="AW71" s="41">
        <v>127221.21085808906</v>
      </c>
      <c r="AX71" s="41">
        <v>127340.67776984541</v>
      </c>
      <c r="AY71" s="41">
        <v>127458.88482868217</v>
      </c>
      <c r="AZ71" s="41">
        <v>127574.07102190117</v>
      </c>
      <c r="BA71" s="41">
        <v>127687.47067119571</v>
      </c>
      <c r="BB71" s="41">
        <v>127782.4308849635</v>
      </c>
      <c r="BC71" s="41">
        <v>181692.46828034459</v>
      </c>
      <c r="BD71" s="41">
        <v>109674.65406530593</v>
      </c>
      <c r="BE71" s="41">
        <v>104230.23469359329</v>
      </c>
      <c r="BF71" s="41">
        <v>132091.88676728256</v>
      </c>
      <c r="BG71" s="41">
        <v>132186.70555591612</v>
      </c>
      <c r="BH71" s="41">
        <v>132335.21912002441</v>
      </c>
      <c r="BI71" s="41">
        <v>132455.26491429555</v>
      </c>
      <c r="BJ71" s="41">
        <v>132559.56627503844</v>
      </c>
      <c r="BK71" s="41">
        <v>132685.91499098678</v>
      </c>
      <c r="BL71" s="41">
        <v>132780.15837393358</v>
      </c>
      <c r="BM71" s="41">
        <v>132856.30200302985</v>
      </c>
      <c r="BN71" s="41">
        <v>132976.09535443253</v>
      </c>
      <c r="BO71" s="41">
        <v>189093.64313164577</v>
      </c>
      <c r="BP71" s="41"/>
      <c r="BQ71" s="41"/>
    </row>
    <row r="72" spans="3:69" s="22" customFormat="1">
      <c r="C72" s="64" t="s">
        <v>132</v>
      </c>
      <c r="E72" s="28"/>
      <c r="F72" s="50" t="s">
        <v>119</v>
      </c>
      <c r="G72" s="63">
        <f>Assumptions!D54</f>
        <v>2000</v>
      </c>
      <c r="H72" s="41" cm="1">
        <f t="array" aca="1" ref="H72:BO72" ca="1">-H451:BO451</f>
        <v>147.28519678555506</v>
      </c>
      <c r="I72" s="41">
        <f ca="1"/>
        <v>-133.74222271254015</v>
      </c>
      <c r="J72" s="41">
        <f ca="1"/>
        <v>1226.8737127127908</v>
      </c>
      <c r="K72" s="41">
        <f ca="1"/>
        <v>1240.7138613882846</v>
      </c>
      <c r="L72" s="41">
        <f ca="1"/>
        <v>1242.9352508127258</v>
      </c>
      <c r="M72" s="41">
        <f ca="1"/>
        <v>1241.6847862771713</v>
      </c>
      <c r="N72" s="41">
        <f ca="1"/>
        <v>1244.7483171074628</v>
      </c>
      <c r="O72" s="41">
        <f ca="1"/>
        <v>1247.9365317634174</v>
      </c>
      <c r="P72" s="41">
        <f ca="1"/>
        <v>1250.9876505325688</v>
      </c>
      <c r="Q72" s="41">
        <f ca="1"/>
        <v>1255.7780317095112</v>
      </c>
      <c r="R72" s="41">
        <f ca="1"/>
        <v>1259.3952379939583</v>
      </c>
      <c r="S72" s="41">
        <f ca="1"/>
        <v>4014.1811577695062</v>
      </c>
      <c r="T72" s="41">
        <f ca="1"/>
        <v>187.28163951498357</v>
      </c>
      <c r="U72" s="41">
        <f ca="1"/>
        <v>-94.770569907625173</v>
      </c>
      <c r="V72" s="41">
        <f ca="1"/>
        <v>1327.7993396203392</v>
      </c>
      <c r="W72" s="41">
        <f ca="1"/>
        <v>1330.1790352470482</v>
      </c>
      <c r="X72" s="41">
        <f ca="1"/>
        <v>1333.6920782318216</v>
      </c>
      <c r="Y72" s="41">
        <f ca="1"/>
        <v>1336.9848521448453</v>
      </c>
      <c r="Z72" s="41">
        <f ca="1"/>
        <v>1340.0241085311357</v>
      </c>
      <c r="AA72" s="41">
        <f ca="1"/>
        <v>1343.078216307501</v>
      </c>
      <c r="AB72" s="41">
        <f ca="1"/>
        <v>1344.0314951063492</v>
      </c>
      <c r="AC72" s="41">
        <f ca="1"/>
        <v>1347.4119626206088</v>
      </c>
      <c r="AD72" s="41">
        <f ca="1"/>
        <v>1350.4913210900527</v>
      </c>
      <c r="AE72" s="41">
        <f ca="1"/>
        <v>4210.0048015188913</v>
      </c>
      <c r="AF72" s="41">
        <f ca="1"/>
        <v>229.84762029382287</v>
      </c>
      <c r="AG72" s="41">
        <f ca="1"/>
        <v>-64.141227850540631</v>
      </c>
      <c r="AH72" s="41">
        <f ca="1"/>
        <v>1416.5270410857213</v>
      </c>
      <c r="AI72" s="41">
        <f ca="1"/>
        <v>1419.7275676797597</v>
      </c>
      <c r="AJ72" s="41">
        <f ca="1"/>
        <v>1421.9730406770173</v>
      </c>
      <c r="AK72" s="41">
        <f ca="1"/>
        <v>1425.2901278972208</v>
      </c>
      <c r="AL72" s="41">
        <f ca="1"/>
        <v>1427.5539805626172</v>
      </c>
      <c r="AM72" s="41">
        <f ca="1"/>
        <v>1428.6084772898432</v>
      </c>
      <c r="AN72" s="41">
        <f ca="1"/>
        <v>1431.7657577727041</v>
      </c>
      <c r="AO72" s="41">
        <f ca="1"/>
        <v>1435.0553153262101</v>
      </c>
      <c r="AP72" s="41">
        <f ca="1"/>
        <v>1438.1994278533957</v>
      </c>
      <c r="AQ72" s="41">
        <f ca="1"/>
        <v>4423.8381069499874</v>
      </c>
      <c r="AR72" s="41">
        <f ca="1"/>
        <v>834.77539091911592</v>
      </c>
      <c r="AS72" s="41">
        <f ca="1"/>
        <v>529.50213736605951</v>
      </c>
      <c r="AT72" s="41">
        <f ca="1"/>
        <v>2070.0222329415351</v>
      </c>
      <c r="AU72" s="41">
        <f ca="1"/>
        <v>2072.9594908841937</v>
      </c>
      <c r="AV72" s="41">
        <f ca="1"/>
        <v>2076.5218825115548</v>
      </c>
      <c r="AW72" s="41">
        <f ca="1"/>
        <v>2073.8268750555467</v>
      </c>
      <c r="AX72" s="41">
        <f ca="1"/>
        <v>2077.4875654830894</v>
      </c>
      <c r="AY72" s="41">
        <f ca="1"/>
        <v>2080.914572452416</v>
      </c>
      <c r="AZ72" s="41">
        <f ca="1"/>
        <v>2084.0726226776383</v>
      </c>
      <c r="BA72" s="41">
        <f ca="1"/>
        <v>2087.2464287425801</v>
      </c>
      <c r="BB72" s="41">
        <f ca="1"/>
        <v>2089.3682973570117</v>
      </c>
      <c r="BC72" s="41">
        <f ca="1"/>
        <v>5194.9480639452404</v>
      </c>
      <c r="BD72" s="41">
        <f ca="1"/>
        <v>881.15654979825013</v>
      </c>
      <c r="BE72" s="41">
        <f ca="1"/>
        <v>563.46437581130328</v>
      </c>
      <c r="BF72" s="41">
        <f ca="1"/>
        <v>2166.7578712810782</v>
      </c>
      <c r="BG72" s="41">
        <f ca="1"/>
        <v>2168.9771311632912</v>
      </c>
      <c r="BH72" s="41">
        <f ca="1"/>
        <v>2173.5881469654614</v>
      </c>
      <c r="BI72" s="41">
        <f ca="1"/>
        <v>2176.9393908374072</v>
      </c>
      <c r="BJ72" s="41">
        <f ca="1"/>
        <v>2179.2774183485235</v>
      </c>
      <c r="BK72" s="41">
        <f ca="1"/>
        <v>2182.7523213887789</v>
      </c>
      <c r="BL72" s="41">
        <f ca="1"/>
        <v>2185.1098478898261</v>
      </c>
      <c r="BM72" s="41">
        <f ca="1"/>
        <v>2186.1843686760772</v>
      </c>
      <c r="BN72" s="41">
        <f ca="1"/>
        <v>2189.489732748676</v>
      </c>
      <c r="BO72" s="41">
        <f ca="1"/>
        <v>5421.9152297475011</v>
      </c>
      <c r="BP72" s="41"/>
      <c r="BQ72" s="41"/>
    </row>
    <row r="73" spans="3:69" s="31" customFormat="1">
      <c r="C73" s="70" t="s">
        <v>1194</v>
      </c>
      <c r="D73" s="70"/>
      <c r="E73" s="71"/>
      <c r="F73" s="72" t="s">
        <v>119</v>
      </c>
      <c r="G73" s="88">
        <f>SUM(G70:G72)</f>
        <v>152000</v>
      </c>
      <c r="H73" s="87">
        <f t="shared" ref="H73:BO73" ca="1" si="67">SUM(H70:H72)</f>
        <v>101377.41611754001</v>
      </c>
      <c r="I73" s="87">
        <f t="shared" ca="1" si="67"/>
        <v>96805.911928242873</v>
      </c>
      <c r="J73" s="87">
        <f t="shared" ca="1" si="67"/>
        <v>113856.75480802944</v>
      </c>
      <c r="K73" s="87">
        <f t="shared" ca="1" si="67"/>
        <v>113982.85415434586</v>
      </c>
      <c r="L73" s="87">
        <f t="shared" ca="1" si="67"/>
        <v>114068.80956887027</v>
      </c>
      <c r="M73" s="87">
        <f t="shared" ca="1" si="67"/>
        <v>114093.68213256806</v>
      </c>
      <c r="N73" s="87">
        <f t="shared" ca="1" si="67"/>
        <v>114203.18050454605</v>
      </c>
      <c r="O73" s="87">
        <f t="shared" ca="1" si="67"/>
        <v>114315.1058303631</v>
      </c>
      <c r="P73" s="87">
        <f t="shared" ca="1" si="67"/>
        <v>114423.88009221459</v>
      </c>
      <c r="Q73" s="87">
        <f t="shared" ca="1" si="67"/>
        <v>114574.29891472904</v>
      </c>
      <c r="R73" s="87">
        <f t="shared" ca="1" si="67"/>
        <v>114690.61806181347</v>
      </c>
      <c r="S73" s="87">
        <f t="shared" ca="1" si="67"/>
        <v>165265.49894516155</v>
      </c>
      <c r="T73" s="87">
        <f t="shared" ca="1" si="67"/>
        <v>97533.95184041356</v>
      </c>
      <c r="U73" s="87">
        <f t="shared" ca="1" si="67"/>
        <v>92419.401515461301</v>
      </c>
      <c r="V73" s="87">
        <f t="shared" ca="1" si="67"/>
        <v>118566.85779092704</v>
      </c>
      <c r="W73" s="87">
        <f t="shared" ca="1" si="67"/>
        <v>118671.26379397574</v>
      </c>
      <c r="X73" s="87">
        <f t="shared" ca="1" si="67"/>
        <v>118787.38585925889</v>
      </c>
      <c r="Y73" s="87">
        <f t="shared" ca="1" si="67"/>
        <v>118902.10012326216</v>
      </c>
      <c r="Z73" s="87">
        <f t="shared" ca="1" si="67"/>
        <v>119013.71341416542</v>
      </c>
      <c r="AA73" s="87">
        <f t="shared" ca="1" si="67"/>
        <v>119123.657567464</v>
      </c>
      <c r="AB73" s="87">
        <f t="shared" ca="1" si="67"/>
        <v>119195.20198649081</v>
      </c>
      <c r="AC73" s="87">
        <f t="shared" ca="1" si="67"/>
        <v>119310.56903250216</v>
      </c>
      <c r="AD73" s="87">
        <f t="shared" ca="1" si="67"/>
        <v>119422.78033227517</v>
      </c>
      <c r="AE73" s="87">
        <f t="shared" ca="1" si="67"/>
        <v>171930.96494109975</v>
      </c>
      <c r="AF73" s="87">
        <f t="shared" ca="1" si="67"/>
        <v>101492.06777137674</v>
      </c>
      <c r="AG73" s="87">
        <f t="shared" ca="1" si="67"/>
        <v>96151.783679478031</v>
      </c>
      <c r="AH73" s="87">
        <f t="shared" ca="1" si="67"/>
        <v>123374.21714838046</v>
      </c>
      <c r="AI73" s="87">
        <f t="shared" ca="1" si="67"/>
        <v>123490.57234956315</v>
      </c>
      <c r="AJ73" s="87">
        <f t="shared" ca="1" si="67"/>
        <v>123591.13185851372</v>
      </c>
      <c r="AK73" s="87">
        <f t="shared" ca="1" si="67"/>
        <v>123713.54472851117</v>
      </c>
      <c r="AL73" s="87">
        <f t="shared" ca="1" si="67"/>
        <v>123804.64200840515</v>
      </c>
      <c r="AM73" s="87">
        <f t="shared" ca="1" si="67"/>
        <v>123877.46917842515</v>
      </c>
      <c r="AN73" s="87">
        <f t="shared" ca="1" si="67"/>
        <v>123993.54318188159</v>
      </c>
      <c r="AO73" s="87">
        <f t="shared" ca="1" si="67"/>
        <v>124112.19194066587</v>
      </c>
      <c r="AP73" s="87">
        <f t="shared" ca="1" si="67"/>
        <v>124227.49773568915</v>
      </c>
      <c r="AQ73" s="87">
        <f t="shared" ca="1" si="67"/>
        <v>179062.37812781599</v>
      </c>
      <c r="AR73" s="87">
        <f t="shared" ca="1" si="67"/>
        <v>106270.19047746077</v>
      </c>
      <c r="AS73" s="87">
        <f t="shared" ca="1" si="67"/>
        <v>100725.26200885128</v>
      </c>
      <c r="AT73" s="87">
        <f t="shared" ca="1" si="67"/>
        <v>129040.39256882732</v>
      </c>
      <c r="AU73" s="87">
        <f t="shared" ca="1" si="67"/>
        <v>129158.67200820765</v>
      </c>
      <c r="AV73" s="87">
        <f t="shared" ca="1" si="67"/>
        <v>129282.50507911503</v>
      </c>
      <c r="AW73" s="87">
        <f t="shared" ca="1" si="67"/>
        <v>129295.03773314461</v>
      </c>
      <c r="AX73" s="87">
        <f t="shared" ca="1" si="67"/>
        <v>129418.16533532849</v>
      </c>
      <c r="AY73" s="87">
        <f t="shared" ca="1" si="67"/>
        <v>129539.79940113459</v>
      </c>
      <c r="AZ73" s="87">
        <f t="shared" ca="1" si="67"/>
        <v>129658.1436445788</v>
      </c>
      <c r="BA73" s="87">
        <f t="shared" ca="1" si="67"/>
        <v>129774.71709993829</v>
      </c>
      <c r="BB73" s="87">
        <f t="shared" ca="1" si="67"/>
        <v>129871.79918232051</v>
      </c>
      <c r="BC73" s="87">
        <f t="shared" ca="1" si="67"/>
        <v>186887.41634428984</v>
      </c>
      <c r="BD73" s="87">
        <f t="shared" ca="1" si="67"/>
        <v>110555.81061510419</v>
      </c>
      <c r="BE73" s="87">
        <f t="shared" ca="1" si="67"/>
        <v>104793.6990694046</v>
      </c>
      <c r="BF73" s="87">
        <f t="shared" ca="1" si="67"/>
        <v>134258.64463856362</v>
      </c>
      <c r="BG73" s="87">
        <f t="shared" ca="1" si="67"/>
        <v>134355.68268707942</v>
      </c>
      <c r="BH73" s="87">
        <f t="shared" ca="1" si="67"/>
        <v>134508.80726698987</v>
      </c>
      <c r="BI73" s="87">
        <f t="shared" ca="1" si="67"/>
        <v>134632.20430513297</v>
      </c>
      <c r="BJ73" s="87">
        <f t="shared" ca="1" si="67"/>
        <v>134738.84369338697</v>
      </c>
      <c r="BK73" s="87">
        <f t="shared" ca="1" si="67"/>
        <v>134868.66731237556</v>
      </c>
      <c r="BL73" s="87">
        <f t="shared" ca="1" si="67"/>
        <v>134965.26822182341</v>
      </c>
      <c r="BM73" s="87">
        <f t="shared" ca="1" si="67"/>
        <v>135042.48637170592</v>
      </c>
      <c r="BN73" s="87">
        <f t="shared" ca="1" si="67"/>
        <v>135165.58508718121</v>
      </c>
      <c r="BO73" s="87">
        <f t="shared" ca="1" si="67"/>
        <v>194515.55836139328</v>
      </c>
      <c r="BP73" s="354"/>
      <c r="BQ73" s="354"/>
    </row>
    <row r="74" spans="3:69" s="22" customFormat="1">
      <c r="E74" s="28"/>
      <c r="F74" s="29"/>
      <c r="G74" s="63"/>
      <c r="H74" s="41"/>
      <c r="I74" s="41"/>
      <c r="J74" s="41"/>
      <c r="K74" s="41"/>
      <c r="L74" s="41"/>
      <c r="M74" s="41"/>
      <c r="N74" s="41"/>
      <c r="O74" s="41"/>
      <c r="P74" s="41"/>
      <c r="Q74" s="41"/>
      <c r="R74" s="41"/>
      <c r="S74" s="41"/>
      <c r="T74" s="41"/>
      <c r="U74" s="41"/>
      <c r="V74" s="41"/>
      <c r="W74" s="41"/>
      <c r="X74" s="41"/>
      <c r="Y74" s="41"/>
      <c r="Z74" s="41"/>
      <c r="AA74" s="41"/>
      <c r="AB74" s="41"/>
      <c r="AC74" s="41"/>
      <c r="AD74" s="41"/>
      <c r="AE74" s="41"/>
      <c r="AF74" s="41"/>
      <c r="AG74" s="41"/>
      <c r="AH74" s="41"/>
      <c r="AI74" s="41"/>
      <c r="AJ74" s="41"/>
      <c r="AK74" s="41"/>
      <c r="AL74" s="41"/>
      <c r="AM74" s="41"/>
      <c r="AN74" s="41"/>
      <c r="AO74" s="41"/>
      <c r="AP74" s="41"/>
      <c r="AQ74" s="41"/>
      <c r="AR74" s="41"/>
      <c r="AS74" s="41"/>
      <c r="AT74" s="41"/>
      <c r="AU74" s="41"/>
      <c r="AV74" s="41"/>
      <c r="AW74" s="41"/>
      <c r="AX74" s="41"/>
      <c r="AY74" s="41"/>
      <c r="AZ74" s="41"/>
      <c r="BA74" s="41"/>
      <c r="BB74" s="41"/>
      <c r="BC74" s="41"/>
      <c r="BD74" s="41"/>
      <c r="BE74" s="41"/>
      <c r="BF74" s="41"/>
      <c r="BG74" s="41"/>
      <c r="BH74" s="41"/>
      <c r="BI74" s="41"/>
      <c r="BJ74" s="41"/>
      <c r="BK74" s="41"/>
      <c r="BL74" s="41"/>
      <c r="BM74" s="41"/>
      <c r="BN74" s="41"/>
      <c r="BO74" s="41"/>
      <c r="BP74" s="41"/>
      <c r="BQ74" s="41"/>
    </row>
    <row r="75" spans="3:69" s="22" customFormat="1">
      <c r="C75" s="31" t="s">
        <v>1195</v>
      </c>
      <c r="E75" s="28"/>
      <c r="F75" s="29"/>
      <c r="G75" s="63"/>
      <c r="H75" s="41"/>
      <c r="I75" s="41"/>
      <c r="J75" s="41"/>
      <c r="K75" s="41"/>
      <c r="L75" s="41"/>
      <c r="M75" s="41"/>
      <c r="N75" s="41"/>
      <c r="O75" s="41"/>
      <c r="P75" s="41"/>
      <c r="Q75" s="41"/>
      <c r="R75" s="41"/>
      <c r="S75" s="41"/>
      <c r="T75" s="41"/>
      <c r="U75" s="41"/>
      <c r="V75" s="41"/>
      <c r="W75" s="41"/>
      <c r="X75" s="41"/>
      <c r="Y75" s="41"/>
      <c r="Z75" s="41"/>
      <c r="AA75" s="41"/>
      <c r="AB75" s="41"/>
      <c r="AC75" s="41"/>
      <c r="AD75" s="41"/>
      <c r="AE75" s="41"/>
      <c r="AF75" s="41"/>
      <c r="AG75" s="41"/>
      <c r="AH75" s="41"/>
      <c r="AI75" s="41"/>
      <c r="AJ75" s="41"/>
      <c r="AK75" s="41"/>
      <c r="AL75" s="41"/>
      <c r="AM75" s="41"/>
      <c r="AN75" s="41"/>
      <c r="AO75" s="41"/>
      <c r="AP75" s="41"/>
      <c r="AQ75" s="41"/>
      <c r="AR75" s="41"/>
      <c r="AS75" s="41"/>
      <c r="AT75" s="41"/>
      <c r="AU75" s="41"/>
      <c r="AV75" s="41"/>
      <c r="AW75" s="41"/>
      <c r="AX75" s="41"/>
      <c r="AY75" s="41"/>
      <c r="AZ75" s="41"/>
      <c r="BA75" s="41"/>
      <c r="BB75" s="41"/>
      <c r="BC75" s="41"/>
      <c r="BD75" s="41"/>
      <c r="BE75" s="41"/>
      <c r="BF75" s="41"/>
      <c r="BG75" s="41"/>
      <c r="BH75" s="41"/>
      <c r="BI75" s="41"/>
      <c r="BJ75" s="41"/>
      <c r="BK75" s="41"/>
      <c r="BL75" s="41"/>
      <c r="BM75" s="41"/>
      <c r="BN75" s="41"/>
      <c r="BO75" s="41"/>
      <c r="BP75" s="41"/>
      <c r="BQ75" s="41"/>
    </row>
    <row r="76" spans="3:69" s="22" customFormat="1">
      <c r="C76" s="64" t="s">
        <v>1196</v>
      </c>
      <c r="E76" s="28"/>
      <c r="F76" s="50" t="s">
        <v>119</v>
      </c>
      <c r="G76" s="63">
        <f>Assumptions!D56</f>
        <v>50000</v>
      </c>
      <c r="H76" s="41" cm="1">
        <f t="array" ref="H76:BO76">H487:BO487</f>
        <v>49479.166666666664</v>
      </c>
      <c r="I76" s="41">
        <v>48958.333333333328</v>
      </c>
      <c r="J76" s="41">
        <v>48437.499999999993</v>
      </c>
      <c r="K76" s="41">
        <v>47916.666666666657</v>
      </c>
      <c r="L76" s="41">
        <v>47395.833333333321</v>
      </c>
      <c r="M76" s="41">
        <v>46874.999999999985</v>
      </c>
      <c r="N76" s="41">
        <v>46354.16666666665</v>
      </c>
      <c r="O76" s="41">
        <v>45833.333333333314</v>
      </c>
      <c r="P76" s="41">
        <v>45312.499999999978</v>
      </c>
      <c r="Q76" s="41">
        <v>44791.666666666642</v>
      </c>
      <c r="R76" s="41">
        <v>44270.833333333307</v>
      </c>
      <c r="S76" s="41">
        <v>43749.999999999971</v>
      </c>
      <c r="T76" s="41">
        <v>43229.166666666635</v>
      </c>
      <c r="U76" s="41">
        <v>42708.333333333299</v>
      </c>
      <c r="V76" s="41">
        <v>42187.499999999964</v>
      </c>
      <c r="W76" s="41">
        <v>41666.666666666628</v>
      </c>
      <c r="X76" s="41">
        <v>41145.833333333292</v>
      </c>
      <c r="Y76" s="41">
        <v>40624.999999999956</v>
      </c>
      <c r="Z76" s="41">
        <v>40104.166666666621</v>
      </c>
      <c r="AA76" s="41">
        <v>39583.333333333285</v>
      </c>
      <c r="AB76" s="41">
        <v>39062.499999999949</v>
      </c>
      <c r="AC76" s="41">
        <v>38541.666666666613</v>
      </c>
      <c r="AD76" s="41">
        <v>38020.833333333278</v>
      </c>
      <c r="AE76" s="41">
        <v>37499.999999999942</v>
      </c>
      <c r="AF76" s="41">
        <v>36979.166666666606</v>
      </c>
      <c r="AG76" s="41">
        <v>36458.33333333327</v>
      </c>
      <c r="AH76" s="41">
        <v>35937.499999999935</v>
      </c>
      <c r="AI76" s="41">
        <v>35416.666666666599</v>
      </c>
      <c r="AJ76" s="41">
        <v>34895.833333333263</v>
      </c>
      <c r="AK76" s="41">
        <v>34374.999999999927</v>
      </c>
      <c r="AL76" s="41">
        <v>33854.166666666591</v>
      </c>
      <c r="AM76" s="41">
        <v>33333.333333333256</v>
      </c>
      <c r="AN76" s="41">
        <v>32812.49999999992</v>
      </c>
      <c r="AO76" s="41">
        <v>32291.666666666588</v>
      </c>
      <c r="AP76" s="41">
        <v>31770.833333333256</v>
      </c>
      <c r="AQ76" s="41">
        <v>31249.999999999924</v>
      </c>
      <c r="AR76" s="41">
        <v>30729.166666666591</v>
      </c>
      <c r="AS76" s="41">
        <v>30208.333333333259</v>
      </c>
      <c r="AT76" s="41">
        <v>29687.499999999927</v>
      </c>
      <c r="AU76" s="41">
        <v>29166.666666666595</v>
      </c>
      <c r="AV76" s="41">
        <v>28645.833333333263</v>
      </c>
      <c r="AW76" s="41">
        <v>28124.999999999931</v>
      </c>
      <c r="AX76" s="41">
        <v>27604.166666666599</v>
      </c>
      <c r="AY76" s="41">
        <v>27083.333333333267</v>
      </c>
      <c r="AZ76" s="41">
        <v>26562.499999999935</v>
      </c>
      <c r="BA76" s="41">
        <v>26041.666666666602</v>
      </c>
      <c r="BB76" s="41">
        <v>25520.83333333327</v>
      </c>
      <c r="BC76" s="41">
        <v>24999.999999999938</v>
      </c>
      <c r="BD76" s="41">
        <v>24479.166666666606</v>
      </c>
      <c r="BE76" s="41">
        <v>23958.333333333274</v>
      </c>
      <c r="BF76" s="41">
        <v>23437.499999999942</v>
      </c>
      <c r="BG76" s="41">
        <v>22916.66666666661</v>
      </c>
      <c r="BH76" s="41">
        <v>22395.833333333278</v>
      </c>
      <c r="BI76" s="41">
        <v>21874.999999999945</v>
      </c>
      <c r="BJ76" s="41">
        <v>21354.166666666613</v>
      </c>
      <c r="BK76" s="41">
        <v>20833.333333333281</v>
      </c>
      <c r="BL76" s="41">
        <v>20312.499999999949</v>
      </c>
      <c r="BM76" s="41">
        <v>19791.666666666617</v>
      </c>
      <c r="BN76" s="41">
        <v>19270.833333333285</v>
      </c>
      <c r="BO76" s="41">
        <v>18749.999999999953</v>
      </c>
      <c r="BP76" s="41"/>
      <c r="BQ76" s="41"/>
    </row>
    <row r="77" spans="3:69" s="22" customFormat="1">
      <c r="C77" s="64" t="s">
        <v>1197</v>
      </c>
      <c r="E77" s="28"/>
      <c r="F77" s="50" t="s">
        <v>119</v>
      </c>
      <c r="G77" s="63">
        <f>Assumptions!D55</f>
        <v>15000</v>
      </c>
      <c r="H77" s="41" cm="1">
        <f t="array" ref="H77:BO77">H498:BO498</f>
        <v>14750</v>
      </c>
      <c r="I77" s="41">
        <v>14500</v>
      </c>
      <c r="J77" s="41">
        <v>14250</v>
      </c>
      <c r="K77" s="41">
        <v>14000</v>
      </c>
      <c r="L77" s="41">
        <v>13750</v>
      </c>
      <c r="M77" s="41">
        <v>13500</v>
      </c>
      <c r="N77" s="41">
        <v>13250</v>
      </c>
      <c r="O77" s="41">
        <v>13000</v>
      </c>
      <c r="P77" s="41">
        <v>12750</v>
      </c>
      <c r="Q77" s="41">
        <v>12500</v>
      </c>
      <c r="R77" s="41">
        <v>12250</v>
      </c>
      <c r="S77" s="41">
        <v>12000</v>
      </c>
      <c r="T77" s="41">
        <v>11750</v>
      </c>
      <c r="U77" s="41">
        <v>11500</v>
      </c>
      <c r="V77" s="41">
        <v>11250</v>
      </c>
      <c r="W77" s="41">
        <v>11000</v>
      </c>
      <c r="X77" s="41">
        <v>10750</v>
      </c>
      <c r="Y77" s="41">
        <v>10500</v>
      </c>
      <c r="Z77" s="41">
        <v>10250</v>
      </c>
      <c r="AA77" s="41">
        <v>10000</v>
      </c>
      <c r="AB77" s="41">
        <v>9750</v>
      </c>
      <c r="AC77" s="41">
        <v>9500</v>
      </c>
      <c r="AD77" s="41">
        <v>9250</v>
      </c>
      <c r="AE77" s="41">
        <v>9000</v>
      </c>
      <c r="AF77" s="41">
        <v>8750</v>
      </c>
      <c r="AG77" s="41">
        <v>8500</v>
      </c>
      <c r="AH77" s="41">
        <v>8250</v>
      </c>
      <c r="AI77" s="41">
        <v>8000</v>
      </c>
      <c r="AJ77" s="41">
        <v>7750</v>
      </c>
      <c r="AK77" s="41">
        <v>7500</v>
      </c>
      <c r="AL77" s="41">
        <v>7250</v>
      </c>
      <c r="AM77" s="41">
        <v>7000</v>
      </c>
      <c r="AN77" s="41">
        <v>6750</v>
      </c>
      <c r="AO77" s="41">
        <v>6500</v>
      </c>
      <c r="AP77" s="41">
        <v>6250</v>
      </c>
      <c r="AQ77" s="41">
        <v>6000</v>
      </c>
      <c r="AR77" s="41">
        <v>5750</v>
      </c>
      <c r="AS77" s="41">
        <v>5500</v>
      </c>
      <c r="AT77" s="41">
        <v>5250</v>
      </c>
      <c r="AU77" s="41">
        <v>5000</v>
      </c>
      <c r="AV77" s="41">
        <v>4750</v>
      </c>
      <c r="AW77" s="41">
        <v>4500</v>
      </c>
      <c r="AX77" s="41">
        <v>4250</v>
      </c>
      <c r="AY77" s="41">
        <v>4000</v>
      </c>
      <c r="AZ77" s="41">
        <v>3750</v>
      </c>
      <c r="BA77" s="41">
        <v>3500</v>
      </c>
      <c r="BB77" s="41">
        <v>3250</v>
      </c>
      <c r="BC77" s="41">
        <v>3000</v>
      </c>
      <c r="BD77" s="41">
        <v>2750</v>
      </c>
      <c r="BE77" s="41">
        <v>2500</v>
      </c>
      <c r="BF77" s="41">
        <v>2250</v>
      </c>
      <c r="BG77" s="41">
        <v>2000</v>
      </c>
      <c r="BH77" s="41">
        <v>1750</v>
      </c>
      <c r="BI77" s="41">
        <v>1500</v>
      </c>
      <c r="BJ77" s="41">
        <v>1250</v>
      </c>
      <c r="BK77" s="41">
        <v>1000</v>
      </c>
      <c r="BL77" s="41">
        <v>750</v>
      </c>
      <c r="BM77" s="41">
        <v>500</v>
      </c>
      <c r="BN77" s="41">
        <v>250</v>
      </c>
      <c r="BO77" s="41">
        <v>0</v>
      </c>
      <c r="BP77" s="41"/>
      <c r="BQ77" s="41"/>
    </row>
    <row r="78" spans="3:69" s="31" customFormat="1">
      <c r="C78" s="70" t="s">
        <v>1198</v>
      </c>
      <c r="D78" s="221"/>
      <c r="E78" s="222"/>
      <c r="F78" s="72" t="s">
        <v>119</v>
      </c>
      <c r="G78" s="233">
        <f t="shared" ref="G78:AL78" si="68">SUM(G76:G77)</f>
        <v>65000</v>
      </c>
      <c r="H78" s="231">
        <f t="shared" si="68"/>
        <v>64229.166666666664</v>
      </c>
      <c r="I78" s="231">
        <f t="shared" si="68"/>
        <v>63458.333333333328</v>
      </c>
      <c r="J78" s="231">
        <f t="shared" si="68"/>
        <v>62687.499999999993</v>
      </c>
      <c r="K78" s="231">
        <f t="shared" si="68"/>
        <v>61916.666666666657</v>
      </c>
      <c r="L78" s="231">
        <f t="shared" si="68"/>
        <v>61145.833333333321</v>
      </c>
      <c r="M78" s="231">
        <f t="shared" si="68"/>
        <v>60374.999999999985</v>
      </c>
      <c r="N78" s="231">
        <f t="shared" si="68"/>
        <v>59604.16666666665</v>
      </c>
      <c r="O78" s="231">
        <f t="shared" si="68"/>
        <v>58833.333333333314</v>
      </c>
      <c r="P78" s="231">
        <f t="shared" si="68"/>
        <v>58062.499999999978</v>
      </c>
      <c r="Q78" s="231">
        <f t="shared" si="68"/>
        <v>57291.666666666642</v>
      </c>
      <c r="R78" s="231">
        <f t="shared" si="68"/>
        <v>56520.833333333307</v>
      </c>
      <c r="S78" s="231">
        <f t="shared" si="68"/>
        <v>55749.999999999971</v>
      </c>
      <c r="T78" s="231">
        <f t="shared" si="68"/>
        <v>54979.166666666635</v>
      </c>
      <c r="U78" s="231">
        <f t="shared" si="68"/>
        <v>54208.333333333299</v>
      </c>
      <c r="V78" s="231">
        <f t="shared" si="68"/>
        <v>53437.499999999964</v>
      </c>
      <c r="W78" s="231">
        <f t="shared" si="68"/>
        <v>52666.666666666628</v>
      </c>
      <c r="X78" s="231">
        <f t="shared" si="68"/>
        <v>51895.833333333292</v>
      </c>
      <c r="Y78" s="231">
        <f t="shared" si="68"/>
        <v>51124.999999999956</v>
      </c>
      <c r="Z78" s="231">
        <f t="shared" si="68"/>
        <v>50354.166666666621</v>
      </c>
      <c r="AA78" s="231">
        <f t="shared" si="68"/>
        <v>49583.333333333285</v>
      </c>
      <c r="AB78" s="231">
        <f t="shared" si="68"/>
        <v>48812.499999999949</v>
      </c>
      <c r="AC78" s="231">
        <f t="shared" si="68"/>
        <v>48041.666666666613</v>
      </c>
      <c r="AD78" s="231">
        <f t="shared" si="68"/>
        <v>47270.833333333278</v>
      </c>
      <c r="AE78" s="231">
        <f t="shared" si="68"/>
        <v>46499.999999999942</v>
      </c>
      <c r="AF78" s="231">
        <f t="shared" si="68"/>
        <v>45729.166666666606</v>
      </c>
      <c r="AG78" s="231">
        <f t="shared" si="68"/>
        <v>44958.33333333327</v>
      </c>
      <c r="AH78" s="231">
        <f t="shared" si="68"/>
        <v>44187.499999999935</v>
      </c>
      <c r="AI78" s="231">
        <f t="shared" si="68"/>
        <v>43416.666666666599</v>
      </c>
      <c r="AJ78" s="231">
        <f t="shared" si="68"/>
        <v>42645.833333333263</v>
      </c>
      <c r="AK78" s="231">
        <f t="shared" si="68"/>
        <v>41874.999999999927</v>
      </c>
      <c r="AL78" s="231">
        <f t="shared" si="68"/>
        <v>41104.166666666591</v>
      </c>
      <c r="AM78" s="231">
        <f t="shared" ref="AM78:BO78" si="69">SUM(AM76:AM77)</f>
        <v>40333.333333333256</v>
      </c>
      <c r="AN78" s="231">
        <f t="shared" si="69"/>
        <v>39562.49999999992</v>
      </c>
      <c r="AO78" s="231">
        <f t="shared" si="69"/>
        <v>38791.666666666584</v>
      </c>
      <c r="AP78" s="231">
        <f t="shared" si="69"/>
        <v>38020.833333333256</v>
      </c>
      <c r="AQ78" s="231">
        <f t="shared" si="69"/>
        <v>37249.999999999927</v>
      </c>
      <c r="AR78" s="231">
        <f t="shared" si="69"/>
        <v>36479.166666666591</v>
      </c>
      <c r="AS78" s="231">
        <f t="shared" si="69"/>
        <v>35708.333333333256</v>
      </c>
      <c r="AT78" s="231">
        <f t="shared" si="69"/>
        <v>34937.499999999927</v>
      </c>
      <c r="AU78" s="231">
        <f t="shared" si="69"/>
        <v>34166.666666666599</v>
      </c>
      <c r="AV78" s="231">
        <f t="shared" si="69"/>
        <v>33395.833333333263</v>
      </c>
      <c r="AW78" s="231">
        <f t="shared" si="69"/>
        <v>32624.999999999931</v>
      </c>
      <c r="AX78" s="231">
        <f t="shared" si="69"/>
        <v>31854.166666666599</v>
      </c>
      <c r="AY78" s="231">
        <f t="shared" si="69"/>
        <v>31083.333333333267</v>
      </c>
      <c r="AZ78" s="231">
        <f t="shared" si="69"/>
        <v>30312.499999999935</v>
      </c>
      <c r="BA78" s="231">
        <f t="shared" si="69"/>
        <v>29541.666666666602</v>
      </c>
      <c r="BB78" s="231">
        <f t="shared" si="69"/>
        <v>28770.83333333327</v>
      </c>
      <c r="BC78" s="231">
        <f t="shared" si="69"/>
        <v>27999.999999999938</v>
      </c>
      <c r="BD78" s="231">
        <f t="shared" si="69"/>
        <v>27229.166666666606</v>
      </c>
      <c r="BE78" s="231">
        <f t="shared" si="69"/>
        <v>26458.333333333274</v>
      </c>
      <c r="BF78" s="231">
        <f t="shared" si="69"/>
        <v>25687.499999999942</v>
      </c>
      <c r="BG78" s="231">
        <f t="shared" si="69"/>
        <v>24916.66666666661</v>
      </c>
      <c r="BH78" s="231">
        <f t="shared" si="69"/>
        <v>24145.833333333278</v>
      </c>
      <c r="BI78" s="231">
        <f t="shared" si="69"/>
        <v>23374.999999999945</v>
      </c>
      <c r="BJ78" s="231">
        <f t="shared" si="69"/>
        <v>22604.166666666613</v>
      </c>
      <c r="BK78" s="231">
        <f t="shared" si="69"/>
        <v>21833.333333333281</v>
      </c>
      <c r="BL78" s="231">
        <f t="shared" si="69"/>
        <v>21062.499999999949</v>
      </c>
      <c r="BM78" s="231">
        <f t="shared" si="69"/>
        <v>20291.666666666617</v>
      </c>
      <c r="BN78" s="231">
        <f t="shared" si="69"/>
        <v>19520.833333333285</v>
      </c>
      <c r="BO78" s="231">
        <f t="shared" si="69"/>
        <v>18749.999999999953</v>
      </c>
      <c r="BP78" s="353"/>
      <c r="BQ78" s="353"/>
    </row>
    <row r="79" spans="3:69" s="22" customFormat="1">
      <c r="E79" s="28"/>
      <c r="F79" s="29"/>
      <c r="G79" s="63"/>
      <c r="H79" s="41"/>
      <c r="I79" s="41"/>
      <c r="J79" s="41"/>
      <c r="K79" s="41"/>
      <c r="L79" s="41"/>
      <c r="M79" s="41"/>
      <c r="N79" s="41"/>
      <c r="O79" s="41"/>
      <c r="P79" s="41"/>
      <c r="Q79" s="41"/>
      <c r="R79" s="41"/>
      <c r="S79" s="41"/>
      <c r="T79" s="41"/>
      <c r="U79" s="41"/>
      <c r="V79" s="41"/>
      <c r="W79" s="41"/>
      <c r="X79" s="41"/>
      <c r="Y79" s="41"/>
      <c r="Z79" s="41"/>
      <c r="AA79" s="41"/>
      <c r="AB79" s="41"/>
      <c r="AC79" s="41"/>
      <c r="AD79" s="41"/>
      <c r="AE79" s="41"/>
      <c r="AF79" s="41"/>
      <c r="AG79" s="41"/>
      <c r="AH79" s="41"/>
      <c r="AI79" s="41"/>
      <c r="AJ79" s="41"/>
      <c r="AK79" s="41"/>
      <c r="AL79" s="41"/>
      <c r="AM79" s="41"/>
      <c r="AN79" s="41"/>
      <c r="AO79" s="41"/>
      <c r="AP79" s="41"/>
      <c r="AQ79" s="41"/>
      <c r="AR79" s="41"/>
      <c r="AS79" s="41"/>
      <c r="AT79" s="41"/>
      <c r="AU79" s="41"/>
      <c r="AV79" s="41"/>
      <c r="AW79" s="41"/>
      <c r="AX79" s="41"/>
      <c r="AY79" s="41"/>
      <c r="AZ79" s="41"/>
      <c r="BA79" s="41"/>
      <c r="BB79" s="41"/>
      <c r="BC79" s="41"/>
      <c r="BD79" s="41"/>
      <c r="BE79" s="41"/>
      <c r="BF79" s="41"/>
      <c r="BG79" s="41"/>
      <c r="BH79" s="41"/>
      <c r="BI79" s="41"/>
      <c r="BJ79" s="41"/>
      <c r="BK79" s="41"/>
      <c r="BL79" s="41"/>
      <c r="BM79" s="41"/>
      <c r="BN79" s="41"/>
      <c r="BO79" s="41"/>
      <c r="BP79" s="41"/>
      <c r="BQ79" s="41"/>
    </row>
    <row r="80" spans="3:69" s="31" customFormat="1" ht="12" customHeight="1">
      <c r="C80" s="52" t="s">
        <v>1199</v>
      </c>
      <c r="D80" s="53"/>
      <c r="E80" s="54"/>
      <c r="F80" s="232" t="s">
        <v>119</v>
      </c>
      <c r="G80" s="56" cm="1">
        <f t="array" aca="1" ref="G80:BO80" ca="1">G73:BO73+G78:BO78</f>
        <v>217000</v>
      </c>
      <c r="H80" s="224">
        <f ca="1"/>
        <v>165606.58278420666</v>
      </c>
      <c r="I80" s="224">
        <f ca="1"/>
        <v>160264.2452615762</v>
      </c>
      <c r="J80" s="224">
        <f ca="1"/>
        <v>176544.25480802942</v>
      </c>
      <c r="K80" s="224">
        <f ca="1"/>
        <v>175899.5208210125</v>
      </c>
      <c r="L80" s="224">
        <f ca="1"/>
        <v>175214.6429022036</v>
      </c>
      <c r="M80" s="224">
        <f ca="1"/>
        <v>174468.68213256804</v>
      </c>
      <c r="N80" s="224">
        <f ca="1"/>
        <v>173807.34717121269</v>
      </c>
      <c r="O80" s="224">
        <f ca="1"/>
        <v>173148.43916369643</v>
      </c>
      <c r="P80" s="224">
        <f ca="1"/>
        <v>172486.38009221456</v>
      </c>
      <c r="Q80" s="224">
        <f ca="1"/>
        <v>171865.96558139566</v>
      </c>
      <c r="R80" s="224">
        <f ca="1"/>
        <v>171211.45139514678</v>
      </c>
      <c r="S80" s="224">
        <f ca="1"/>
        <v>221015.49894516153</v>
      </c>
      <c r="T80" s="224">
        <f ca="1"/>
        <v>152513.11850708019</v>
      </c>
      <c r="U80" s="224">
        <f ca="1"/>
        <v>146627.73484879459</v>
      </c>
      <c r="V80" s="224">
        <f ca="1"/>
        <v>172004.357790927</v>
      </c>
      <c r="W80" s="224">
        <f ca="1"/>
        <v>171337.93046064238</v>
      </c>
      <c r="X80" s="224">
        <f ca="1"/>
        <v>170683.21919259219</v>
      </c>
      <c r="Y80" s="224">
        <f ca="1"/>
        <v>170027.10012326212</v>
      </c>
      <c r="Z80" s="224">
        <f ca="1"/>
        <v>169367.88008083205</v>
      </c>
      <c r="AA80" s="224">
        <f ca="1"/>
        <v>168706.9909007973</v>
      </c>
      <c r="AB80" s="224">
        <f ca="1"/>
        <v>168007.70198649075</v>
      </c>
      <c r="AC80" s="224">
        <f ca="1"/>
        <v>167352.23569916876</v>
      </c>
      <c r="AD80" s="224">
        <f ca="1"/>
        <v>166693.61366560846</v>
      </c>
      <c r="AE80" s="224">
        <f ca="1"/>
        <v>218430.96494109969</v>
      </c>
      <c r="AF80" s="224">
        <f ca="1"/>
        <v>147221.23443804335</v>
      </c>
      <c r="AG80" s="224">
        <f ca="1"/>
        <v>141110.1170128113</v>
      </c>
      <c r="AH80" s="224">
        <f ca="1"/>
        <v>167561.71714838038</v>
      </c>
      <c r="AI80" s="224">
        <f ca="1"/>
        <v>166907.23901622975</v>
      </c>
      <c r="AJ80" s="224">
        <f ca="1"/>
        <v>166236.96519184698</v>
      </c>
      <c r="AK80" s="224">
        <f ca="1"/>
        <v>165588.5447285111</v>
      </c>
      <c r="AL80" s="224">
        <f ca="1"/>
        <v>164908.80867507175</v>
      </c>
      <c r="AM80" s="224">
        <f ca="1"/>
        <v>164210.8025117584</v>
      </c>
      <c r="AN80" s="224">
        <f ca="1"/>
        <v>163556.04318188151</v>
      </c>
      <c r="AO80" s="224">
        <f ca="1"/>
        <v>162903.85860733245</v>
      </c>
      <c r="AP80" s="224">
        <f ca="1"/>
        <v>162248.33106902242</v>
      </c>
      <c r="AQ80" s="224">
        <f ca="1"/>
        <v>216312.3781278159</v>
      </c>
      <c r="AR80" s="224">
        <f ca="1"/>
        <v>142749.35714412737</v>
      </c>
      <c r="AS80" s="224">
        <f ca="1"/>
        <v>136433.59534218453</v>
      </c>
      <c r="AT80" s="224">
        <f ca="1"/>
        <v>163977.89256882726</v>
      </c>
      <c r="AU80" s="224">
        <f ca="1"/>
        <v>163325.33867487425</v>
      </c>
      <c r="AV80" s="224">
        <f ca="1"/>
        <v>162678.3384124483</v>
      </c>
      <c r="AW80" s="224">
        <f ca="1"/>
        <v>161920.03773314453</v>
      </c>
      <c r="AX80" s="224">
        <f ca="1"/>
        <v>161272.33200199509</v>
      </c>
      <c r="AY80" s="224">
        <f ca="1"/>
        <v>160623.13273446786</v>
      </c>
      <c r="AZ80" s="224">
        <f ca="1"/>
        <v>159970.64364457873</v>
      </c>
      <c r="BA80" s="224">
        <f ca="1"/>
        <v>159316.38376660491</v>
      </c>
      <c r="BB80" s="224">
        <f ca="1"/>
        <v>158642.63251565379</v>
      </c>
      <c r="BC80" s="224">
        <f ca="1"/>
        <v>214887.41634428978</v>
      </c>
      <c r="BD80" s="224">
        <f ca="1"/>
        <v>137784.97728177079</v>
      </c>
      <c r="BE80" s="224">
        <f ca="1"/>
        <v>131252.03240273788</v>
      </c>
      <c r="BF80" s="224">
        <f ca="1"/>
        <v>159946.14463856356</v>
      </c>
      <c r="BG80" s="224">
        <f ca="1"/>
        <v>159272.34935374602</v>
      </c>
      <c r="BH80" s="224">
        <f ca="1"/>
        <v>158654.64060032315</v>
      </c>
      <c r="BI80" s="224">
        <f ca="1"/>
        <v>158007.20430513291</v>
      </c>
      <c r="BJ80" s="224">
        <f ca="1"/>
        <v>157343.01036005357</v>
      </c>
      <c r="BK80" s="224">
        <f ca="1"/>
        <v>156702.00064570885</v>
      </c>
      <c r="BL80" s="224">
        <f ca="1"/>
        <v>156027.76822182335</v>
      </c>
      <c r="BM80" s="224">
        <f ca="1"/>
        <v>155334.15303837255</v>
      </c>
      <c r="BN80" s="224">
        <f ca="1"/>
        <v>154686.4184205145</v>
      </c>
      <c r="BO80" s="224">
        <f ca="1"/>
        <v>213265.55836139322</v>
      </c>
      <c r="BP80" s="352"/>
      <c r="BQ80" s="352"/>
    </row>
    <row r="81" spans="2:69" s="31" customFormat="1" ht="12" customHeight="1">
      <c r="C81" s="42"/>
      <c r="D81" s="43"/>
      <c r="E81" s="44"/>
      <c r="F81" s="33"/>
      <c r="G81" s="46"/>
      <c r="H81" s="259"/>
      <c r="I81" s="259"/>
      <c r="J81" s="259"/>
      <c r="K81" s="259"/>
      <c r="L81" s="259"/>
      <c r="M81" s="259"/>
      <c r="N81" s="259"/>
      <c r="O81" s="259"/>
      <c r="P81" s="259"/>
      <c r="Q81" s="259"/>
      <c r="R81" s="259"/>
      <c r="S81" s="259"/>
      <c r="T81" s="259"/>
      <c r="U81" s="259"/>
      <c r="V81" s="259"/>
      <c r="W81" s="259"/>
      <c r="X81" s="259"/>
      <c r="Y81" s="259"/>
      <c r="Z81" s="259"/>
      <c r="AA81" s="259"/>
      <c r="AB81" s="259"/>
      <c r="AC81" s="259"/>
      <c r="AD81" s="259"/>
      <c r="AE81" s="259"/>
      <c r="AF81" s="259"/>
      <c r="AG81" s="259"/>
      <c r="AH81" s="259"/>
      <c r="AI81" s="259"/>
      <c r="AJ81" s="259"/>
      <c r="AK81" s="259"/>
      <c r="AL81" s="259"/>
      <c r="AM81" s="259"/>
      <c r="AN81" s="259"/>
      <c r="AO81" s="259"/>
      <c r="AP81" s="259"/>
      <c r="AQ81" s="259"/>
      <c r="AR81" s="259"/>
      <c r="AS81" s="259"/>
      <c r="AT81" s="259"/>
      <c r="AU81" s="259"/>
      <c r="AV81" s="259"/>
      <c r="AW81" s="259"/>
      <c r="AX81" s="259"/>
      <c r="AY81" s="259"/>
      <c r="AZ81" s="259"/>
      <c r="BA81" s="259"/>
      <c r="BB81" s="259"/>
      <c r="BC81" s="259"/>
      <c r="BD81" s="259"/>
      <c r="BE81" s="259"/>
      <c r="BF81" s="259"/>
      <c r="BG81" s="259"/>
      <c r="BH81" s="259"/>
      <c r="BI81" s="259"/>
      <c r="BJ81" s="259"/>
      <c r="BK81" s="259"/>
      <c r="BL81" s="259"/>
      <c r="BM81" s="259"/>
      <c r="BN81" s="259"/>
      <c r="BO81" s="259"/>
      <c r="BP81" s="259"/>
      <c r="BQ81" s="259"/>
    </row>
    <row r="82" spans="2:69" s="31" customFormat="1" ht="12" customHeight="1">
      <c r="C82" s="42" t="s">
        <v>1200</v>
      </c>
      <c r="D82" s="43"/>
      <c r="E82" s="44"/>
      <c r="F82" s="33"/>
      <c r="G82" s="46"/>
      <c r="H82" s="259"/>
      <c r="I82" s="259"/>
      <c r="J82" s="259"/>
      <c r="K82" s="259"/>
      <c r="L82" s="259"/>
      <c r="M82" s="259"/>
      <c r="N82" s="259"/>
      <c r="O82" s="259"/>
      <c r="P82" s="259"/>
      <c r="Q82" s="259"/>
      <c r="R82" s="259"/>
      <c r="S82" s="259"/>
      <c r="T82" s="259"/>
      <c r="U82" s="259"/>
      <c r="V82" s="259"/>
      <c r="W82" s="259"/>
      <c r="X82" s="259"/>
      <c r="Y82" s="259"/>
      <c r="Z82" s="259"/>
      <c r="AA82" s="259"/>
      <c r="AB82" s="259"/>
      <c r="AC82" s="259"/>
      <c r="AD82" s="259"/>
      <c r="AE82" s="259"/>
      <c r="AF82" s="259"/>
      <c r="AG82" s="259"/>
      <c r="AH82" s="259"/>
      <c r="AI82" s="259"/>
      <c r="AJ82" s="259"/>
      <c r="AK82" s="259"/>
      <c r="AL82" s="259"/>
      <c r="AM82" s="259"/>
      <c r="AN82" s="259"/>
      <c r="AO82" s="259"/>
      <c r="AP82" s="259"/>
      <c r="AQ82" s="259"/>
      <c r="AR82" s="259"/>
      <c r="AS82" s="259"/>
      <c r="AT82" s="259"/>
      <c r="AU82" s="259"/>
      <c r="AV82" s="259"/>
      <c r="AW82" s="259"/>
      <c r="AX82" s="259"/>
      <c r="AY82" s="259"/>
      <c r="AZ82" s="259"/>
      <c r="BA82" s="259"/>
      <c r="BB82" s="259"/>
      <c r="BC82" s="259"/>
      <c r="BD82" s="259"/>
      <c r="BE82" s="259"/>
      <c r="BF82" s="259"/>
      <c r="BG82" s="259"/>
      <c r="BH82" s="259"/>
      <c r="BI82" s="259"/>
      <c r="BJ82" s="259"/>
      <c r="BK82" s="259"/>
      <c r="BL82" s="259"/>
      <c r="BM82" s="259"/>
      <c r="BN82" s="259"/>
      <c r="BO82" s="259"/>
      <c r="BP82" s="259"/>
      <c r="BQ82" s="259"/>
    </row>
    <row r="83" spans="2:69" s="31" customFormat="1" ht="12" customHeight="1">
      <c r="C83" s="64" t="s">
        <v>1201</v>
      </c>
      <c r="D83" s="43"/>
      <c r="E83" s="44"/>
      <c r="F83" s="50" t="s">
        <v>119</v>
      </c>
      <c r="G83" s="46">
        <f>Assumptions!D57</f>
        <v>10000</v>
      </c>
      <c r="H83" s="259" cm="1">
        <f t="array" aca="1" ref="H83:BO83" ca="1">_xlfn.ANCHORARRAY(H527)</f>
        <v>10000</v>
      </c>
      <c r="I83" s="259">
        <f ca="1"/>
        <v>10000</v>
      </c>
      <c r="J83" s="259">
        <f ca="1"/>
        <v>10000</v>
      </c>
      <c r="K83" s="259">
        <f ca="1"/>
        <v>10000</v>
      </c>
      <c r="L83" s="259">
        <f ca="1"/>
        <v>10000</v>
      </c>
      <c r="M83" s="259">
        <f ca="1"/>
        <v>10000</v>
      </c>
      <c r="N83" s="259">
        <f ca="1"/>
        <v>10000</v>
      </c>
      <c r="O83" s="259">
        <f ca="1"/>
        <v>10000</v>
      </c>
      <c r="P83" s="259">
        <f ca="1"/>
        <v>10000</v>
      </c>
      <c r="Q83" s="259">
        <f ca="1"/>
        <v>10000</v>
      </c>
      <c r="R83" s="259">
        <f ca="1"/>
        <v>10000</v>
      </c>
      <c r="S83" s="259">
        <f ca="1"/>
        <v>10000</v>
      </c>
      <c r="T83" s="259">
        <f ca="1"/>
        <v>10000</v>
      </c>
      <c r="U83" s="259">
        <f ca="1"/>
        <v>10000</v>
      </c>
      <c r="V83" s="259">
        <f ca="1"/>
        <v>10000</v>
      </c>
      <c r="W83" s="259">
        <f ca="1"/>
        <v>10000</v>
      </c>
      <c r="X83" s="259">
        <f ca="1"/>
        <v>10000</v>
      </c>
      <c r="Y83" s="259">
        <f ca="1"/>
        <v>10000</v>
      </c>
      <c r="Z83" s="259">
        <f ca="1"/>
        <v>10000</v>
      </c>
      <c r="AA83" s="259">
        <f ca="1"/>
        <v>10000</v>
      </c>
      <c r="AB83" s="259">
        <f ca="1"/>
        <v>10000</v>
      </c>
      <c r="AC83" s="259">
        <f ca="1"/>
        <v>10000</v>
      </c>
      <c r="AD83" s="259">
        <f ca="1"/>
        <v>10000</v>
      </c>
      <c r="AE83" s="259">
        <f ca="1"/>
        <v>10000</v>
      </c>
      <c r="AF83" s="259">
        <f ca="1"/>
        <v>10000</v>
      </c>
      <c r="AG83" s="259">
        <f ca="1"/>
        <v>10000</v>
      </c>
      <c r="AH83" s="259">
        <f ca="1"/>
        <v>10000</v>
      </c>
      <c r="AI83" s="259">
        <f ca="1"/>
        <v>10000</v>
      </c>
      <c r="AJ83" s="259">
        <f ca="1"/>
        <v>10000</v>
      </c>
      <c r="AK83" s="259">
        <f ca="1"/>
        <v>10000</v>
      </c>
      <c r="AL83" s="259">
        <f ca="1"/>
        <v>10000</v>
      </c>
      <c r="AM83" s="259">
        <f ca="1"/>
        <v>10000</v>
      </c>
      <c r="AN83" s="259">
        <f ca="1"/>
        <v>10000</v>
      </c>
      <c r="AO83" s="259">
        <f ca="1"/>
        <v>10000</v>
      </c>
      <c r="AP83" s="259">
        <f ca="1"/>
        <v>10000</v>
      </c>
      <c r="AQ83" s="259">
        <f ca="1"/>
        <v>10000</v>
      </c>
      <c r="AR83" s="259">
        <f ca="1"/>
        <v>10000</v>
      </c>
      <c r="AS83" s="259">
        <f ca="1"/>
        <v>10000</v>
      </c>
      <c r="AT83" s="259">
        <f ca="1"/>
        <v>10000</v>
      </c>
      <c r="AU83" s="259">
        <f ca="1"/>
        <v>10000</v>
      </c>
      <c r="AV83" s="259">
        <f ca="1"/>
        <v>10000</v>
      </c>
      <c r="AW83" s="259">
        <f ca="1"/>
        <v>10000</v>
      </c>
      <c r="AX83" s="259">
        <f ca="1"/>
        <v>10000</v>
      </c>
      <c r="AY83" s="259">
        <f ca="1"/>
        <v>10000</v>
      </c>
      <c r="AZ83" s="259">
        <f ca="1"/>
        <v>10000</v>
      </c>
      <c r="BA83" s="259">
        <f ca="1"/>
        <v>10000</v>
      </c>
      <c r="BB83" s="259">
        <f ca="1"/>
        <v>10000</v>
      </c>
      <c r="BC83" s="259">
        <f ca="1"/>
        <v>10000</v>
      </c>
      <c r="BD83" s="259">
        <f ca="1"/>
        <v>10000</v>
      </c>
      <c r="BE83" s="259">
        <f ca="1"/>
        <v>10000</v>
      </c>
      <c r="BF83" s="259">
        <f ca="1"/>
        <v>10000</v>
      </c>
      <c r="BG83" s="259">
        <f ca="1"/>
        <v>10000</v>
      </c>
      <c r="BH83" s="259">
        <f ca="1"/>
        <v>10000</v>
      </c>
      <c r="BI83" s="259">
        <f ca="1"/>
        <v>10000</v>
      </c>
      <c r="BJ83" s="259">
        <f ca="1"/>
        <v>10000</v>
      </c>
      <c r="BK83" s="259">
        <f ca="1"/>
        <v>10000</v>
      </c>
      <c r="BL83" s="259">
        <f ca="1"/>
        <v>10000</v>
      </c>
      <c r="BM83" s="259">
        <f ca="1"/>
        <v>10000</v>
      </c>
      <c r="BN83" s="259">
        <f ca="1"/>
        <v>10000</v>
      </c>
      <c r="BO83" s="259">
        <f ca="1"/>
        <v>10000</v>
      </c>
      <c r="BP83" s="259"/>
      <c r="BQ83" s="259"/>
    </row>
    <row r="84" spans="2:69" s="31" customFormat="1" ht="12" customHeight="1">
      <c r="C84" s="64" t="s">
        <v>1202</v>
      </c>
      <c r="D84" s="43"/>
      <c r="E84" s="44"/>
      <c r="F84" s="50" t="s">
        <v>119</v>
      </c>
      <c r="G84" s="46">
        <f ca="1">G67-G80-G83</f>
        <v>70500</v>
      </c>
      <c r="H84" s="259">
        <f ca="1">H67-H80-H83</f>
        <v>70794.570393571106</v>
      </c>
      <c r="I84" s="259">
        <f t="shared" ref="I84:BO84" ca="1" si="70">I67-I80-I83</f>
        <v>70527.085948146036</v>
      </c>
      <c r="J84" s="259">
        <f t="shared" ca="1" si="70"/>
        <v>72980.833373571659</v>
      </c>
      <c r="K84" s="259">
        <f t="shared" ca="1" si="70"/>
        <v>75462.261096348171</v>
      </c>
      <c r="L84" s="259">
        <f t="shared" ca="1" si="70"/>
        <v>77948.131597973639</v>
      </c>
      <c r="M84" s="259">
        <f t="shared" ca="1" si="70"/>
        <v>80431.501170527947</v>
      </c>
      <c r="N84" s="259">
        <f t="shared" ca="1" si="70"/>
        <v>82920.997804742918</v>
      </c>
      <c r="O84" s="259">
        <f t="shared" ca="1" si="70"/>
        <v>85416.870868269703</v>
      </c>
      <c r="P84" s="259">
        <f t="shared" ca="1" si="70"/>
        <v>87918.846169334836</v>
      </c>
      <c r="Q84" s="259">
        <f t="shared" ca="1" si="70"/>
        <v>90430.402232753928</v>
      </c>
      <c r="R84" s="259">
        <f t="shared" ca="1" si="70"/>
        <v>92949.192708741815</v>
      </c>
      <c r="S84" s="259">
        <f t="shared" ca="1" si="70"/>
        <v>100977.55502428074</v>
      </c>
      <c r="T84" s="259">
        <f t="shared" ca="1" si="70"/>
        <v>101352.11830331082</v>
      </c>
      <c r="U84" s="259">
        <f t="shared" ca="1" si="70"/>
        <v>101162.57716349553</v>
      </c>
      <c r="V84" s="259">
        <f t="shared" ca="1" si="70"/>
        <v>103818.17584273621</v>
      </c>
      <c r="W84" s="259">
        <f t="shared" ca="1" si="70"/>
        <v>106478.53391323029</v>
      </c>
      <c r="X84" s="259">
        <f t="shared" ca="1" si="70"/>
        <v>109145.9180696939</v>
      </c>
      <c r="Y84" s="259">
        <f t="shared" ca="1" si="70"/>
        <v>111819.88777398362</v>
      </c>
      <c r="Z84" s="259">
        <f t="shared" ca="1" si="70"/>
        <v>114499.9359910459</v>
      </c>
      <c r="AA84" s="259">
        <f t="shared" ca="1" si="70"/>
        <v>117186.09242366086</v>
      </c>
      <c r="AB84" s="259">
        <f t="shared" ca="1" si="70"/>
        <v>119874.15541387361</v>
      </c>
      <c r="AC84" s="259">
        <f t="shared" ca="1" si="70"/>
        <v>122568.97933911486</v>
      </c>
      <c r="AD84" s="259">
        <f t="shared" ca="1" si="70"/>
        <v>125269.96198129491</v>
      </c>
      <c r="AE84" s="259">
        <f t="shared" ca="1" si="70"/>
        <v>133689.9715843327</v>
      </c>
      <c r="AF84" s="259">
        <f t="shared" ca="1" si="70"/>
        <v>134149.66682492036</v>
      </c>
      <c r="AG84" s="259">
        <f t="shared" ca="1" si="70"/>
        <v>134021.38436921925</v>
      </c>
      <c r="AH84" s="259">
        <f t="shared" ca="1" si="70"/>
        <v>136854.43845139074</v>
      </c>
      <c r="AI84" s="259">
        <f t="shared" ca="1" si="70"/>
        <v>139693.89358675026</v>
      </c>
      <c r="AJ84" s="259">
        <f t="shared" ca="1" si="70"/>
        <v>142537.83966810428</v>
      </c>
      <c r="AK84" s="259">
        <f t="shared" ca="1" si="70"/>
        <v>145388.41992389868</v>
      </c>
      <c r="AL84" s="259">
        <f t="shared" ca="1" si="70"/>
        <v>148243.52788502391</v>
      </c>
      <c r="AM84" s="259">
        <f t="shared" ca="1" si="70"/>
        <v>151100.74483960366</v>
      </c>
      <c r="AN84" s="259">
        <f t="shared" ca="1" si="70"/>
        <v>153964.27635514908</v>
      </c>
      <c r="AO84" s="259">
        <f t="shared" ca="1" si="70"/>
        <v>156834.38698580151</v>
      </c>
      <c r="AP84" s="259">
        <f t="shared" ca="1" si="70"/>
        <v>159710.7858415083</v>
      </c>
      <c r="AQ84" s="259">
        <f t="shared" ca="1" si="70"/>
        <v>168558.46205540822</v>
      </c>
      <c r="AR84" s="259">
        <f t="shared" ca="1" si="70"/>
        <v>170228.01283724647</v>
      </c>
      <c r="AS84" s="259">
        <f t="shared" ca="1" si="70"/>
        <v>171287.01711197861</v>
      </c>
      <c r="AT84" s="259">
        <f t="shared" ca="1" si="70"/>
        <v>175427.06157786166</v>
      </c>
      <c r="AU84" s="259">
        <f t="shared" ca="1" si="70"/>
        <v>179572.98055963012</v>
      </c>
      <c r="AV84" s="259">
        <f t="shared" ca="1" si="70"/>
        <v>183726.02432465315</v>
      </c>
      <c r="AW84" s="259">
        <f t="shared" ca="1" si="70"/>
        <v>187873.67807476426</v>
      </c>
      <c r="AX84" s="259">
        <f t="shared" ca="1" si="70"/>
        <v>192028.65320573046</v>
      </c>
      <c r="AY84" s="259">
        <f t="shared" ca="1" si="70"/>
        <v>196190.48235063528</v>
      </c>
      <c r="AZ84" s="259">
        <f t="shared" ca="1" si="70"/>
        <v>200358.62759599052</v>
      </c>
      <c r="BA84" s="259">
        <f t="shared" ca="1" si="70"/>
        <v>204533.12045347565</v>
      </c>
      <c r="BB84" s="259">
        <f t="shared" ca="1" si="70"/>
        <v>208711.85704818967</v>
      </c>
      <c r="BC84" s="259">
        <f t="shared" ca="1" si="70"/>
        <v>219101.75317608024</v>
      </c>
      <c r="BD84" s="259">
        <f t="shared" ca="1" si="70"/>
        <v>220864.06627567671</v>
      </c>
      <c r="BE84" s="259">
        <f t="shared" ca="1" si="70"/>
        <v>221990.99502729927</v>
      </c>
      <c r="BF84" s="259">
        <f t="shared" ca="1" si="70"/>
        <v>226324.51076986146</v>
      </c>
      <c r="BG84" s="259">
        <f t="shared" ca="1" si="70"/>
        <v>230662.46503218808</v>
      </c>
      <c r="BH84" s="259">
        <f t="shared" ca="1" si="70"/>
        <v>235009.64132611896</v>
      </c>
      <c r="BI84" s="259">
        <f t="shared" ca="1" si="70"/>
        <v>239363.5201077938</v>
      </c>
      <c r="BJ84" s="259">
        <f t="shared" ca="1" si="70"/>
        <v>243722.07494449086</v>
      </c>
      <c r="BK84" s="259">
        <f t="shared" ca="1" si="70"/>
        <v>248087.57958726838</v>
      </c>
      <c r="BL84" s="259">
        <f t="shared" ca="1" si="70"/>
        <v>252457.79928304814</v>
      </c>
      <c r="BM84" s="259">
        <f t="shared" ca="1" si="70"/>
        <v>256830.16802040022</v>
      </c>
      <c r="BN84" s="259">
        <f t="shared" ca="1" si="70"/>
        <v>261209.14748589759</v>
      </c>
      <c r="BO84" s="259">
        <f t="shared" ca="1" si="70"/>
        <v>272052.9779453926</v>
      </c>
      <c r="BP84" s="259"/>
      <c r="BQ84" s="259"/>
    </row>
    <row r="85" spans="2:69" s="31" customFormat="1" ht="12" customHeight="1">
      <c r="C85" s="52" t="s">
        <v>1203</v>
      </c>
      <c r="D85" s="53"/>
      <c r="E85" s="54"/>
      <c r="F85" s="232" t="s">
        <v>119</v>
      </c>
      <c r="G85" s="56">
        <f ca="1">SUM(G83:G84)</f>
        <v>80500</v>
      </c>
      <c r="H85" s="224" cm="1">
        <f t="array" aca="1" ref="H85:BO85" ca="1">_xlfn.ANCHORARRAY(H83)+H84:BO84</f>
        <v>80794.570393571106</v>
      </c>
      <c r="I85" s="224">
        <f ca="1"/>
        <v>80527.085948146036</v>
      </c>
      <c r="J85" s="224">
        <f ca="1"/>
        <v>82980.833373571659</v>
      </c>
      <c r="K85" s="224">
        <f ca="1"/>
        <v>85462.261096348171</v>
      </c>
      <c r="L85" s="224">
        <f ca="1"/>
        <v>87948.131597973639</v>
      </c>
      <c r="M85" s="224">
        <f ca="1"/>
        <v>90431.501170527947</v>
      </c>
      <c r="N85" s="224">
        <f ca="1"/>
        <v>92920.997804742918</v>
      </c>
      <c r="O85" s="224">
        <f ca="1"/>
        <v>95416.870868269703</v>
      </c>
      <c r="P85" s="224">
        <f ca="1"/>
        <v>97918.846169334836</v>
      </c>
      <c r="Q85" s="224">
        <f ca="1"/>
        <v>100430.40223275393</v>
      </c>
      <c r="R85" s="224">
        <f ca="1"/>
        <v>102949.19270874182</v>
      </c>
      <c r="S85" s="224">
        <f ca="1"/>
        <v>110977.55502428074</v>
      </c>
      <c r="T85" s="224">
        <f ca="1"/>
        <v>111352.11830331082</v>
      </c>
      <c r="U85" s="224">
        <f ca="1"/>
        <v>111162.57716349553</v>
      </c>
      <c r="V85" s="224">
        <f ca="1"/>
        <v>113818.17584273621</v>
      </c>
      <c r="W85" s="224">
        <f ca="1"/>
        <v>116478.53391323029</v>
      </c>
      <c r="X85" s="224">
        <f ca="1"/>
        <v>119145.9180696939</v>
      </c>
      <c r="Y85" s="224">
        <f ca="1"/>
        <v>121819.88777398362</v>
      </c>
      <c r="Z85" s="224">
        <f ca="1"/>
        <v>124499.9359910459</v>
      </c>
      <c r="AA85" s="224">
        <f ca="1"/>
        <v>127186.09242366086</v>
      </c>
      <c r="AB85" s="224">
        <f ca="1"/>
        <v>129874.15541387361</v>
      </c>
      <c r="AC85" s="224">
        <f ca="1"/>
        <v>132568.97933911486</v>
      </c>
      <c r="AD85" s="224">
        <f ca="1"/>
        <v>135269.96198129491</v>
      </c>
      <c r="AE85" s="224">
        <f ca="1"/>
        <v>143689.9715843327</v>
      </c>
      <c r="AF85" s="224">
        <f ca="1"/>
        <v>144149.66682492036</v>
      </c>
      <c r="AG85" s="224">
        <f ca="1"/>
        <v>144021.38436921925</v>
      </c>
      <c r="AH85" s="224">
        <f ca="1"/>
        <v>146854.43845139074</v>
      </c>
      <c r="AI85" s="224">
        <f ca="1"/>
        <v>149693.89358675026</v>
      </c>
      <c r="AJ85" s="224">
        <f ca="1"/>
        <v>152537.83966810428</v>
      </c>
      <c r="AK85" s="224">
        <f ca="1"/>
        <v>155388.41992389868</v>
      </c>
      <c r="AL85" s="224">
        <f ca="1"/>
        <v>158243.52788502391</v>
      </c>
      <c r="AM85" s="224">
        <f ca="1"/>
        <v>161100.74483960366</v>
      </c>
      <c r="AN85" s="224">
        <f ca="1"/>
        <v>163964.27635514908</v>
      </c>
      <c r="AO85" s="224">
        <f ca="1"/>
        <v>166834.38698580151</v>
      </c>
      <c r="AP85" s="224">
        <f ca="1"/>
        <v>169710.7858415083</v>
      </c>
      <c r="AQ85" s="224">
        <f ca="1"/>
        <v>178558.46205540822</v>
      </c>
      <c r="AR85" s="224">
        <f ca="1"/>
        <v>180228.01283724647</v>
      </c>
      <c r="AS85" s="224">
        <f ca="1"/>
        <v>181287.01711197861</v>
      </c>
      <c r="AT85" s="224">
        <f ca="1"/>
        <v>185427.06157786166</v>
      </c>
      <c r="AU85" s="224">
        <f ca="1"/>
        <v>189572.98055963012</v>
      </c>
      <c r="AV85" s="224">
        <f ca="1"/>
        <v>193726.02432465315</v>
      </c>
      <c r="AW85" s="224">
        <f ca="1"/>
        <v>197873.67807476426</v>
      </c>
      <c r="AX85" s="224">
        <f ca="1"/>
        <v>202028.65320573046</v>
      </c>
      <c r="AY85" s="224">
        <f ca="1"/>
        <v>206190.48235063528</v>
      </c>
      <c r="AZ85" s="224">
        <f ca="1"/>
        <v>210358.62759599052</v>
      </c>
      <c r="BA85" s="224">
        <f ca="1"/>
        <v>214533.12045347565</v>
      </c>
      <c r="BB85" s="224">
        <f ca="1"/>
        <v>218711.85704818967</v>
      </c>
      <c r="BC85" s="224">
        <f ca="1"/>
        <v>229101.75317608024</v>
      </c>
      <c r="BD85" s="224">
        <f ca="1"/>
        <v>230864.06627567671</v>
      </c>
      <c r="BE85" s="224">
        <f ca="1"/>
        <v>231990.99502729927</v>
      </c>
      <c r="BF85" s="224">
        <f ca="1"/>
        <v>236324.51076986146</v>
      </c>
      <c r="BG85" s="224">
        <f ca="1"/>
        <v>240662.46503218808</v>
      </c>
      <c r="BH85" s="224">
        <f ca="1"/>
        <v>245009.64132611896</v>
      </c>
      <c r="BI85" s="224">
        <f ca="1"/>
        <v>249363.5201077938</v>
      </c>
      <c r="BJ85" s="224">
        <f ca="1"/>
        <v>253722.07494449086</v>
      </c>
      <c r="BK85" s="224">
        <f ca="1"/>
        <v>258087.57958726838</v>
      </c>
      <c r="BL85" s="224">
        <f ca="1"/>
        <v>262457.79928304814</v>
      </c>
      <c r="BM85" s="224">
        <f ca="1"/>
        <v>266830.16802040022</v>
      </c>
      <c r="BN85" s="224">
        <f ca="1"/>
        <v>271209.14748589759</v>
      </c>
      <c r="BO85" s="224">
        <f ca="1"/>
        <v>282052.9779453926</v>
      </c>
      <c r="BP85" s="352"/>
      <c r="BQ85" s="352"/>
    </row>
    <row r="86" spans="2:69" s="31" customFormat="1" ht="12" customHeight="1">
      <c r="C86" s="42"/>
      <c r="D86" s="43"/>
      <c r="E86" s="44"/>
      <c r="F86" s="33"/>
      <c r="G86" s="46"/>
      <c r="H86" s="42"/>
      <c r="I86" s="42"/>
      <c r="J86" s="42"/>
      <c r="K86" s="42"/>
      <c r="L86" s="42"/>
      <c r="M86" s="42"/>
      <c r="N86" s="42"/>
      <c r="O86" s="42"/>
      <c r="P86" s="42"/>
      <c r="Q86" s="42"/>
      <c r="R86" s="42"/>
      <c r="S86" s="42"/>
      <c r="T86" s="42"/>
      <c r="U86" s="42"/>
      <c r="V86" s="42"/>
      <c r="W86" s="42"/>
      <c r="X86" s="42"/>
      <c r="Y86" s="42"/>
      <c r="Z86" s="42"/>
      <c r="AA86" s="42"/>
      <c r="AB86" s="42"/>
      <c r="AC86" s="42"/>
      <c r="AD86" s="42"/>
      <c r="AE86" s="42"/>
      <c r="AF86" s="42"/>
      <c r="AG86" s="42"/>
      <c r="AH86" s="42"/>
      <c r="AI86" s="42"/>
      <c r="AJ86" s="42"/>
      <c r="AK86" s="42"/>
      <c r="AL86" s="42"/>
      <c r="AM86" s="42"/>
      <c r="AN86" s="42"/>
      <c r="AO86" s="42"/>
      <c r="AP86" s="42"/>
      <c r="AQ86" s="42"/>
      <c r="AR86" s="42"/>
      <c r="AS86" s="42"/>
      <c r="AT86" s="42"/>
      <c r="AU86" s="42"/>
      <c r="AV86" s="42"/>
      <c r="AW86" s="42"/>
      <c r="AX86" s="42"/>
      <c r="AY86" s="42"/>
      <c r="AZ86" s="42"/>
      <c r="BA86" s="42"/>
      <c r="BB86" s="42"/>
      <c r="BC86" s="42"/>
      <c r="BD86" s="42"/>
      <c r="BE86" s="42"/>
      <c r="BF86" s="42"/>
      <c r="BG86" s="42"/>
      <c r="BH86" s="42"/>
      <c r="BI86" s="42"/>
      <c r="BJ86" s="42"/>
      <c r="BK86" s="42"/>
      <c r="BL86" s="42"/>
      <c r="BM86" s="42"/>
      <c r="BN86" s="42"/>
      <c r="BO86" s="42"/>
      <c r="BP86" s="42"/>
      <c r="BQ86" s="42"/>
    </row>
    <row r="87" spans="2:69" s="260" customFormat="1" ht="12" customHeight="1">
      <c r="C87" s="261" t="s">
        <v>1204</v>
      </c>
      <c r="D87" s="262"/>
      <c r="E87" s="263"/>
      <c r="F87" s="264"/>
      <c r="G87" s="265"/>
      <c r="H87" s="266" cm="1">
        <f t="array" aca="1" ref="H87:BO87" ca="1">H67:BO67-H80:BO80-_xlfn.ANCHORARRAY(H85)</f>
        <v>0</v>
      </c>
      <c r="I87" s="266">
        <f ca="1"/>
        <v>0</v>
      </c>
      <c r="J87" s="266">
        <f ca="1"/>
        <v>0</v>
      </c>
      <c r="K87" s="266">
        <f ca="1"/>
        <v>0</v>
      </c>
      <c r="L87" s="266">
        <f ca="1"/>
        <v>0</v>
      </c>
      <c r="M87" s="266">
        <f ca="1"/>
        <v>0</v>
      </c>
      <c r="N87" s="266">
        <f ca="1"/>
        <v>0</v>
      </c>
      <c r="O87" s="266">
        <f ca="1"/>
        <v>0</v>
      </c>
      <c r="P87" s="266">
        <f ca="1"/>
        <v>0</v>
      </c>
      <c r="Q87" s="266">
        <f ca="1"/>
        <v>0</v>
      </c>
      <c r="R87" s="266">
        <f ca="1"/>
        <v>0</v>
      </c>
      <c r="S87" s="266">
        <f ca="1"/>
        <v>0</v>
      </c>
      <c r="T87" s="266">
        <f ca="1"/>
        <v>0</v>
      </c>
      <c r="U87" s="266">
        <f ca="1"/>
        <v>0</v>
      </c>
      <c r="V87" s="266">
        <f ca="1"/>
        <v>0</v>
      </c>
      <c r="W87" s="266">
        <f ca="1"/>
        <v>0</v>
      </c>
      <c r="X87" s="266">
        <f ca="1"/>
        <v>0</v>
      </c>
      <c r="Y87" s="266">
        <f ca="1"/>
        <v>0</v>
      </c>
      <c r="Z87" s="266">
        <f ca="1"/>
        <v>0</v>
      </c>
      <c r="AA87" s="266">
        <f ca="1"/>
        <v>0</v>
      </c>
      <c r="AB87" s="266">
        <f ca="1"/>
        <v>0</v>
      </c>
      <c r="AC87" s="266">
        <f ca="1"/>
        <v>0</v>
      </c>
      <c r="AD87" s="266">
        <f ca="1"/>
        <v>0</v>
      </c>
      <c r="AE87" s="266">
        <f ca="1"/>
        <v>0</v>
      </c>
      <c r="AF87" s="266">
        <f ca="1"/>
        <v>0</v>
      </c>
      <c r="AG87" s="266">
        <f ca="1"/>
        <v>0</v>
      </c>
      <c r="AH87" s="266">
        <f ca="1"/>
        <v>0</v>
      </c>
      <c r="AI87" s="266">
        <f ca="1"/>
        <v>0</v>
      </c>
      <c r="AJ87" s="266">
        <f ca="1"/>
        <v>0</v>
      </c>
      <c r="AK87" s="266">
        <f ca="1"/>
        <v>0</v>
      </c>
      <c r="AL87" s="266">
        <f ca="1"/>
        <v>0</v>
      </c>
      <c r="AM87" s="266">
        <f ca="1"/>
        <v>0</v>
      </c>
      <c r="AN87" s="266">
        <f ca="1"/>
        <v>0</v>
      </c>
      <c r="AO87" s="266">
        <f ca="1"/>
        <v>0</v>
      </c>
      <c r="AP87" s="266">
        <f ca="1"/>
        <v>0</v>
      </c>
      <c r="AQ87" s="266">
        <f ca="1"/>
        <v>0</v>
      </c>
      <c r="AR87" s="266">
        <f ca="1"/>
        <v>0</v>
      </c>
      <c r="AS87" s="266">
        <f ca="1"/>
        <v>0</v>
      </c>
      <c r="AT87" s="266">
        <f ca="1"/>
        <v>0</v>
      </c>
      <c r="AU87" s="266">
        <f ca="1"/>
        <v>0</v>
      </c>
      <c r="AV87" s="266">
        <f ca="1"/>
        <v>0</v>
      </c>
      <c r="AW87" s="266">
        <f ca="1"/>
        <v>0</v>
      </c>
      <c r="AX87" s="266">
        <f ca="1"/>
        <v>0</v>
      </c>
      <c r="AY87" s="266">
        <f ca="1"/>
        <v>0</v>
      </c>
      <c r="AZ87" s="266">
        <f ca="1"/>
        <v>0</v>
      </c>
      <c r="BA87" s="266">
        <f ca="1"/>
        <v>0</v>
      </c>
      <c r="BB87" s="266">
        <f ca="1"/>
        <v>0</v>
      </c>
      <c r="BC87" s="266">
        <f ca="1"/>
        <v>0</v>
      </c>
      <c r="BD87" s="266">
        <f ca="1"/>
        <v>0</v>
      </c>
      <c r="BE87" s="266">
        <f ca="1"/>
        <v>0</v>
      </c>
      <c r="BF87" s="266">
        <f ca="1"/>
        <v>0</v>
      </c>
      <c r="BG87" s="266">
        <f ca="1"/>
        <v>0</v>
      </c>
      <c r="BH87" s="266">
        <f ca="1"/>
        <v>0</v>
      </c>
      <c r="BI87" s="266">
        <f ca="1"/>
        <v>0</v>
      </c>
      <c r="BJ87" s="266">
        <f ca="1"/>
        <v>0</v>
      </c>
      <c r="BK87" s="266">
        <f ca="1"/>
        <v>0</v>
      </c>
      <c r="BL87" s="266">
        <f ca="1"/>
        <v>0</v>
      </c>
      <c r="BM87" s="266">
        <f ca="1"/>
        <v>0</v>
      </c>
      <c r="BN87" s="266">
        <f ca="1"/>
        <v>0</v>
      </c>
      <c r="BO87" s="266">
        <f ca="1"/>
        <v>0</v>
      </c>
      <c r="BP87" s="266"/>
      <c r="BQ87" s="266"/>
    </row>
    <row r="88" spans="2:69" s="31" customFormat="1" ht="12" customHeight="1">
      <c r="C88" s="42"/>
      <c r="D88" s="43"/>
      <c r="E88" s="44"/>
      <c r="F88" s="33"/>
      <c r="G88" s="46"/>
      <c r="H88" s="42"/>
      <c r="I88" s="42"/>
      <c r="J88" s="42"/>
      <c r="K88" s="42"/>
      <c r="L88" s="42"/>
      <c r="M88" s="42"/>
      <c r="N88" s="42"/>
      <c r="O88" s="42"/>
      <c r="P88" s="42"/>
      <c r="Q88" s="42"/>
      <c r="R88" s="42"/>
      <c r="S88" s="42"/>
      <c r="T88" s="42"/>
      <c r="U88" s="42"/>
      <c r="V88" s="42"/>
      <c r="W88" s="42"/>
      <c r="X88" s="42"/>
      <c r="Y88" s="42"/>
      <c r="Z88" s="42"/>
      <c r="AA88" s="42"/>
      <c r="AB88" s="42"/>
      <c r="AC88" s="42"/>
      <c r="AD88" s="42"/>
      <c r="AE88" s="42"/>
      <c r="AF88" s="42"/>
      <c r="AG88" s="42"/>
      <c r="AH88" s="42"/>
      <c r="AI88" s="42"/>
      <c r="AJ88" s="42"/>
      <c r="AK88" s="42"/>
      <c r="AL88" s="42"/>
      <c r="AM88" s="42"/>
      <c r="AN88" s="42"/>
      <c r="AO88" s="42"/>
      <c r="AP88" s="42"/>
      <c r="AQ88" s="42"/>
      <c r="AR88" s="42"/>
      <c r="AS88" s="42"/>
      <c r="AT88" s="42"/>
      <c r="AU88" s="42"/>
      <c r="AV88" s="42"/>
      <c r="AW88" s="42"/>
      <c r="AX88" s="42"/>
      <c r="AY88" s="42"/>
      <c r="AZ88" s="42"/>
      <c r="BA88" s="42"/>
      <c r="BB88" s="42"/>
      <c r="BC88" s="42"/>
      <c r="BD88" s="42"/>
      <c r="BE88" s="42"/>
      <c r="BF88" s="42"/>
      <c r="BG88" s="42"/>
      <c r="BH88" s="42"/>
      <c r="BI88" s="42"/>
      <c r="BJ88" s="42"/>
      <c r="BK88" s="42"/>
      <c r="BL88" s="42"/>
      <c r="BM88" s="42"/>
      <c r="BN88" s="42"/>
      <c r="BO88" s="42"/>
      <c r="BP88" s="42"/>
      <c r="BQ88" s="42"/>
    </row>
    <row r="89" spans="2:69" s="23" customFormat="1" ht="13.7" customHeight="1">
      <c r="B89" s="38" t="s">
        <v>1205</v>
      </c>
      <c r="C89" s="39"/>
      <c r="D89" s="39"/>
      <c r="E89" s="40"/>
      <c r="F89" s="27"/>
      <c r="G89" s="27"/>
      <c r="H89" s="39"/>
      <c r="I89" s="39"/>
      <c r="J89" s="39"/>
      <c r="K89" s="39"/>
      <c r="L89" s="39"/>
      <c r="M89" s="39"/>
      <c r="N89" s="39"/>
      <c r="O89" s="39"/>
      <c r="P89" s="39"/>
      <c r="Q89" s="39"/>
      <c r="R89" s="39"/>
      <c r="S89" s="39"/>
      <c r="T89" s="39"/>
      <c r="U89" s="39"/>
      <c r="V89" s="39"/>
      <c r="W89" s="39"/>
      <c r="X89" s="39"/>
      <c r="Y89" s="39"/>
      <c r="Z89" s="39"/>
      <c r="AA89" s="39"/>
      <c r="AB89" s="39"/>
      <c r="AC89" s="39"/>
      <c r="AD89" s="39"/>
      <c r="AE89" s="39"/>
      <c r="AF89" s="39"/>
      <c r="AG89" s="39"/>
      <c r="AH89" s="39"/>
      <c r="AI89" s="39"/>
      <c r="AJ89" s="39"/>
      <c r="AK89" s="39"/>
      <c r="AL89" s="39"/>
      <c r="AM89" s="39"/>
      <c r="AN89" s="39"/>
      <c r="AO89" s="39"/>
      <c r="AP89" s="39"/>
      <c r="AQ89" s="39"/>
      <c r="AR89" s="39"/>
      <c r="AS89" s="39"/>
      <c r="AT89" s="39"/>
      <c r="AU89" s="39"/>
      <c r="AV89" s="39"/>
      <c r="AW89" s="39"/>
      <c r="AX89" s="39"/>
      <c r="AY89" s="39"/>
      <c r="AZ89" s="39"/>
      <c r="BA89" s="39"/>
      <c r="BB89" s="39"/>
      <c r="BC89" s="39"/>
      <c r="BD89" s="39"/>
      <c r="BE89" s="39"/>
      <c r="BF89" s="39"/>
      <c r="BG89" s="39"/>
      <c r="BH89" s="39"/>
      <c r="BI89" s="39"/>
      <c r="BJ89" s="39"/>
      <c r="BK89" s="39"/>
      <c r="BL89" s="39"/>
      <c r="BM89" s="39"/>
      <c r="BN89" s="39"/>
      <c r="BO89" s="39"/>
      <c r="BP89" s="349"/>
      <c r="BQ89" s="349"/>
    </row>
    <row r="90" spans="2:69" s="22" customFormat="1">
      <c r="E90" s="28"/>
      <c r="F90" s="29"/>
      <c r="G90" s="63"/>
      <c r="H90" s="41"/>
      <c r="I90" s="41"/>
      <c r="J90" s="41"/>
      <c r="K90" s="41"/>
      <c r="L90" s="41"/>
      <c r="M90" s="41"/>
      <c r="N90" s="41"/>
      <c r="O90" s="41"/>
      <c r="P90" s="41"/>
      <c r="Q90" s="41"/>
      <c r="R90" s="41"/>
      <c r="S90" s="41"/>
      <c r="T90" s="41"/>
      <c r="U90" s="41"/>
      <c r="V90" s="41"/>
      <c r="W90" s="41"/>
      <c r="X90" s="41"/>
      <c r="Y90" s="41"/>
      <c r="Z90" s="41"/>
      <c r="AA90" s="41"/>
      <c r="AB90" s="41"/>
      <c r="AC90" s="41"/>
      <c r="AD90" s="41"/>
      <c r="AE90" s="41"/>
      <c r="AF90" s="41"/>
      <c r="AG90" s="41"/>
      <c r="AH90" s="41"/>
      <c r="AI90" s="41"/>
      <c r="AJ90" s="41"/>
      <c r="AK90" s="41"/>
      <c r="AL90" s="41"/>
      <c r="AM90" s="41"/>
      <c r="AN90" s="41"/>
      <c r="AO90" s="41"/>
      <c r="AP90" s="41"/>
      <c r="AQ90" s="41"/>
      <c r="AR90" s="41"/>
      <c r="AS90" s="41"/>
      <c r="AT90" s="41"/>
      <c r="AU90" s="41"/>
      <c r="AV90" s="41"/>
      <c r="AW90" s="41"/>
      <c r="AX90" s="41"/>
      <c r="AY90" s="41"/>
      <c r="AZ90" s="41"/>
      <c r="BA90" s="41"/>
      <c r="BB90" s="41"/>
      <c r="BC90" s="41"/>
      <c r="BD90" s="41"/>
      <c r="BE90" s="41"/>
      <c r="BF90" s="41"/>
      <c r="BG90" s="41"/>
      <c r="BH90" s="41"/>
      <c r="BI90" s="41"/>
      <c r="BJ90" s="41"/>
      <c r="BK90" s="41"/>
      <c r="BL90" s="41"/>
      <c r="BM90" s="41"/>
      <c r="BN90" s="41"/>
      <c r="BO90" s="41"/>
      <c r="BP90" s="41"/>
      <c r="BQ90" s="41"/>
    </row>
    <row r="91" spans="2:69" s="31" customFormat="1">
      <c r="C91" s="31" t="s">
        <v>21</v>
      </c>
      <c r="E91" s="32"/>
      <c r="F91" s="45"/>
      <c r="G91" s="89"/>
      <c r="H91" s="259" cm="1">
        <f t="array" aca="1" ref="H91:BO91" ca="1">_xlfn.ANCHORARRAY(H52)</f>
        <v>589.14078714222023</v>
      </c>
      <c r="I91" s="259">
        <f ca="1"/>
        <v>-534.96889085016062</v>
      </c>
      <c r="J91" s="259">
        <f ca="1"/>
        <v>4907.4948508511634</v>
      </c>
      <c r="K91" s="259">
        <f ca="1"/>
        <v>4962.8554455531385</v>
      </c>
      <c r="L91" s="259">
        <f ca="1"/>
        <v>4971.7410032509024</v>
      </c>
      <c r="M91" s="259">
        <f ca="1"/>
        <v>4966.7391451086851</v>
      </c>
      <c r="N91" s="259">
        <f ca="1"/>
        <v>4978.9932684298501</v>
      </c>
      <c r="O91" s="259">
        <f ca="1"/>
        <v>4991.7461270536696</v>
      </c>
      <c r="P91" s="259">
        <f ca="1"/>
        <v>5003.950602130275</v>
      </c>
      <c r="Q91" s="259">
        <f ca="1"/>
        <v>5023.1121268380439</v>
      </c>
      <c r="R91" s="259">
        <f ca="1"/>
        <v>5037.5809519758332</v>
      </c>
      <c r="S91" s="259">
        <f ca="1"/>
        <v>16056.724631078023</v>
      </c>
      <c r="T91" s="259">
        <f ca="1"/>
        <v>749.12655805993415</v>
      </c>
      <c r="U91" s="259">
        <f ca="1"/>
        <v>-379.08227963050069</v>
      </c>
      <c r="V91" s="259">
        <f ca="1"/>
        <v>5311.1973584813559</v>
      </c>
      <c r="W91" s="259">
        <f ca="1"/>
        <v>5320.7161409881928</v>
      </c>
      <c r="X91" s="259">
        <f ca="1"/>
        <v>5334.7683129272864</v>
      </c>
      <c r="Y91" s="259">
        <f ca="1"/>
        <v>5347.9394085793811</v>
      </c>
      <c r="Z91" s="259">
        <f ca="1"/>
        <v>5360.0964341245426</v>
      </c>
      <c r="AA91" s="259">
        <f ca="1"/>
        <v>5372.3128652300038</v>
      </c>
      <c r="AB91" s="259">
        <f ca="1"/>
        <v>5376.1259804253968</v>
      </c>
      <c r="AC91" s="259">
        <f ca="1"/>
        <v>5389.6478504824354</v>
      </c>
      <c r="AD91" s="259">
        <f ca="1"/>
        <v>5401.9652843602107</v>
      </c>
      <c r="AE91" s="259">
        <f ca="1"/>
        <v>16840.019206075565</v>
      </c>
      <c r="AF91" s="259">
        <f ca="1"/>
        <v>919.39048117529148</v>
      </c>
      <c r="AG91" s="259">
        <f ca="1"/>
        <v>-256.56491140216247</v>
      </c>
      <c r="AH91" s="259">
        <f ca="1"/>
        <v>5666.1081643428852</v>
      </c>
      <c r="AI91" s="259">
        <f ca="1"/>
        <v>5678.9102707190377</v>
      </c>
      <c r="AJ91" s="259">
        <f ca="1"/>
        <v>5687.892162708069</v>
      </c>
      <c r="AK91" s="259">
        <f ca="1"/>
        <v>5701.1605115888833</v>
      </c>
      <c r="AL91" s="259">
        <f ca="1"/>
        <v>5710.2159222504688</v>
      </c>
      <c r="AM91" s="259">
        <f ca="1"/>
        <v>5714.4339091593729</v>
      </c>
      <c r="AN91" s="259">
        <f ca="1"/>
        <v>5727.0630310908155</v>
      </c>
      <c r="AO91" s="259">
        <f ca="1"/>
        <v>5740.2212613048405</v>
      </c>
      <c r="AP91" s="259">
        <f ca="1"/>
        <v>5752.797711413582</v>
      </c>
      <c r="AQ91" s="259">
        <f ca="1"/>
        <v>17695.35242779995</v>
      </c>
      <c r="AR91" s="259">
        <f ca="1"/>
        <v>3339.1015636764632</v>
      </c>
      <c r="AS91" s="259">
        <f ca="1"/>
        <v>2118.0085494642381</v>
      </c>
      <c r="AT91" s="259">
        <f ca="1"/>
        <v>8280.0889317661386</v>
      </c>
      <c r="AU91" s="259">
        <f ca="1"/>
        <v>8291.8379635367746</v>
      </c>
      <c r="AV91" s="259">
        <f ca="1"/>
        <v>8306.0875300462194</v>
      </c>
      <c r="AW91" s="259">
        <f ca="1"/>
        <v>8295.3075002221849</v>
      </c>
      <c r="AX91" s="259">
        <f ca="1"/>
        <v>8309.9502619323575</v>
      </c>
      <c r="AY91" s="259">
        <f ca="1"/>
        <v>8323.658289809664</v>
      </c>
      <c r="AZ91" s="259">
        <f ca="1"/>
        <v>8336.2904907105512</v>
      </c>
      <c r="BA91" s="259">
        <f ca="1"/>
        <v>8348.9857149703203</v>
      </c>
      <c r="BB91" s="259">
        <f ca="1"/>
        <v>8357.4731894280449</v>
      </c>
      <c r="BC91" s="259">
        <f ca="1"/>
        <v>20779.792255780958</v>
      </c>
      <c r="BD91" s="259">
        <f ca="1"/>
        <v>3524.6261991930005</v>
      </c>
      <c r="BE91" s="259">
        <f ca="1"/>
        <v>2253.8575032452127</v>
      </c>
      <c r="BF91" s="259">
        <f ca="1"/>
        <v>8667.0314851243129</v>
      </c>
      <c r="BG91" s="259">
        <f ca="1"/>
        <v>8675.9085246531649</v>
      </c>
      <c r="BH91" s="259">
        <f ca="1"/>
        <v>8694.3525878618457</v>
      </c>
      <c r="BI91" s="259">
        <f ca="1"/>
        <v>8707.7575633496272</v>
      </c>
      <c r="BJ91" s="259">
        <f ca="1"/>
        <v>8717.109673394094</v>
      </c>
      <c r="BK91" s="259">
        <f ca="1"/>
        <v>8731.0092855551156</v>
      </c>
      <c r="BL91" s="259">
        <f ca="1"/>
        <v>8740.4393915593046</v>
      </c>
      <c r="BM91" s="259">
        <f ca="1"/>
        <v>8744.7374747043086</v>
      </c>
      <c r="BN91" s="259">
        <f ca="1"/>
        <v>8757.9589309947041</v>
      </c>
      <c r="BO91" s="259">
        <f ca="1"/>
        <v>21687.660918990001</v>
      </c>
      <c r="BP91" s="259"/>
      <c r="BQ91" s="259"/>
    </row>
    <row r="92" spans="2:69" s="22" customFormat="1">
      <c r="C92" s="22" t="s">
        <v>1206</v>
      </c>
      <c r="E92" s="28"/>
      <c r="F92" s="50" t="s">
        <v>119</v>
      </c>
      <c r="G92" s="90"/>
      <c r="H92" s="91" cm="1">
        <f t="array" aca="1" ref="H92:BO92" ca="1">-_xlfn.ANCHORARRAY(H472)</f>
        <v>2777.7777777777778</v>
      </c>
      <c r="I92" s="91">
        <f ca="1"/>
        <v>2779.4944444444445</v>
      </c>
      <c r="J92" s="91">
        <f ca="1"/>
        <v>2781.2111111111112</v>
      </c>
      <c r="K92" s="91">
        <f ca="1"/>
        <v>2782.9277777777779</v>
      </c>
      <c r="L92" s="91">
        <f ca="1"/>
        <v>2784.6444444444446</v>
      </c>
      <c r="M92" s="91">
        <f ca="1"/>
        <v>2786.3611111111113</v>
      </c>
      <c r="N92" s="91">
        <f ca="1"/>
        <v>2788.077777777778</v>
      </c>
      <c r="O92" s="91">
        <f ca="1"/>
        <v>2789.7944444444447</v>
      </c>
      <c r="P92" s="91">
        <f ca="1"/>
        <v>2791.5111111111109</v>
      </c>
      <c r="Q92" s="91">
        <f ca="1"/>
        <v>2793.2277777777776</v>
      </c>
      <c r="R92" s="91">
        <f ca="1"/>
        <v>2794.9444444444443</v>
      </c>
      <c r="S92" s="91">
        <f ca="1"/>
        <v>2796.661111111111</v>
      </c>
      <c r="T92" s="91">
        <f ca="1"/>
        <v>2798.3777777777777</v>
      </c>
      <c r="U92" s="91">
        <f ca="1"/>
        <v>2800.1459444444445</v>
      </c>
      <c r="V92" s="91">
        <f ca="1"/>
        <v>2801.9141111111112</v>
      </c>
      <c r="W92" s="91">
        <f ca="1"/>
        <v>2803.6822777777779</v>
      </c>
      <c r="X92" s="91">
        <f ca="1"/>
        <v>2805.4504444444447</v>
      </c>
      <c r="Y92" s="91">
        <f ca="1"/>
        <v>2807.2186111111109</v>
      </c>
      <c r="Z92" s="91">
        <f ca="1"/>
        <v>2808.9867777777777</v>
      </c>
      <c r="AA92" s="91">
        <f ca="1"/>
        <v>2810.7549444444444</v>
      </c>
      <c r="AB92" s="91">
        <f ca="1"/>
        <v>2812.5231111111111</v>
      </c>
      <c r="AC92" s="91">
        <f ca="1"/>
        <v>2814.2912777777779</v>
      </c>
      <c r="AD92" s="91">
        <f ca="1"/>
        <v>2816.0594444444446</v>
      </c>
      <c r="AE92" s="91">
        <f ca="1"/>
        <v>2817.8276111111113</v>
      </c>
      <c r="AF92" s="91">
        <f ca="1"/>
        <v>2819.5957777777776</v>
      </c>
      <c r="AG92" s="91">
        <f ca="1"/>
        <v>2821.4169894444444</v>
      </c>
      <c r="AH92" s="91">
        <f ca="1"/>
        <v>2823.2382011111113</v>
      </c>
      <c r="AI92" s="91">
        <f ca="1"/>
        <v>2825.0594127777777</v>
      </c>
      <c r="AJ92" s="91">
        <f ca="1"/>
        <v>2826.8806244444445</v>
      </c>
      <c r="AK92" s="91">
        <f ca="1"/>
        <v>2828.7018361111113</v>
      </c>
      <c r="AL92" s="91">
        <f ca="1"/>
        <v>2830.5230477777777</v>
      </c>
      <c r="AM92" s="91">
        <f ca="1"/>
        <v>2832.3442594444446</v>
      </c>
      <c r="AN92" s="91">
        <f ca="1"/>
        <v>2834.1654711111114</v>
      </c>
      <c r="AO92" s="91">
        <f ca="1"/>
        <v>2835.9866827777778</v>
      </c>
      <c r="AP92" s="91">
        <f ca="1"/>
        <v>2837.8078944444446</v>
      </c>
      <c r="AQ92" s="91">
        <f ca="1"/>
        <v>2839.629106111111</v>
      </c>
      <c r="AR92" s="91">
        <f ca="1"/>
        <v>63.672540000000026</v>
      </c>
      <c r="AS92" s="91">
        <f ca="1"/>
        <v>65.548388016666692</v>
      </c>
      <c r="AT92" s="91">
        <f ca="1"/>
        <v>67.424236033333358</v>
      </c>
      <c r="AU92" s="91">
        <f ca="1"/>
        <v>69.300084050000024</v>
      </c>
      <c r="AV92" s="91">
        <f ca="1"/>
        <v>71.175932066666689</v>
      </c>
      <c r="AW92" s="91">
        <f ca="1"/>
        <v>73.051780083333355</v>
      </c>
      <c r="AX92" s="91">
        <f ca="1"/>
        <v>74.927628100000021</v>
      </c>
      <c r="AY92" s="91">
        <f ca="1"/>
        <v>76.803476116666687</v>
      </c>
      <c r="AZ92" s="91">
        <f ca="1"/>
        <v>78.679324133333353</v>
      </c>
      <c r="BA92" s="91">
        <f ca="1"/>
        <v>80.555172150000018</v>
      </c>
      <c r="BB92" s="91">
        <f ca="1"/>
        <v>82.431020166666684</v>
      </c>
      <c r="BC92" s="91">
        <f ca="1"/>
        <v>84.30686818333335</v>
      </c>
      <c r="BD92" s="91">
        <f ca="1"/>
        <v>86.182716200000016</v>
      </c>
      <c r="BE92" s="91">
        <f ca="1"/>
        <v>88.114839657166684</v>
      </c>
      <c r="BF92" s="91">
        <f ca="1"/>
        <v>90.046963114333352</v>
      </c>
      <c r="BG92" s="91">
        <f ca="1"/>
        <v>91.979086571500019</v>
      </c>
      <c r="BH92" s="91">
        <f ca="1"/>
        <v>93.911210028666687</v>
      </c>
      <c r="BI92" s="91">
        <f ca="1"/>
        <v>95.843333485833355</v>
      </c>
      <c r="BJ92" s="91">
        <f ca="1"/>
        <v>97.775456943000023</v>
      </c>
      <c r="BK92" s="91">
        <f ca="1"/>
        <v>99.707580400166691</v>
      </c>
      <c r="BL92" s="91">
        <f ca="1"/>
        <v>101.63970385733336</v>
      </c>
      <c r="BM92" s="91">
        <f ca="1"/>
        <v>103.57182731450003</v>
      </c>
      <c r="BN92" s="91">
        <f ca="1"/>
        <v>105.50395077166669</v>
      </c>
      <c r="BO92" s="91">
        <f ca="1"/>
        <v>107.43607422883336</v>
      </c>
      <c r="BP92" s="91"/>
      <c r="BQ92" s="91"/>
    </row>
    <row r="93" spans="2:69" s="22" customFormat="1">
      <c r="C93" s="22" t="s">
        <v>1207</v>
      </c>
      <c r="E93" s="28"/>
      <c r="F93" s="50" t="s">
        <v>119</v>
      </c>
      <c r="G93" s="90"/>
      <c r="H93" s="91" cm="1">
        <f t="array" ref="H93:BO93">-H478:BO478</f>
        <v>27.777777777777779</v>
      </c>
      <c r="I93" s="91">
        <v>27.777777777777779</v>
      </c>
      <c r="J93" s="91">
        <v>27.777777777777779</v>
      </c>
      <c r="K93" s="91">
        <v>27.777777777777779</v>
      </c>
      <c r="L93" s="91">
        <v>27.777777777777779</v>
      </c>
      <c r="M93" s="91">
        <v>27.777777777777779</v>
      </c>
      <c r="N93" s="91">
        <v>27.777777777777779</v>
      </c>
      <c r="O93" s="91">
        <v>27.777777777777779</v>
      </c>
      <c r="P93" s="91">
        <v>27.777777777777779</v>
      </c>
      <c r="Q93" s="91">
        <v>27.777777777777779</v>
      </c>
      <c r="R93" s="91">
        <v>27.777777777777779</v>
      </c>
      <c r="S93" s="91">
        <v>27.777777777777779</v>
      </c>
      <c r="T93" s="91">
        <v>27.777777777777779</v>
      </c>
      <c r="U93" s="91">
        <v>27.777777777777779</v>
      </c>
      <c r="V93" s="91">
        <v>27.777777777777779</v>
      </c>
      <c r="W93" s="91">
        <v>27.777777777777779</v>
      </c>
      <c r="X93" s="91">
        <v>27.777777777777779</v>
      </c>
      <c r="Y93" s="91">
        <v>27.777777777777779</v>
      </c>
      <c r="Z93" s="91">
        <v>27.777777777777779</v>
      </c>
      <c r="AA93" s="91">
        <v>27.777777777777779</v>
      </c>
      <c r="AB93" s="91">
        <v>27.777777777777779</v>
      </c>
      <c r="AC93" s="91">
        <v>27.777777777777779</v>
      </c>
      <c r="AD93" s="91">
        <v>27.777777777777779</v>
      </c>
      <c r="AE93" s="91">
        <v>27.777777777777779</v>
      </c>
      <c r="AF93" s="91">
        <v>27.777777777777779</v>
      </c>
      <c r="AG93" s="91">
        <v>27.777777777777779</v>
      </c>
      <c r="AH93" s="91">
        <v>27.777777777777779</v>
      </c>
      <c r="AI93" s="91">
        <v>27.777777777777779</v>
      </c>
      <c r="AJ93" s="91">
        <v>27.777777777777779</v>
      </c>
      <c r="AK93" s="91">
        <v>27.777777777777779</v>
      </c>
      <c r="AL93" s="91">
        <v>27.777777777777779</v>
      </c>
      <c r="AM93" s="91">
        <v>27.777777777777779</v>
      </c>
      <c r="AN93" s="91">
        <v>27.777777777777779</v>
      </c>
      <c r="AO93" s="91">
        <v>27.777777777777779</v>
      </c>
      <c r="AP93" s="91">
        <v>27.777777777777779</v>
      </c>
      <c r="AQ93" s="91">
        <v>27.777777777777779</v>
      </c>
      <c r="AR93" s="91">
        <v>27.777777777777779</v>
      </c>
      <c r="AS93" s="91">
        <v>27.777777777777779</v>
      </c>
      <c r="AT93" s="91">
        <v>27.777777777777779</v>
      </c>
      <c r="AU93" s="91">
        <v>27.777777777777779</v>
      </c>
      <c r="AV93" s="91">
        <v>27.777777777777779</v>
      </c>
      <c r="AW93" s="91">
        <v>27.777777777777779</v>
      </c>
      <c r="AX93" s="91">
        <v>27.777777777777779</v>
      </c>
      <c r="AY93" s="91">
        <v>27.777777777777779</v>
      </c>
      <c r="AZ93" s="91">
        <v>27.777777777777779</v>
      </c>
      <c r="BA93" s="91">
        <v>27.777777777777779</v>
      </c>
      <c r="BB93" s="91">
        <v>27.777777777777779</v>
      </c>
      <c r="BC93" s="91">
        <v>27.777777777777779</v>
      </c>
      <c r="BD93" s="91">
        <v>27.777777777777779</v>
      </c>
      <c r="BE93" s="91">
        <v>27.777777777777779</v>
      </c>
      <c r="BF93" s="91">
        <v>27.777777777777779</v>
      </c>
      <c r="BG93" s="91">
        <v>27.777777777777779</v>
      </c>
      <c r="BH93" s="91">
        <v>27.777777777777779</v>
      </c>
      <c r="BI93" s="91">
        <v>27.777777777777779</v>
      </c>
      <c r="BJ93" s="91">
        <v>27.777777777777779</v>
      </c>
      <c r="BK93" s="91">
        <v>27.777777777777779</v>
      </c>
      <c r="BL93" s="91">
        <v>27.777777777777779</v>
      </c>
      <c r="BM93" s="91">
        <v>27.777777777777779</v>
      </c>
      <c r="BN93" s="91">
        <v>27.777777777777779</v>
      </c>
      <c r="BO93" s="91">
        <v>27.777777777777779</v>
      </c>
      <c r="BP93" s="91"/>
      <c r="BQ93" s="91"/>
    </row>
    <row r="94" spans="2:69" s="22" customFormat="1">
      <c r="C94" s="22" t="s">
        <v>1208</v>
      </c>
      <c r="E94" s="28"/>
      <c r="F94" s="50" t="s">
        <v>119</v>
      </c>
      <c r="G94" s="90"/>
      <c r="H94" s="91" cm="1">
        <f t="array" aca="1" ref="H94:BO94" ca="1">-H453:BO453</f>
        <v>-19841.120942697802</v>
      </c>
      <c r="I94" s="91">
        <f ca="1"/>
        <v>-2020.6146177980918</v>
      </c>
      <c r="J94" s="91">
        <f ca="1"/>
        <v>9693.5471051920031</v>
      </c>
      <c r="K94" s="91">
        <f ca="1"/>
        <v>-32.2701764108715</v>
      </c>
      <c r="L94" s="91">
        <f ca="1"/>
        <v>-55.669585475545318</v>
      </c>
      <c r="M94" s="91">
        <f ca="1"/>
        <v>-79.267302968910371</v>
      </c>
      <c r="N94" s="91">
        <f ca="1"/>
        <v>-45.582389560448064</v>
      </c>
      <c r="O94" s="91">
        <f ca="1"/>
        <v>-44.61828029229946</v>
      </c>
      <c r="P94" s="91">
        <f ca="1"/>
        <v>-45.919620501437748</v>
      </c>
      <c r="Q94" s="91">
        <f ca="1"/>
        <v>-28.575864985534281</v>
      </c>
      <c r="R94" s="91">
        <f ca="1"/>
        <v>-43.279352915582422</v>
      </c>
      <c r="S94" s="91">
        <f ca="1"/>
        <v>19683.664088234029</v>
      </c>
      <c r="T94" s="91">
        <f ca="1"/>
        <v>-29198.586279753785</v>
      </c>
      <c r="U94" s="91">
        <f ca="1"/>
        <v>-2090.3217575198141</v>
      </c>
      <c r="V94" s="91">
        <f ca="1"/>
        <v>10131.437304788044</v>
      </c>
      <c r="W94" s="91">
        <f ca="1"/>
        <v>-49.707403617932869</v>
      </c>
      <c r="X94" s="91">
        <f ca="1"/>
        <v>-46.116067216884403</v>
      </c>
      <c r="Y94" s="91">
        <f ca="1"/>
        <v>-46.379429713299032</v>
      </c>
      <c r="Z94" s="91">
        <f ca="1"/>
        <v>-47.422881209837215</v>
      </c>
      <c r="AA94" s="91">
        <f ca="1"/>
        <v>-48.287152792341658</v>
      </c>
      <c r="AB94" s="91">
        <f ca="1"/>
        <v>-63.285361973168619</v>
      </c>
      <c r="AC94" s="91">
        <f ca="1"/>
        <v>-46.228425911715021</v>
      </c>
      <c r="AD94" s="91">
        <f ca="1"/>
        <v>-47.204080941271968</v>
      </c>
      <c r="AE94" s="91">
        <f ca="1"/>
        <v>20437.914329665709</v>
      </c>
      <c r="AF94" s="91">
        <f ca="1"/>
        <v>-30372.007673800257</v>
      </c>
      <c r="AG94" s="91">
        <f ca="1"/>
        <v>-2182.3379668828566</v>
      </c>
      <c r="AH94" s="91">
        <f ca="1"/>
        <v>10549.706579356476</v>
      </c>
      <c r="AI94" s="91">
        <f ca="1"/>
        <v>-48.397069818965974</v>
      </c>
      <c r="AJ94" s="91">
        <f ca="1"/>
        <v>-54.384808741444431</v>
      </c>
      <c r="AK94" s="91">
        <f ca="1"/>
        <v>-45.601356663915794</v>
      </c>
      <c r="AL94" s="91">
        <f ca="1"/>
        <v>-59.152682606021699</v>
      </c>
      <c r="AM94" s="91">
        <f ca="1"/>
        <v>-65.86902566664503</v>
      </c>
      <c r="AN94" s="91">
        <f ca="1"/>
        <v>-48.451176459740964</v>
      </c>
      <c r="AO94" s="91">
        <f ca="1"/>
        <v>-47.428352937109594</v>
      </c>
      <c r="AP94" s="91">
        <f ca="1"/>
        <v>-48.808944764947228</v>
      </c>
      <c r="AQ94" s="91">
        <f ca="1"/>
        <v>21345.989220648</v>
      </c>
      <c r="AR94" s="91">
        <f ca="1"/>
        <v>-31073.766291174157</v>
      </c>
      <c r="AS94" s="91">
        <f ca="1"/>
        <v>-2265.1509800208805</v>
      </c>
      <c r="AT94" s="91">
        <f ca="1"/>
        <v>10973.291836014854</v>
      </c>
      <c r="AU94" s="91">
        <f ca="1"/>
        <v>-49.968049017355952</v>
      </c>
      <c r="AV94" s="91">
        <f ca="1"/>
        <v>-48.44150062326662</v>
      </c>
      <c r="AW94" s="91">
        <f ca="1"/>
        <v>-91.576910895433684</v>
      </c>
      <c r="AX94" s="91">
        <f ca="1"/>
        <v>-48.990832585353928</v>
      </c>
      <c r="AY94" s="91">
        <f ca="1"/>
        <v>-49.270233857816493</v>
      </c>
      <c r="AZ94" s="91">
        <f ca="1"/>
        <v>-50.377231550570286</v>
      </c>
      <c r="BA94" s="91">
        <f ca="1"/>
        <v>-51.294137272379885</v>
      </c>
      <c r="BB94" s="91">
        <f ca="1"/>
        <v>-58.935948859972996</v>
      </c>
      <c r="BC94" s="91">
        <f ca="1"/>
        <v>22193.415794985998</v>
      </c>
      <c r="BD94" s="91">
        <f ca="1"/>
        <v>-32917.781097310813</v>
      </c>
      <c r="BE94" s="91">
        <f ca="1"/>
        <v>-2352.0561023661357</v>
      </c>
      <c r="BF94" s="91">
        <f ca="1"/>
        <v>11419.50111614976</v>
      </c>
      <c r="BG94" s="91">
        <f ca="1"/>
        <v>-62.304172996766283</v>
      </c>
      <c r="BH94" s="91">
        <f ca="1"/>
        <v>-39.044419139325328</v>
      </c>
      <c r="BI94" s="91">
        <f ca="1"/>
        <v>-51.388646162573423</v>
      </c>
      <c r="BJ94" s="91">
        <f ca="1"/>
        <v>-57.741038385451247</v>
      </c>
      <c r="BK94" s="91">
        <f ca="1"/>
        <v>-48.422674076420662</v>
      </c>
      <c r="BL94" s="91">
        <f ca="1"/>
        <v>-62.799275768404186</v>
      </c>
      <c r="BM94" s="91">
        <f ca="1"/>
        <v>-69.924644121478195</v>
      </c>
      <c r="BN94" s="91">
        <f ca="1"/>
        <v>-51.44604789778532</v>
      </c>
      <c r="BO94" s="91">
        <f ca="1"/>
        <v>23103.750965618179</v>
      </c>
      <c r="BP94" s="91"/>
      <c r="BQ94" s="91"/>
    </row>
    <row r="95" spans="2:69" s="31" customFormat="1">
      <c r="C95" s="70" t="s">
        <v>1209</v>
      </c>
      <c r="D95" s="70"/>
      <c r="E95" s="71"/>
      <c r="F95" s="72" t="s">
        <v>119</v>
      </c>
      <c r="G95" s="268">
        <f>SUM(G92:G94)</f>
        <v>0</v>
      </c>
      <c r="H95" s="269">
        <f ca="1">SUM(H91:H94)</f>
        <v>-16446.424600000028</v>
      </c>
      <c r="I95" s="269">
        <f ca="1">SUM(I91:I94)</f>
        <v>251.68871357396984</v>
      </c>
      <c r="J95" s="269">
        <f t="shared" ref="J95:BO95" ca="1" si="71">SUM(J91:J94)</f>
        <v>17410.030844932055</v>
      </c>
      <c r="K95" s="269">
        <f t="shared" ca="1" si="71"/>
        <v>7741.2908246978222</v>
      </c>
      <c r="L95" s="269">
        <f t="shared" ca="1" si="71"/>
        <v>7728.4936399975795</v>
      </c>
      <c r="M95" s="269">
        <f t="shared" ca="1" si="71"/>
        <v>7701.6107310286634</v>
      </c>
      <c r="N95" s="269">
        <f t="shared" ca="1" si="71"/>
        <v>7749.266434424957</v>
      </c>
      <c r="O95" s="269">
        <f t="shared" ca="1" si="71"/>
        <v>7764.7000689835922</v>
      </c>
      <c r="P95" s="269">
        <f t="shared" ca="1" si="71"/>
        <v>7777.3198705177256</v>
      </c>
      <c r="Q95" s="269">
        <f t="shared" ca="1" si="71"/>
        <v>7815.5418174080642</v>
      </c>
      <c r="R95" s="269">
        <f t="shared" ca="1" si="71"/>
        <v>7817.0238212824725</v>
      </c>
      <c r="S95" s="269">
        <f t="shared" ca="1" si="71"/>
        <v>38564.82760820094</v>
      </c>
      <c r="T95" s="269">
        <f t="shared" ca="1" si="71"/>
        <v>-25623.304166138296</v>
      </c>
      <c r="U95" s="269">
        <f t="shared" ca="1" si="71"/>
        <v>358.51968507190759</v>
      </c>
      <c r="V95" s="269">
        <f t="shared" ca="1" si="71"/>
        <v>18272.326552158287</v>
      </c>
      <c r="W95" s="269">
        <f t="shared" ca="1" si="71"/>
        <v>8102.4687929258153</v>
      </c>
      <c r="X95" s="269">
        <f t="shared" ca="1" si="71"/>
        <v>8121.880467932624</v>
      </c>
      <c r="Y95" s="269">
        <f t="shared" ca="1" si="71"/>
        <v>8136.5563677549708</v>
      </c>
      <c r="Z95" s="269">
        <f t="shared" ca="1" si="71"/>
        <v>8149.43810847026</v>
      </c>
      <c r="AA95" s="269">
        <f t="shared" ca="1" si="71"/>
        <v>8162.5584346598844</v>
      </c>
      <c r="AB95" s="269">
        <f t="shared" ca="1" si="71"/>
        <v>8153.1415073411172</v>
      </c>
      <c r="AC95" s="269">
        <f t="shared" ca="1" si="71"/>
        <v>8185.488480126276</v>
      </c>
      <c r="AD95" s="269">
        <f t="shared" ca="1" si="71"/>
        <v>8198.5984256411612</v>
      </c>
      <c r="AE95" s="269">
        <f t="shared" ca="1" si="71"/>
        <v>40123.538924630164</v>
      </c>
      <c r="AF95" s="269">
        <f t="shared" ca="1" si="71"/>
        <v>-26605.243637069412</v>
      </c>
      <c r="AG95" s="269">
        <f t="shared" ca="1" si="71"/>
        <v>410.29188893720311</v>
      </c>
      <c r="AH95" s="269">
        <f t="shared" ca="1" si="71"/>
        <v>19066.830722588249</v>
      </c>
      <c r="AI95" s="269">
        <f t="shared" ca="1" si="71"/>
        <v>8483.3503914556277</v>
      </c>
      <c r="AJ95" s="269">
        <f t="shared" ca="1" si="71"/>
        <v>8488.165756188846</v>
      </c>
      <c r="AK95" s="269">
        <f t="shared" ca="1" si="71"/>
        <v>8512.0387688138562</v>
      </c>
      <c r="AL95" s="269">
        <f t="shared" ca="1" si="71"/>
        <v>8509.3640652000031</v>
      </c>
      <c r="AM95" s="269">
        <f t="shared" ca="1" si="71"/>
        <v>8508.6869207149502</v>
      </c>
      <c r="AN95" s="269">
        <f t="shared" ca="1" si="71"/>
        <v>8540.5551035199642</v>
      </c>
      <c r="AO95" s="269">
        <f t="shared" ca="1" si="71"/>
        <v>8556.557368923286</v>
      </c>
      <c r="AP95" s="269">
        <f t="shared" ca="1" si="71"/>
        <v>8569.5744388708572</v>
      </c>
      <c r="AQ95" s="269">
        <f t="shared" ca="1" si="71"/>
        <v>41908.748532336838</v>
      </c>
      <c r="AR95" s="269">
        <f t="shared" ca="1" si="71"/>
        <v>-27643.214409719916</v>
      </c>
      <c r="AS95" s="269">
        <f t="shared" ca="1" si="71"/>
        <v>-53.816264762197989</v>
      </c>
      <c r="AT95" s="269">
        <f t="shared" ca="1" si="71"/>
        <v>19348.582781592104</v>
      </c>
      <c r="AU95" s="269">
        <f t="shared" ca="1" si="71"/>
        <v>8338.9477763471969</v>
      </c>
      <c r="AV95" s="269">
        <f t="shared" ca="1" si="71"/>
        <v>8356.5997392673962</v>
      </c>
      <c r="AW95" s="269">
        <f t="shared" ca="1" si="71"/>
        <v>8304.5601471878617</v>
      </c>
      <c r="AX95" s="269">
        <f t="shared" ca="1" si="71"/>
        <v>8363.6648352247812</v>
      </c>
      <c r="AY95" s="269">
        <f t="shared" ca="1" si="71"/>
        <v>8378.9693098462922</v>
      </c>
      <c r="AZ95" s="269">
        <f t="shared" ca="1" si="71"/>
        <v>8392.3703610710909</v>
      </c>
      <c r="BA95" s="269">
        <f t="shared" ca="1" si="71"/>
        <v>8406.0245276257174</v>
      </c>
      <c r="BB95" s="269">
        <f t="shared" ca="1" si="71"/>
        <v>8408.746038512516</v>
      </c>
      <c r="BC95" s="269">
        <f t="shared" ca="1" si="71"/>
        <v>43085.292696728065</v>
      </c>
      <c r="BD95" s="269">
        <f t="shared" ca="1" si="71"/>
        <v>-29279.194404140035</v>
      </c>
      <c r="BE95" s="269">
        <f t="shared" ca="1" si="71"/>
        <v>17.694018314021378</v>
      </c>
      <c r="BF95" s="269">
        <f t="shared" ca="1" si="71"/>
        <v>20204.357342166186</v>
      </c>
      <c r="BG95" s="269">
        <f t="shared" ca="1" si="71"/>
        <v>8733.3612160056764</v>
      </c>
      <c r="BH95" s="269">
        <f t="shared" ca="1" si="71"/>
        <v>8776.9971565289652</v>
      </c>
      <c r="BI95" s="269">
        <f t="shared" ca="1" si="71"/>
        <v>8779.9900284506639</v>
      </c>
      <c r="BJ95" s="269">
        <f t="shared" ca="1" si="71"/>
        <v>8784.92186972942</v>
      </c>
      <c r="BK95" s="269">
        <f t="shared" ca="1" si="71"/>
        <v>8810.0719696566393</v>
      </c>
      <c r="BL95" s="269">
        <f t="shared" ca="1" si="71"/>
        <v>8807.0575974260119</v>
      </c>
      <c r="BM95" s="269">
        <f t="shared" ca="1" si="71"/>
        <v>8806.1624356751072</v>
      </c>
      <c r="BN95" s="269">
        <f t="shared" ca="1" si="71"/>
        <v>8839.7946116463627</v>
      </c>
      <c r="BO95" s="269">
        <f t="shared" ca="1" si="71"/>
        <v>44926.625736614791</v>
      </c>
      <c r="BP95" s="352"/>
      <c r="BQ95" s="352"/>
    </row>
    <row r="96" spans="2:69" s="22" customFormat="1">
      <c r="E96" s="28"/>
      <c r="F96" s="29"/>
      <c r="G96" s="90"/>
      <c r="H96" s="91"/>
      <c r="I96" s="91"/>
      <c r="J96" s="91"/>
      <c r="K96" s="91"/>
      <c r="L96" s="91"/>
      <c r="M96" s="91"/>
      <c r="N96" s="91"/>
      <c r="O96" s="91"/>
      <c r="P96" s="91"/>
      <c r="Q96" s="91"/>
      <c r="R96" s="91"/>
      <c r="S96" s="91"/>
      <c r="T96" s="91"/>
      <c r="U96" s="91"/>
      <c r="V96" s="91"/>
      <c r="W96" s="91"/>
      <c r="X96" s="91"/>
      <c r="Y96" s="91"/>
      <c r="Z96" s="91"/>
      <c r="AA96" s="91"/>
      <c r="AB96" s="91"/>
      <c r="AC96" s="91"/>
      <c r="AD96" s="91"/>
      <c r="AE96" s="91"/>
      <c r="AF96" s="91"/>
      <c r="AG96" s="91"/>
      <c r="AH96" s="91"/>
      <c r="AI96" s="91"/>
      <c r="AJ96" s="91"/>
      <c r="AK96" s="91"/>
      <c r="AL96" s="91"/>
      <c r="AM96" s="91"/>
      <c r="AN96" s="91"/>
      <c r="AO96" s="91"/>
      <c r="AP96" s="91"/>
      <c r="AQ96" s="91"/>
      <c r="AR96" s="91"/>
      <c r="AS96" s="91"/>
      <c r="AT96" s="91"/>
      <c r="AU96" s="91"/>
      <c r="AV96" s="91"/>
      <c r="AW96" s="91"/>
      <c r="AX96" s="91"/>
      <c r="AY96" s="91"/>
      <c r="AZ96" s="91"/>
      <c r="BA96" s="91"/>
      <c r="BB96" s="91"/>
      <c r="BC96" s="91"/>
      <c r="BD96" s="91"/>
      <c r="BE96" s="91"/>
      <c r="BF96" s="91"/>
      <c r="BG96" s="91"/>
      <c r="BH96" s="91"/>
      <c r="BI96" s="91"/>
      <c r="BJ96" s="91"/>
      <c r="BK96" s="91"/>
      <c r="BL96" s="91"/>
      <c r="BM96" s="91"/>
      <c r="BN96" s="91"/>
      <c r="BO96" s="91"/>
      <c r="BP96" s="91"/>
      <c r="BQ96" s="91"/>
    </row>
    <row r="97" spans="3:69" s="22" customFormat="1">
      <c r="C97" s="22" t="s">
        <v>1210</v>
      </c>
      <c r="E97" s="28"/>
      <c r="F97" s="50" t="s">
        <v>119</v>
      </c>
      <c r="G97" s="90"/>
      <c r="H97" s="91" cm="1">
        <f t="array" ref="H97:BO97">-_xlfn.ANCHORARRAY(H471)</f>
        <v>-103</v>
      </c>
      <c r="I97" s="91">
        <v>-103</v>
      </c>
      <c r="J97" s="91">
        <v>-103</v>
      </c>
      <c r="K97" s="91">
        <v>-103</v>
      </c>
      <c r="L97" s="91">
        <v>-103</v>
      </c>
      <c r="M97" s="91">
        <v>-103</v>
      </c>
      <c r="N97" s="91">
        <v>-103</v>
      </c>
      <c r="O97" s="91">
        <v>-103</v>
      </c>
      <c r="P97" s="91">
        <v>-103</v>
      </c>
      <c r="Q97" s="91">
        <v>-103</v>
      </c>
      <c r="R97" s="91">
        <v>-103</v>
      </c>
      <c r="S97" s="91">
        <v>-103</v>
      </c>
      <c r="T97" s="91">
        <v>-106.08999999999999</v>
      </c>
      <c r="U97" s="91">
        <v>-106.08999999999999</v>
      </c>
      <c r="V97" s="91">
        <v>-106.08999999999999</v>
      </c>
      <c r="W97" s="91">
        <v>-106.08999999999999</v>
      </c>
      <c r="X97" s="91">
        <v>-106.08999999999999</v>
      </c>
      <c r="Y97" s="91">
        <v>-106.08999999999999</v>
      </c>
      <c r="Z97" s="91">
        <v>-106.08999999999999</v>
      </c>
      <c r="AA97" s="91">
        <v>-106.08999999999999</v>
      </c>
      <c r="AB97" s="91">
        <v>-106.08999999999999</v>
      </c>
      <c r="AC97" s="91">
        <v>-106.08999999999999</v>
      </c>
      <c r="AD97" s="91">
        <v>-106.08999999999999</v>
      </c>
      <c r="AE97" s="91">
        <v>-106.08999999999999</v>
      </c>
      <c r="AF97" s="91">
        <v>-109.2727</v>
      </c>
      <c r="AG97" s="91">
        <v>-109.2727</v>
      </c>
      <c r="AH97" s="91">
        <v>-109.2727</v>
      </c>
      <c r="AI97" s="91">
        <v>-109.2727</v>
      </c>
      <c r="AJ97" s="91">
        <v>-109.2727</v>
      </c>
      <c r="AK97" s="91">
        <v>-109.2727</v>
      </c>
      <c r="AL97" s="91">
        <v>-109.2727</v>
      </c>
      <c r="AM97" s="91">
        <v>-109.2727</v>
      </c>
      <c r="AN97" s="91">
        <v>-109.2727</v>
      </c>
      <c r="AO97" s="91">
        <v>-109.2727</v>
      </c>
      <c r="AP97" s="91">
        <v>-109.2727</v>
      </c>
      <c r="AQ97" s="91">
        <v>-109.2727</v>
      </c>
      <c r="AR97" s="91">
        <v>-112.55088099999999</v>
      </c>
      <c r="AS97" s="91">
        <v>-112.55088099999999</v>
      </c>
      <c r="AT97" s="91">
        <v>-112.55088099999999</v>
      </c>
      <c r="AU97" s="91">
        <v>-112.55088099999999</v>
      </c>
      <c r="AV97" s="91">
        <v>-112.55088099999999</v>
      </c>
      <c r="AW97" s="91">
        <v>-112.55088099999999</v>
      </c>
      <c r="AX97" s="91">
        <v>-112.55088099999999</v>
      </c>
      <c r="AY97" s="91">
        <v>-112.55088099999999</v>
      </c>
      <c r="AZ97" s="91">
        <v>-112.55088099999999</v>
      </c>
      <c r="BA97" s="91">
        <v>-112.55088099999999</v>
      </c>
      <c r="BB97" s="91">
        <v>-112.55088099999999</v>
      </c>
      <c r="BC97" s="91">
        <v>-112.55088099999999</v>
      </c>
      <c r="BD97" s="91">
        <v>-115.92740742999999</v>
      </c>
      <c r="BE97" s="91">
        <v>-115.92740742999999</v>
      </c>
      <c r="BF97" s="91">
        <v>-115.92740742999999</v>
      </c>
      <c r="BG97" s="91">
        <v>-115.92740742999999</v>
      </c>
      <c r="BH97" s="91">
        <v>-115.92740742999999</v>
      </c>
      <c r="BI97" s="91">
        <v>-115.92740742999999</v>
      </c>
      <c r="BJ97" s="91">
        <v>-115.92740742999999</v>
      </c>
      <c r="BK97" s="91">
        <v>-115.92740742999999</v>
      </c>
      <c r="BL97" s="91">
        <v>-115.92740742999999</v>
      </c>
      <c r="BM97" s="91">
        <v>-115.92740742999999</v>
      </c>
      <c r="BN97" s="91">
        <v>-115.92740742999999</v>
      </c>
      <c r="BO97" s="91">
        <v>-115.92740742999999</v>
      </c>
      <c r="BP97" s="91"/>
      <c r="BQ97" s="91"/>
    </row>
    <row r="98" spans="3:69" s="22" customFormat="1">
      <c r="C98" s="22" t="s">
        <v>1211</v>
      </c>
      <c r="E98" s="28"/>
      <c r="F98" s="50" t="s">
        <v>119</v>
      </c>
      <c r="G98" s="90"/>
      <c r="H98" s="91" cm="1">
        <f t="array" ref="H98:BO98">-H477:BO477</f>
        <v>0</v>
      </c>
      <c r="I98" s="91">
        <v>0</v>
      </c>
      <c r="J98" s="91">
        <v>0</v>
      </c>
      <c r="K98" s="91">
        <v>0</v>
      </c>
      <c r="L98" s="91">
        <v>0</v>
      </c>
      <c r="M98" s="91">
        <v>0</v>
      </c>
      <c r="N98" s="91">
        <v>0</v>
      </c>
      <c r="O98" s="91">
        <v>0</v>
      </c>
      <c r="P98" s="91">
        <v>0</v>
      </c>
      <c r="Q98" s="91">
        <v>0</v>
      </c>
      <c r="R98" s="91">
        <v>0</v>
      </c>
      <c r="S98" s="91">
        <v>0</v>
      </c>
      <c r="T98" s="91">
        <v>0</v>
      </c>
      <c r="U98" s="91">
        <v>0</v>
      </c>
      <c r="V98" s="91">
        <v>0</v>
      </c>
      <c r="W98" s="91">
        <v>0</v>
      </c>
      <c r="X98" s="91">
        <v>0</v>
      </c>
      <c r="Y98" s="91">
        <v>0</v>
      </c>
      <c r="Z98" s="91">
        <v>0</v>
      </c>
      <c r="AA98" s="91">
        <v>0</v>
      </c>
      <c r="AB98" s="91">
        <v>0</v>
      </c>
      <c r="AC98" s="91">
        <v>0</v>
      </c>
      <c r="AD98" s="91">
        <v>0</v>
      </c>
      <c r="AE98" s="91">
        <v>0</v>
      </c>
      <c r="AF98" s="91">
        <v>0</v>
      </c>
      <c r="AG98" s="91">
        <v>0</v>
      </c>
      <c r="AH98" s="91">
        <v>0</v>
      </c>
      <c r="AI98" s="91">
        <v>0</v>
      </c>
      <c r="AJ98" s="91">
        <v>0</v>
      </c>
      <c r="AK98" s="91">
        <v>0</v>
      </c>
      <c r="AL98" s="91">
        <v>0</v>
      </c>
      <c r="AM98" s="91">
        <v>0</v>
      </c>
      <c r="AN98" s="91">
        <v>0</v>
      </c>
      <c r="AO98" s="91">
        <v>0</v>
      </c>
      <c r="AP98" s="91">
        <v>0</v>
      </c>
      <c r="AQ98" s="91">
        <v>0</v>
      </c>
      <c r="AR98" s="91">
        <v>0</v>
      </c>
      <c r="AS98" s="91">
        <v>0</v>
      </c>
      <c r="AT98" s="91">
        <v>0</v>
      </c>
      <c r="AU98" s="91">
        <v>0</v>
      </c>
      <c r="AV98" s="91">
        <v>0</v>
      </c>
      <c r="AW98" s="91">
        <v>0</v>
      </c>
      <c r="AX98" s="91">
        <v>0</v>
      </c>
      <c r="AY98" s="91">
        <v>0</v>
      </c>
      <c r="AZ98" s="91">
        <v>0</v>
      </c>
      <c r="BA98" s="91">
        <v>0</v>
      </c>
      <c r="BB98" s="91">
        <v>0</v>
      </c>
      <c r="BC98" s="91">
        <v>0</v>
      </c>
      <c r="BD98" s="91">
        <v>0</v>
      </c>
      <c r="BE98" s="91">
        <v>0</v>
      </c>
      <c r="BF98" s="91">
        <v>0</v>
      </c>
      <c r="BG98" s="91">
        <v>0</v>
      </c>
      <c r="BH98" s="91">
        <v>0</v>
      </c>
      <c r="BI98" s="91">
        <v>0</v>
      </c>
      <c r="BJ98" s="91">
        <v>0</v>
      </c>
      <c r="BK98" s="91">
        <v>0</v>
      </c>
      <c r="BL98" s="91">
        <v>0</v>
      </c>
      <c r="BM98" s="91">
        <v>0</v>
      </c>
      <c r="BN98" s="91">
        <v>0</v>
      </c>
      <c r="BO98" s="91">
        <v>0</v>
      </c>
      <c r="BP98" s="91"/>
      <c r="BQ98" s="91"/>
    </row>
    <row r="99" spans="3:69" s="31" customFormat="1">
      <c r="C99" s="70" t="s">
        <v>1212</v>
      </c>
      <c r="D99" s="70"/>
      <c r="E99" s="71"/>
      <c r="F99" s="72" t="s">
        <v>119</v>
      </c>
      <c r="G99" s="268">
        <f>SUM(G96:G98)</f>
        <v>0</v>
      </c>
      <c r="H99" s="269">
        <f>SUM(H97:H98)</f>
        <v>-103</v>
      </c>
      <c r="I99" s="269">
        <f t="shared" ref="I99:BO99" si="72">SUM(I97:I98)</f>
        <v>-103</v>
      </c>
      <c r="J99" s="269">
        <f t="shared" si="72"/>
        <v>-103</v>
      </c>
      <c r="K99" s="269">
        <f t="shared" si="72"/>
        <v>-103</v>
      </c>
      <c r="L99" s="269">
        <f t="shared" si="72"/>
        <v>-103</v>
      </c>
      <c r="M99" s="269">
        <f t="shared" si="72"/>
        <v>-103</v>
      </c>
      <c r="N99" s="269">
        <f t="shared" si="72"/>
        <v>-103</v>
      </c>
      <c r="O99" s="269">
        <f t="shared" si="72"/>
        <v>-103</v>
      </c>
      <c r="P99" s="269">
        <f t="shared" si="72"/>
        <v>-103</v>
      </c>
      <c r="Q99" s="269">
        <f t="shared" si="72"/>
        <v>-103</v>
      </c>
      <c r="R99" s="269">
        <f t="shared" si="72"/>
        <v>-103</v>
      </c>
      <c r="S99" s="269">
        <f t="shared" si="72"/>
        <v>-103</v>
      </c>
      <c r="T99" s="269">
        <f t="shared" si="72"/>
        <v>-106.08999999999999</v>
      </c>
      <c r="U99" s="269">
        <f t="shared" si="72"/>
        <v>-106.08999999999999</v>
      </c>
      <c r="V99" s="269">
        <f t="shared" si="72"/>
        <v>-106.08999999999999</v>
      </c>
      <c r="W99" s="269">
        <f t="shared" si="72"/>
        <v>-106.08999999999999</v>
      </c>
      <c r="X99" s="269">
        <f t="shared" si="72"/>
        <v>-106.08999999999999</v>
      </c>
      <c r="Y99" s="269">
        <f t="shared" si="72"/>
        <v>-106.08999999999999</v>
      </c>
      <c r="Z99" s="269">
        <f t="shared" si="72"/>
        <v>-106.08999999999999</v>
      </c>
      <c r="AA99" s="269">
        <f t="shared" si="72"/>
        <v>-106.08999999999999</v>
      </c>
      <c r="AB99" s="269">
        <f t="shared" si="72"/>
        <v>-106.08999999999999</v>
      </c>
      <c r="AC99" s="269">
        <f t="shared" si="72"/>
        <v>-106.08999999999999</v>
      </c>
      <c r="AD99" s="269">
        <f t="shared" si="72"/>
        <v>-106.08999999999999</v>
      </c>
      <c r="AE99" s="269">
        <f t="shared" si="72"/>
        <v>-106.08999999999999</v>
      </c>
      <c r="AF99" s="269">
        <f t="shared" si="72"/>
        <v>-109.2727</v>
      </c>
      <c r="AG99" s="269">
        <f t="shared" si="72"/>
        <v>-109.2727</v>
      </c>
      <c r="AH99" s="269">
        <f t="shared" si="72"/>
        <v>-109.2727</v>
      </c>
      <c r="AI99" s="269">
        <f t="shared" si="72"/>
        <v>-109.2727</v>
      </c>
      <c r="AJ99" s="269">
        <f t="shared" si="72"/>
        <v>-109.2727</v>
      </c>
      <c r="AK99" s="269">
        <f t="shared" si="72"/>
        <v>-109.2727</v>
      </c>
      <c r="AL99" s="269">
        <f t="shared" si="72"/>
        <v>-109.2727</v>
      </c>
      <c r="AM99" s="269">
        <f t="shared" si="72"/>
        <v>-109.2727</v>
      </c>
      <c r="AN99" s="269">
        <f t="shared" si="72"/>
        <v>-109.2727</v>
      </c>
      <c r="AO99" s="269">
        <f t="shared" si="72"/>
        <v>-109.2727</v>
      </c>
      <c r="AP99" s="269">
        <f t="shared" si="72"/>
        <v>-109.2727</v>
      </c>
      <c r="AQ99" s="269">
        <f t="shared" si="72"/>
        <v>-109.2727</v>
      </c>
      <c r="AR99" s="269">
        <f t="shared" si="72"/>
        <v>-112.55088099999999</v>
      </c>
      <c r="AS99" s="269">
        <f t="shared" si="72"/>
        <v>-112.55088099999999</v>
      </c>
      <c r="AT99" s="269">
        <f t="shared" si="72"/>
        <v>-112.55088099999999</v>
      </c>
      <c r="AU99" s="269">
        <f t="shared" si="72"/>
        <v>-112.55088099999999</v>
      </c>
      <c r="AV99" s="269">
        <f t="shared" si="72"/>
        <v>-112.55088099999999</v>
      </c>
      <c r="AW99" s="269">
        <f t="shared" si="72"/>
        <v>-112.55088099999999</v>
      </c>
      <c r="AX99" s="269">
        <f t="shared" si="72"/>
        <v>-112.55088099999999</v>
      </c>
      <c r="AY99" s="269">
        <f t="shared" si="72"/>
        <v>-112.55088099999999</v>
      </c>
      <c r="AZ99" s="269">
        <f t="shared" si="72"/>
        <v>-112.55088099999999</v>
      </c>
      <c r="BA99" s="269">
        <f t="shared" si="72"/>
        <v>-112.55088099999999</v>
      </c>
      <c r="BB99" s="269">
        <f t="shared" si="72"/>
        <v>-112.55088099999999</v>
      </c>
      <c r="BC99" s="269">
        <f t="shared" si="72"/>
        <v>-112.55088099999999</v>
      </c>
      <c r="BD99" s="269">
        <f t="shared" si="72"/>
        <v>-115.92740742999999</v>
      </c>
      <c r="BE99" s="269">
        <f t="shared" si="72"/>
        <v>-115.92740742999999</v>
      </c>
      <c r="BF99" s="269">
        <f t="shared" si="72"/>
        <v>-115.92740742999999</v>
      </c>
      <c r="BG99" s="269">
        <f t="shared" si="72"/>
        <v>-115.92740742999999</v>
      </c>
      <c r="BH99" s="269">
        <f t="shared" si="72"/>
        <v>-115.92740742999999</v>
      </c>
      <c r="BI99" s="269">
        <f t="shared" si="72"/>
        <v>-115.92740742999999</v>
      </c>
      <c r="BJ99" s="269">
        <f t="shared" si="72"/>
        <v>-115.92740742999999</v>
      </c>
      <c r="BK99" s="269">
        <f t="shared" si="72"/>
        <v>-115.92740742999999</v>
      </c>
      <c r="BL99" s="269">
        <f t="shared" si="72"/>
        <v>-115.92740742999999</v>
      </c>
      <c r="BM99" s="269">
        <f t="shared" si="72"/>
        <v>-115.92740742999999</v>
      </c>
      <c r="BN99" s="269">
        <f t="shared" si="72"/>
        <v>-115.92740742999999</v>
      </c>
      <c r="BO99" s="269">
        <f t="shared" si="72"/>
        <v>-115.92740742999999</v>
      </c>
      <c r="BP99" s="352"/>
      <c r="BQ99" s="352"/>
    </row>
    <row r="100" spans="3:69" s="31" customFormat="1">
      <c r="E100" s="32"/>
      <c r="F100" s="33"/>
      <c r="G100" s="270"/>
      <c r="H100" s="259"/>
      <c r="I100" s="259"/>
      <c r="J100" s="259"/>
      <c r="K100" s="259"/>
      <c r="L100" s="259"/>
      <c r="M100" s="259"/>
      <c r="N100" s="259"/>
      <c r="O100" s="259"/>
      <c r="P100" s="259"/>
      <c r="Q100" s="259"/>
      <c r="R100" s="259"/>
      <c r="S100" s="259"/>
      <c r="T100" s="259"/>
      <c r="U100" s="259"/>
      <c r="V100" s="259"/>
      <c r="W100" s="259"/>
      <c r="X100" s="259"/>
      <c r="Y100" s="259"/>
      <c r="Z100" s="259"/>
      <c r="AA100" s="259"/>
      <c r="AB100" s="259"/>
      <c r="AC100" s="259"/>
      <c r="AD100" s="259"/>
      <c r="AE100" s="259"/>
      <c r="AF100" s="259"/>
      <c r="AG100" s="259"/>
      <c r="AH100" s="259"/>
      <c r="AI100" s="259"/>
      <c r="AJ100" s="259"/>
      <c r="AK100" s="259"/>
      <c r="AL100" s="259"/>
      <c r="AM100" s="259"/>
      <c r="AN100" s="259"/>
      <c r="AO100" s="259"/>
      <c r="AP100" s="259"/>
      <c r="AQ100" s="259"/>
      <c r="AR100" s="259"/>
      <c r="AS100" s="259"/>
      <c r="AT100" s="259"/>
      <c r="AU100" s="259"/>
      <c r="AV100" s="259"/>
      <c r="AW100" s="259"/>
      <c r="AX100" s="259"/>
      <c r="AY100" s="259"/>
      <c r="AZ100" s="259"/>
      <c r="BA100" s="259"/>
      <c r="BB100" s="259"/>
      <c r="BC100" s="259"/>
      <c r="BD100" s="259"/>
      <c r="BE100" s="259"/>
      <c r="BF100" s="259"/>
      <c r="BG100" s="259"/>
      <c r="BH100" s="259"/>
      <c r="BI100" s="259"/>
      <c r="BJ100" s="259"/>
      <c r="BK100" s="259"/>
      <c r="BL100" s="259"/>
      <c r="BM100" s="259"/>
      <c r="BN100" s="259"/>
      <c r="BO100" s="259"/>
      <c r="BP100" s="259"/>
      <c r="BQ100" s="259"/>
    </row>
    <row r="101" spans="3:69" s="31" customFormat="1">
      <c r="C101" s="22" t="s">
        <v>1213</v>
      </c>
      <c r="E101" s="32"/>
      <c r="F101" s="50" t="s">
        <v>119</v>
      </c>
      <c r="G101" s="270"/>
      <c r="H101" s="271" cm="1">
        <f t="array" aca="1" ref="H101:BO101" ca="1">H503:BO503+H504:BO504</f>
        <v>7614.8283269044705</v>
      </c>
      <c r="I101" s="259">
        <f ca="1"/>
        <v>354.66017433428323</v>
      </c>
      <c r="J101" s="259">
        <f ca="1"/>
        <v>-7969.488501238754</v>
      </c>
      <c r="K101" s="259">
        <f ca="1"/>
        <v>0</v>
      </c>
      <c r="L101" s="259">
        <f ca="1"/>
        <v>0</v>
      </c>
      <c r="M101" s="259">
        <f ca="1"/>
        <v>0</v>
      </c>
      <c r="N101" s="259">
        <f ca="1"/>
        <v>0</v>
      </c>
      <c r="O101" s="259">
        <f ca="1"/>
        <v>0</v>
      </c>
      <c r="P101" s="259">
        <f ca="1"/>
        <v>0</v>
      </c>
      <c r="Q101" s="259">
        <f ca="1"/>
        <v>0</v>
      </c>
      <c r="R101" s="259">
        <f ca="1"/>
        <v>0</v>
      </c>
      <c r="S101" s="259">
        <f ca="1"/>
        <v>0</v>
      </c>
      <c r="T101" s="259">
        <f ca="1"/>
        <v>0</v>
      </c>
      <c r="U101" s="259">
        <f ca="1"/>
        <v>0</v>
      </c>
      <c r="V101" s="259">
        <f ca="1"/>
        <v>0</v>
      </c>
      <c r="W101" s="259">
        <f ca="1"/>
        <v>0</v>
      </c>
      <c r="X101" s="259">
        <f ca="1"/>
        <v>0</v>
      </c>
      <c r="Y101" s="259">
        <f ca="1"/>
        <v>0</v>
      </c>
      <c r="Z101" s="259">
        <f ca="1"/>
        <v>0</v>
      </c>
      <c r="AA101" s="259">
        <f ca="1"/>
        <v>0</v>
      </c>
      <c r="AB101" s="259">
        <f ca="1"/>
        <v>0</v>
      </c>
      <c r="AC101" s="259">
        <f ca="1"/>
        <v>0</v>
      </c>
      <c r="AD101" s="259">
        <f ca="1"/>
        <v>0</v>
      </c>
      <c r="AE101" s="259">
        <f ca="1"/>
        <v>0</v>
      </c>
      <c r="AF101" s="259">
        <f ca="1"/>
        <v>0</v>
      </c>
      <c r="AG101" s="259">
        <f ca="1"/>
        <v>0</v>
      </c>
      <c r="AH101" s="259">
        <f ca="1"/>
        <v>0</v>
      </c>
      <c r="AI101" s="259">
        <f ca="1"/>
        <v>0</v>
      </c>
      <c r="AJ101" s="259">
        <f ca="1"/>
        <v>0</v>
      </c>
      <c r="AK101" s="259">
        <f ca="1"/>
        <v>0</v>
      </c>
      <c r="AL101" s="259">
        <f ca="1"/>
        <v>0</v>
      </c>
      <c r="AM101" s="259">
        <f ca="1"/>
        <v>0</v>
      </c>
      <c r="AN101" s="259">
        <f ca="1"/>
        <v>0</v>
      </c>
      <c r="AO101" s="259">
        <f ca="1"/>
        <v>0</v>
      </c>
      <c r="AP101" s="259">
        <f ca="1"/>
        <v>0</v>
      </c>
      <c r="AQ101" s="259">
        <f ca="1"/>
        <v>0</v>
      </c>
      <c r="AR101" s="259">
        <f ca="1"/>
        <v>0</v>
      </c>
      <c r="AS101" s="259">
        <f ca="1"/>
        <v>0</v>
      </c>
      <c r="AT101" s="259">
        <f ca="1"/>
        <v>0</v>
      </c>
      <c r="AU101" s="259">
        <f ca="1"/>
        <v>0</v>
      </c>
      <c r="AV101" s="259">
        <f ca="1"/>
        <v>0</v>
      </c>
      <c r="AW101" s="259">
        <f ca="1"/>
        <v>0</v>
      </c>
      <c r="AX101" s="259">
        <f ca="1"/>
        <v>0</v>
      </c>
      <c r="AY101" s="259">
        <f ca="1"/>
        <v>0</v>
      </c>
      <c r="AZ101" s="259">
        <f ca="1"/>
        <v>0</v>
      </c>
      <c r="BA101" s="259">
        <f ca="1"/>
        <v>0</v>
      </c>
      <c r="BB101" s="259">
        <f ca="1"/>
        <v>0</v>
      </c>
      <c r="BC101" s="259">
        <f ca="1"/>
        <v>0</v>
      </c>
      <c r="BD101" s="259">
        <f ca="1"/>
        <v>0</v>
      </c>
      <c r="BE101" s="259">
        <f ca="1"/>
        <v>0</v>
      </c>
      <c r="BF101" s="259">
        <f ca="1"/>
        <v>0</v>
      </c>
      <c r="BG101" s="259">
        <f ca="1"/>
        <v>0</v>
      </c>
      <c r="BH101" s="259">
        <f ca="1"/>
        <v>0</v>
      </c>
      <c r="BI101" s="259">
        <f ca="1"/>
        <v>0</v>
      </c>
      <c r="BJ101" s="259">
        <f ca="1"/>
        <v>0</v>
      </c>
      <c r="BK101" s="259">
        <f ca="1"/>
        <v>0</v>
      </c>
      <c r="BL101" s="259">
        <f ca="1"/>
        <v>0</v>
      </c>
      <c r="BM101" s="259">
        <f ca="1"/>
        <v>0</v>
      </c>
      <c r="BN101" s="259">
        <f ca="1"/>
        <v>0</v>
      </c>
      <c r="BO101" s="259">
        <f ca="1"/>
        <v>0</v>
      </c>
      <c r="BP101" s="259"/>
      <c r="BQ101" s="259"/>
    </row>
    <row r="102" spans="3:69" s="31" customFormat="1">
      <c r="C102" s="22" t="s">
        <v>1214</v>
      </c>
      <c r="E102" s="32"/>
      <c r="F102" s="50" t="s">
        <v>119</v>
      </c>
      <c r="G102" s="270"/>
      <c r="H102" s="259" cm="1">
        <f t="array" ref="H102:BO102">H485:BO485+H486:BO486</f>
        <v>-520.83333333333337</v>
      </c>
      <c r="I102" s="259">
        <v>-520.83333333333337</v>
      </c>
      <c r="J102" s="259">
        <v>-520.83333333333337</v>
      </c>
      <c r="K102" s="259">
        <v>-520.83333333333337</v>
      </c>
      <c r="L102" s="259">
        <v>-520.83333333333337</v>
      </c>
      <c r="M102" s="259">
        <v>-520.83333333333337</v>
      </c>
      <c r="N102" s="259">
        <v>-520.83333333333337</v>
      </c>
      <c r="O102" s="259">
        <v>-520.83333333333337</v>
      </c>
      <c r="P102" s="259">
        <v>-520.83333333333337</v>
      </c>
      <c r="Q102" s="259">
        <v>-520.83333333333337</v>
      </c>
      <c r="R102" s="259">
        <v>-520.83333333333337</v>
      </c>
      <c r="S102" s="259">
        <v>-520.83333333333337</v>
      </c>
      <c r="T102" s="259">
        <v>-520.83333333333337</v>
      </c>
      <c r="U102" s="259">
        <v>-520.83333333333337</v>
      </c>
      <c r="V102" s="259">
        <v>-520.83333333333337</v>
      </c>
      <c r="W102" s="259">
        <v>-520.83333333333337</v>
      </c>
      <c r="X102" s="259">
        <v>-520.83333333333337</v>
      </c>
      <c r="Y102" s="259">
        <v>-520.83333333333337</v>
      </c>
      <c r="Z102" s="259">
        <v>-520.83333333333337</v>
      </c>
      <c r="AA102" s="259">
        <v>-520.83333333333337</v>
      </c>
      <c r="AB102" s="259">
        <v>-520.83333333333337</v>
      </c>
      <c r="AC102" s="259">
        <v>-520.83333333333337</v>
      </c>
      <c r="AD102" s="259">
        <v>-520.83333333333337</v>
      </c>
      <c r="AE102" s="259">
        <v>-520.83333333333337</v>
      </c>
      <c r="AF102" s="259">
        <v>-520.83333333333337</v>
      </c>
      <c r="AG102" s="259">
        <v>-520.83333333333337</v>
      </c>
      <c r="AH102" s="259">
        <v>-520.83333333333337</v>
      </c>
      <c r="AI102" s="259">
        <v>-520.83333333333337</v>
      </c>
      <c r="AJ102" s="259">
        <v>-520.83333333333337</v>
      </c>
      <c r="AK102" s="259">
        <v>-520.83333333333337</v>
      </c>
      <c r="AL102" s="259">
        <v>-520.83333333333337</v>
      </c>
      <c r="AM102" s="259">
        <v>-520.83333333333337</v>
      </c>
      <c r="AN102" s="259">
        <v>-520.83333333333337</v>
      </c>
      <c r="AO102" s="259">
        <v>-520.83333333333337</v>
      </c>
      <c r="AP102" s="259">
        <v>-520.83333333333337</v>
      </c>
      <c r="AQ102" s="259">
        <v>-520.83333333333337</v>
      </c>
      <c r="AR102" s="259">
        <v>-520.83333333333337</v>
      </c>
      <c r="AS102" s="259">
        <v>-520.83333333333337</v>
      </c>
      <c r="AT102" s="259">
        <v>-520.83333333333337</v>
      </c>
      <c r="AU102" s="259">
        <v>-520.83333333333337</v>
      </c>
      <c r="AV102" s="259">
        <v>-520.83333333333337</v>
      </c>
      <c r="AW102" s="259">
        <v>-520.83333333333337</v>
      </c>
      <c r="AX102" s="259">
        <v>-520.83333333333337</v>
      </c>
      <c r="AY102" s="259">
        <v>-520.83333333333337</v>
      </c>
      <c r="AZ102" s="259">
        <v>-520.83333333333337</v>
      </c>
      <c r="BA102" s="259">
        <v>-520.83333333333337</v>
      </c>
      <c r="BB102" s="259">
        <v>-520.83333333333337</v>
      </c>
      <c r="BC102" s="259">
        <v>-520.83333333333337</v>
      </c>
      <c r="BD102" s="259">
        <v>-520.83333333333337</v>
      </c>
      <c r="BE102" s="259">
        <v>-520.83333333333337</v>
      </c>
      <c r="BF102" s="259">
        <v>-520.83333333333337</v>
      </c>
      <c r="BG102" s="259">
        <v>-520.83333333333337</v>
      </c>
      <c r="BH102" s="259">
        <v>-520.83333333333337</v>
      </c>
      <c r="BI102" s="259">
        <v>-520.83333333333337</v>
      </c>
      <c r="BJ102" s="259">
        <v>-520.83333333333337</v>
      </c>
      <c r="BK102" s="259">
        <v>-520.83333333333337</v>
      </c>
      <c r="BL102" s="259">
        <v>-520.83333333333337</v>
      </c>
      <c r="BM102" s="259">
        <v>-520.83333333333337</v>
      </c>
      <c r="BN102" s="259">
        <v>-520.83333333333337</v>
      </c>
      <c r="BO102" s="259">
        <v>-520.83333333333337</v>
      </c>
      <c r="BP102" s="259"/>
      <c r="BQ102" s="259"/>
    </row>
    <row r="103" spans="3:69" s="31" customFormat="1">
      <c r="C103" s="22" t="s">
        <v>1215</v>
      </c>
      <c r="E103" s="32"/>
      <c r="F103" s="50" t="s">
        <v>119</v>
      </c>
      <c r="G103" s="270"/>
      <c r="H103" s="259" cm="1">
        <f t="array" ref="H103:BO103">H496:BO496+H497:BO497</f>
        <v>-250</v>
      </c>
      <c r="I103" s="259">
        <v>-250</v>
      </c>
      <c r="J103" s="259">
        <v>-250</v>
      </c>
      <c r="K103" s="259">
        <v>-250</v>
      </c>
      <c r="L103" s="259">
        <v>-250</v>
      </c>
      <c r="M103" s="259">
        <v>-250</v>
      </c>
      <c r="N103" s="259">
        <v>-250</v>
      </c>
      <c r="O103" s="259">
        <v>-250</v>
      </c>
      <c r="P103" s="259">
        <v>-250</v>
      </c>
      <c r="Q103" s="259">
        <v>-250</v>
      </c>
      <c r="R103" s="259">
        <v>-250</v>
      </c>
      <c r="S103" s="259">
        <v>-250</v>
      </c>
      <c r="T103" s="259">
        <v>-250</v>
      </c>
      <c r="U103" s="259">
        <v>-250</v>
      </c>
      <c r="V103" s="259">
        <v>-250</v>
      </c>
      <c r="W103" s="259">
        <v>-250</v>
      </c>
      <c r="X103" s="259">
        <v>-250</v>
      </c>
      <c r="Y103" s="259">
        <v>-250</v>
      </c>
      <c r="Z103" s="259">
        <v>-250</v>
      </c>
      <c r="AA103" s="259">
        <v>-250</v>
      </c>
      <c r="AB103" s="259">
        <v>-250</v>
      </c>
      <c r="AC103" s="259">
        <v>-250</v>
      </c>
      <c r="AD103" s="259">
        <v>-250</v>
      </c>
      <c r="AE103" s="259">
        <v>-250</v>
      </c>
      <c r="AF103" s="259">
        <v>-250</v>
      </c>
      <c r="AG103" s="259">
        <v>-250</v>
      </c>
      <c r="AH103" s="259">
        <v>-250</v>
      </c>
      <c r="AI103" s="259">
        <v>-250</v>
      </c>
      <c r="AJ103" s="259">
        <v>-250</v>
      </c>
      <c r="AK103" s="259">
        <v>-250</v>
      </c>
      <c r="AL103" s="259">
        <v>-250</v>
      </c>
      <c r="AM103" s="259">
        <v>-250</v>
      </c>
      <c r="AN103" s="259">
        <v>-250</v>
      </c>
      <c r="AO103" s="259">
        <v>-250</v>
      </c>
      <c r="AP103" s="259">
        <v>-250</v>
      </c>
      <c r="AQ103" s="259">
        <v>-250</v>
      </c>
      <c r="AR103" s="259">
        <v>-250</v>
      </c>
      <c r="AS103" s="259">
        <v>-250</v>
      </c>
      <c r="AT103" s="259">
        <v>-250</v>
      </c>
      <c r="AU103" s="259">
        <v>-250</v>
      </c>
      <c r="AV103" s="259">
        <v>-250</v>
      </c>
      <c r="AW103" s="259">
        <v>-250</v>
      </c>
      <c r="AX103" s="259">
        <v>-250</v>
      </c>
      <c r="AY103" s="259">
        <v>-250</v>
      </c>
      <c r="AZ103" s="259">
        <v>-250</v>
      </c>
      <c r="BA103" s="259">
        <v>-250</v>
      </c>
      <c r="BB103" s="259">
        <v>-250</v>
      </c>
      <c r="BC103" s="259">
        <v>-250</v>
      </c>
      <c r="BD103" s="259">
        <v>-250</v>
      </c>
      <c r="BE103" s="259">
        <v>-250</v>
      </c>
      <c r="BF103" s="259">
        <v>-250</v>
      </c>
      <c r="BG103" s="259">
        <v>-250</v>
      </c>
      <c r="BH103" s="259">
        <v>-250</v>
      </c>
      <c r="BI103" s="259">
        <v>-250</v>
      </c>
      <c r="BJ103" s="259">
        <v>-250</v>
      </c>
      <c r="BK103" s="259">
        <v>-250</v>
      </c>
      <c r="BL103" s="259">
        <v>-250</v>
      </c>
      <c r="BM103" s="259">
        <v>-250</v>
      </c>
      <c r="BN103" s="259">
        <v>-250</v>
      </c>
      <c r="BO103" s="259">
        <v>-250</v>
      </c>
      <c r="BP103" s="259"/>
      <c r="BQ103" s="259"/>
    </row>
    <row r="104" spans="3:69" s="31" customFormat="1">
      <c r="C104" s="22" t="s">
        <v>1216</v>
      </c>
      <c r="E104" s="32"/>
      <c r="F104" s="50" t="s">
        <v>119</v>
      </c>
      <c r="G104" s="270"/>
      <c r="H104" s="259" cm="1">
        <f t="array" ref="H104:BO104">H528:BO528+H529:BO529</f>
        <v>0</v>
      </c>
      <c r="I104" s="259">
        <v>0</v>
      </c>
      <c r="J104" s="259">
        <v>0</v>
      </c>
      <c r="K104" s="259">
        <v>0</v>
      </c>
      <c r="L104" s="259">
        <v>0</v>
      </c>
      <c r="M104" s="259">
        <v>0</v>
      </c>
      <c r="N104" s="259">
        <v>0</v>
      </c>
      <c r="O104" s="259">
        <v>0</v>
      </c>
      <c r="P104" s="259">
        <v>0</v>
      </c>
      <c r="Q104" s="259">
        <v>0</v>
      </c>
      <c r="R104" s="259">
        <v>0</v>
      </c>
      <c r="S104" s="259">
        <v>0</v>
      </c>
      <c r="T104" s="259">
        <v>0</v>
      </c>
      <c r="U104" s="259">
        <v>0</v>
      </c>
      <c r="V104" s="259">
        <v>0</v>
      </c>
      <c r="W104" s="259">
        <v>0</v>
      </c>
      <c r="X104" s="259">
        <v>0</v>
      </c>
      <c r="Y104" s="259">
        <v>0</v>
      </c>
      <c r="Z104" s="259">
        <v>0</v>
      </c>
      <c r="AA104" s="259">
        <v>0</v>
      </c>
      <c r="AB104" s="259">
        <v>0</v>
      </c>
      <c r="AC104" s="259">
        <v>0</v>
      </c>
      <c r="AD104" s="259">
        <v>0</v>
      </c>
      <c r="AE104" s="259">
        <v>0</v>
      </c>
      <c r="AF104" s="259">
        <v>0</v>
      </c>
      <c r="AG104" s="259">
        <v>0</v>
      </c>
      <c r="AH104" s="259">
        <v>0</v>
      </c>
      <c r="AI104" s="259">
        <v>0</v>
      </c>
      <c r="AJ104" s="259">
        <v>0</v>
      </c>
      <c r="AK104" s="259">
        <v>0</v>
      </c>
      <c r="AL104" s="259">
        <v>0</v>
      </c>
      <c r="AM104" s="259">
        <v>0</v>
      </c>
      <c r="AN104" s="259">
        <v>0</v>
      </c>
      <c r="AO104" s="259">
        <v>0</v>
      </c>
      <c r="AP104" s="259">
        <v>0</v>
      </c>
      <c r="AQ104" s="259">
        <v>0</v>
      </c>
      <c r="AR104" s="259">
        <v>0</v>
      </c>
      <c r="AS104" s="259">
        <v>0</v>
      </c>
      <c r="AT104" s="259">
        <v>0</v>
      </c>
      <c r="AU104" s="259">
        <v>0</v>
      </c>
      <c r="AV104" s="259">
        <v>0</v>
      </c>
      <c r="AW104" s="259">
        <v>0</v>
      </c>
      <c r="AX104" s="259">
        <v>0</v>
      </c>
      <c r="AY104" s="259">
        <v>0</v>
      </c>
      <c r="AZ104" s="259">
        <v>0</v>
      </c>
      <c r="BA104" s="259">
        <v>0</v>
      </c>
      <c r="BB104" s="259">
        <v>0</v>
      </c>
      <c r="BC104" s="259">
        <v>0</v>
      </c>
      <c r="BD104" s="259">
        <v>0</v>
      </c>
      <c r="BE104" s="259">
        <v>0</v>
      </c>
      <c r="BF104" s="259">
        <v>0</v>
      </c>
      <c r="BG104" s="259">
        <v>0</v>
      </c>
      <c r="BH104" s="259">
        <v>0</v>
      </c>
      <c r="BI104" s="259">
        <v>0</v>
      </c>
      <c r="BJ104" s="259">
        <v>0</v>
      </c>
      <c r="BK104" s="259">
        <v>0</v>
      </c>
      <c r="BL104" s="259">
        <v>0</v>
      </c>
      <c r="BM104" s="259">
        <v>0</v>
      </c>
      <c r="BN104" s="259">
        <v>0</v>
      </c>
      <c r="BO104" s="259">
        <v>0</v>
      </c>
      <c r="BP104" s="259"/>
      <c r="BQ104" s="259"/>
    </row>
    <row r="105" spans="3:69" s="31" customFormat="1">
      <c r="C105" s="22" t="s">
        <v>1217</v>
      </c>
      <c r="E105" s="32"/>
      <c r="F105" s="50" t="s">
        <v>119</v>
      </c>
      <c r="G105" s="270"/>
      <c r="H105" s="259" cm="1">
        <f t="array" aca="1" ref="H105:BO105" ca="1">_xlfn.ANCHORARRAY(H535)</f>
        <v>-294.57039357111012</v>
      </c>
      <c r="I105" s="259">
        <f ca="1"/>
        <v>267.48444542508031</v>
      </c>
      <c r="J105" s="259">
        <f ca="1"/>
        <v>-2453.7474254255817</v>
      </c>
      <c r="K105" s="259">
        <f ca="1"/>
        <v>-2481.4277227765692</v>
      </c>
      <c r="L105" s="259">
        <f ca="1"/>
        <v>-2485.8705016254512</v>
      </c>
      <c r="M105" s="259">
        <f ca="1"/>
        <v>-2483.3695725543425</v>
      </c>
      <c r="N105" s="259">
        <f ca="1"/>
        <v>-2489.4966342149251</v>
      </c>
      <c r="O105" s="259">
        <f ca="1"/>
        <v>-2495.8730635268348</v>
      </c>
      <c r="P105" s="259">
        <f ca="1"/>
        <v>-2501.9753010651375</v>
      </c>
      <c r="Q105" s="259">
        <f ca="1"/>
        <v>-2511.5560634190219</v>
      </c>
      <c r="R105" s="259">
        <f ca="1"/>
        <v>-2518.7904759879166</v>
      </c>
      <c r="S105" s="259">
        <f ca="1"/>
        <v>-8028.3623155390114</v>
      </c>
      <c r="T105" s="259">
        <f ca="1"/>
        <v>-374.56327902996708</v>
      </c>
      <c r="U105" s="259">
        <f ca="1"/>
        <v>189.54113981525035</v>
      </c>
      <c r="V105" s="259">
        <f ca="1"/>
        <v>-2655.5986792406779</v>
      </c>
      <c r="W105" s="259">
        <f ca="1"/>
        <v>-2660.3580704940964</v>
      </c>
      <c r="X105" s="259">
        <f ca="1"/>
        <v>-2667.3841564636432</v>
      </c>
      <c r="Y105" s="259">
        <f ca="1"/>
        <v>-2673.9697042896905</v>
      </c>
      <c r="Z105" s="259">
        <f ca="1"/>
        <v>-2680.0482170622713</v>
      </c>
      <c r="AA105" s="259">
        <f ca="1"/>
        <v>-2686.1564326150019</v>
      </c>
      <c r="AB105" s="259">
        <f ca="1"/>
        <v>-2688.0629902126984</v>
      </c>
      <c r="AC105" s="259">
        <f ca="1"/>
        <v>-2694.8239252412177</v>
      </c>
      <c r="AD105" s="259">
        <f ca="1"/>
        <v>-2700.9826421801054</v>
      </c>
      <c r="AE105" s="259">
        <f ca="1"/>
        <v>-8420.0096030377827</v>
      </c>
      <c r="AF105" s="259">
        <f ca="1"/>
        <v>-459.69524058764574</v>
      </c>
      <c r="AG105" s="259">
        <f ca="1"/>
        <v>128.28245570108123</v>
      </c>
      <c r="AH105" s="259">
        <f ca="1"/>
        <v>-2833.0540821714426</v>
      </c>
      <c r="AI105" s="259">
        <f ca="1"/>
        <v>-2839.4551353595189</v>
      </c>
      <c r="AJ105" s="259">
        <f ca="1"/>
        <v>-2843.9460813540345</v>
      </c>
      <c r="AK105" s="259">
        <f ca="1"/>
        <v>-2850.5802557944417</v>
      </c>
      <c r="AL105" s="259">
        <f ca="1"/>
        <v>-2855.1079611252344</v>
      </c>
      <c r="AM105" s="259">
        <f ca="1"/>
        <v>-2857.2169545796864</v>
      </c>
      <c r="AN105" s="259">
        <f ca="1"/>
        <v>-2863.5315155454077</v>
      </c>
      <c r="AO105" s="259">
        <f ca="1"/>
        <v>-2870.1106306524202</v>
      </c>
      <c r="AP105" s="259">
        <f ca="1"/>
        <v>-2876.398855706791</v>
      </c>
      <c r="AQ105" s="259">
        <f ca="1"/>
        <v>-8847.6762138999748</v>
      </c>
      <c r="AR105" s="259">
        <f ca="1"/>
        <v>-1669.5507818382316</v>
      </c>
      <c r="AS105" s="259">
        <f ca="1"/>
        <v>-1059.004274732119</v>
      </c>
      <c r="AT105" s="259">
        <f ca="1"/>
        <v>-4140.0444658830693</v>
      </c>
      <c r="AU105" s="259">
        <f ca="1"/>
        <v>-4145.9189817683873</v>
      </c>
      <c r="AV105" s="259">
        <f ca="1"/>
        <v>-4153.0437650231097</v>
      </c>
      <c r="AW105" s="259">
        <f ca="1"/>
        <v>-4147.6537501110924</v>
      </c>
      <c r="AX105" s="259">
        <f ca="1"/>
        <v>-4154.9751309661788</v>
      </c>
      <c r="AY105" s="259">
        <f ca="1"/>
        <v>-4161.829144904832</v>
      </c>
      <c r="AZ105" s="259">
        <f ca="1"/>
        <v>-4168.1452453552756</v>
      </c>
      <c r="BA105" s="259">
        <f ca="1"/>
        <v>-4174.4928574851601</v>
      </c>
      <c r="BB105" s="259">
        <f ca="1"/>
        <v>-4178.7365947140224</v>
      </c>
      <c r="BC105" s="259">
        <f ca="1"/>
        <v>-10389.896127890479</v>
      </c>
      <c r="BD105" s="259">
        <f ca="1"/>
        <v>-1762.3130995965003</v>
      </c>
      <c r="BE105" s="259">
        <f ca="1"/>
        <v>-1126.9287516226063</v>
      </c>
      <c r="BF105" s="259">
        <f ca="1"/>
        <v>-4333.5157425621564</v>
      </c>
      <c r="BG105" s="259">
        <f ca="1"/>
        <v>-4337.9542623265825</v>
      </c>
      <c r="BH105" s="259">
        <f ca="1"/>
        <v>-4347.1762939309228</v>
      </c>
      <c r="BI105" s="259">
        <f ca="1"/>
        <v>-4353.8787816748136</v>
      </c>
      <c r="BJ105" s="259">
        <f ca="1"/>
        <v>-4358.554836697047</v>
      </c>
      <c r="BK105" s="259">
        <f ca="1"/>
        <v>-4365.5046427775578</v>
      </c>
      <c r="BL105" s="259">
        <f ca="1"/>
        <v>-4370.2196957796523</v>
      </c>
      <c r="BM105" s="259">
        <f ca="1"/>
        <v>-4372.3687373521543</v>
      </c>
      <c r="BN105" s="259">
        <f ca="1"/>
        <v>-4378.9794654973521</v>
      </c>
      <c r="BO105" s="259">
        <f ca="1"/>
        <v>-10843.830459495</v>
      </c>
      <c r="BP105" s="259"/>
      <c r="BQ105" s="259"/>
    </row>
    <row r="106" spans="3:69" s="31" customFormat="1">
      <c r="C106" s="70" t="s">
        <v>1218</v>
      </c>
      <c r="D106" s="70"/>
      <c r="E106" s="71"/>
      <c r="F106" s="72" t="s">
        <v>119</v>
      </c>
      <c r="G106" s="268"/>
      <c r="H106" s="269">
        <f ca="1">SUM(H101:H105)</f>
        <v>6549.4246000000276</v>
      </c>
      <c r="I106" s="269">
        <f t="shared" ref="I106:BO106" ca="1" si="73">SUM(I101:I105)</f>
        <v>-148.68871357396984</v>
      </c>
      <c r="J106" s="269">
        <f t="shared" ca="1" si="73"/>
        <v>-11194.069259997668</v>
      </c>
      <c r="K106" s="269">
        <f t="shared" ca="1" si="73"/>
        <v>-3252.2610561099027</v>
      </c>
      <c r="L106" s="269">
        <f t="shared" ca="1" si="73"/>
        <v>-3256.7038349587847</v>
      </c>
      <c r="M106" s="269">
        <f t="shared" ca="1" si="73"/>
        <v>-3254.202905887676</v>
      </c>
      <c r="N106" s="269">
        <f t="shared" ca="1" si="73"/>
        <v>-3260.3299675482585</v>
      </c>
      <c r="O106" s="269">
        <f t="shared" ca="1" si="73"/>
        <v>-3266.7063968601683</v>
      </c>
      <c r="P106" s="269">
        <f t="shared" ca="1" si="73"/>
        <v>-3272.808634398471</v>
      </c>
      <c r="Q106" s="269">
        <f t="shared" ca="1" si="73"/>
        <v>-3282.3893967523554</v>
      </c>
      <c r="R106" s="269">
        <f t="shared" ca="1" si="73"/>
        <v>-3289.6238093212501</v>
      </c>
      <c r="S106" s="269">
        <f t="shared" ca="1" si="73"/>
        <v>-8799.1956488723445</v>
      </c>
      <c r="T106" s="269">
        <f t="shared" ca="1" si="73"/>
        <v>-1145.3966123633004</v>
      </c>
      <c r="U106" s="269">
        <f t="shared" ca="1" si="73"/>
        <v>-581.29219351808297</v>
      </c>
      <c r="V106" s="269">
        <f t="shared" ca="1" si="73"/>
        <v>-3426.4320125740114</v>
      </c>
      <c r="W106" s="269">
        <f t="shared" ca="1" si="73"/>
        <v>-3431.1914038274299</v>
      </c>
      <c r="X106" s="269">
        <f t="shared" ca="1" si="73"/>
        <v>-3438.2174897969767</v>
      </c>
      <c r="Y106" s="269">
        <f t="shared" ca="1" si="73"/>
        <v>-3444.803037623024</v>
      </c>
      <c r="Z106" s="269">
        <f t="shared" ca="1" si="73"/>
        <v>-3450.8815503956048</v>
      </c>
      <c r="AA106" s="269">
        <f t="shared" ca="1" si="73"/>
        <v>-3456.9897659483354</v>
      </c>
      <c r="AB106" s="269">
        <f t="shared" ca="1" si="73"/>
        <v>-3458.8963235460319</v>
      </c>
      <c r="AC106" s="269">
        <f t="shared" ca="1" si="73"/>
        <v>-3465.6572585745512</v>
      </c>
      <c r="AD106" s="269">
        <f t="shared" ca="1" si="73"/>
        <v>-3471.8159755134388</v>
      </c>
      <c r="AE106" s="269">
        <f t="shared" ca="1" si="73"/>
        <v>-9190.8429363711166</v>
      </c>
      <c r="AF106" s="269">
        <f t="shared" ca="1" si="73"/>
        <v>-1230.5285739209792</v>
      </c>
      <c r="AG106" s="269">
        <f t="shared" ca="1" si="73"/>
        <v>-642.5508776322522</v>
      </c>
      <c r="AH106" s="269">
        <f t="shared" ca="1" si="73"/>
        <v>-3603.8874155047761</v>
      </c>
      <c r="AI106" s="269">
        <f t="shared" ca="1" si="73"/>
        <v>-3610.2884686928523</v>
      </c>
      <c r="AJ106" s="269">
        <f t="shared" ca="1" si="73"/>
        <v>-3614.779414687368</v>
      </c>
      <c r="AK106" s="269">
        <f t="shared" ca="1" si="73"/>
        <v>-3621.4135891277751</v>
      </c>
      <c r="AL106" s="269">
        <f t="shared" ca="1" si="73"/>
        <v>-3625.9412944585679</v>
      </c>
      <c r="AM106" s="269">
        <f t="shared" ca="1" si="73"/>
        <v>-3628.0502879130199</v>
      </c>
      <c r="AN106" s="269">
        <f t="shared" ca="1" si="73"/>
        <v>-3634.3648488787412</v>
      </c>
      <c r="AO106" s="269">
        <f t="shared" ca="1" si="73"/>
        <v>-3640.9439639857537</v>
      </c>
      <c r="AP106" s="269">
        <f t="shared" ca="1" si="73"/>
        <v>-3647.2321890401245</v>
      </c>
      <c r="AQ106" s="269">
        <f t="shared" ca="1" si="73"/>
        <v>-9618.5095472333087</v>
      </c>
      <c r="AR106" s="269">
        <f t="shared" ca="1" si="73"/>
        <v>-2440.3841151715651</v>
      </c>
      <c r="AS106" s="269">
        <f t="shared" ca="1" si="73"/>
        <v>-1829.8376080654525</v>
      </c>
      <c r="AT106" s="269">
        <f t="shared" ca="1" si="73"/>
        <v>-4910.8777992164023</v>
      </c>
      <c r="AU106" s="269">
        <f t="shared" ca="1" si="73"/>
        <v>-4916.7523151017203</v>
      </c>
      <c r="AV106" s="269">
        <f t="shared" ca="1" si="73"/>
        <v>-4923.8770983564427</v>
      </c>
      <c r="AW106" s="269">
        <f t="shared" ca="1" si="73"/>
        <v>-4918.4870834444255</v>
      </c>
      <c r="AX106" s="269">
        <f t="shared" ca="1" si="73"/>
        <v>-4925.8084642995118</v>
      </c>
      <c r="AY106" s="269">
        <f t="shared" ca="1" si="73"/>
        <v>-4932.662478238165</v>
      </c>
      <c r="AZ106" s="269">
        <f t="shared" ca="1" si="73"/>
        <v>-4938.9785786886086</v>
      </c>
      <c r="BA106" s="269">
        <f t="shared" ca="1" si="73"/>
        <v>-4945.3261908184932</v>
      </c>
      <c r="BB106" s="269">
        <f t="shared" ca="1" si="73"/>
        <v>-4949.5699280473555</v>
      </c>
      <c r="BC106" s="269">
        <f t="shared" ca="1" si="73"/>
        <v>-11160.729461223813</v>
      </c>
      <c r="BD106" s="269">
        <f t="shared" ca="1" si="73"/>
        <v>-2533.1464329298337</v>
      </c>
      <c r="BE106" s="269">
        <f t="shared" ca="1" si="73"/>
        <v>-1897.7620849559398</v>
      </c>
      <c r="BF106" s="269">
        <f t="shared" ca="1" si="73"/>
        <v>-5104.3490758954895</v>
      </c>
      <c r="BG106" s="269">
        <f t="shared" ca="1" si="73"/>
        <v>-5108.7875956599155</v>
      </c>
      <c r="BH106" s="269">
        <f t="shared" ca="1" si="73"/>
        <v>-5118.0096272642559</v>
      </c>
      <c r="BI106" s="269">
        <f t="shared" ca="1" si="73"/>
        <v>-5124.7121150081466</v>
      </c>
      <c r="BJ106" s="269">
        <f t="shared" ca="1" si="73"/>
        <v>-5129.38817003038</v>
      </c>
      <c r="BK106" s="269">
        <f t="shared" ca="1" si="73"/>
        <v>-5136.3379761108908</v>
      </c>
      <c r="BL106" s="269">
        <f t="shared" ca="1" si="73"/>
        <v>-5141.0530291129853</v>
      </c>
      <c r="BM106" s="269">
        <f t="shared" ca="1" si="73"/>
        <v>-5143.2020706854873</v>
      </c>
      <c r="BN106" s="269">
        <f t="shared" ca="1" si="73"/>
        <v>-5149.8127988306851</v>
      </c>
      <c r="BO106" s="269">
        <f t="shared" ca="1" si="73"/>
        <v>-11614.663792828334</v>
      </c>
      <c r="BP106" s="352"/>
      <c r="BQ106" s="352"/>
    </row>
    <row r="107" spans="3:69" s="31" customFormat="1">
      <c r="E107" s="32"/>
      <c r="F107" s="33"/>
      <c r="G107" s="270"/>
      <c r="H107" s="259"/>
      <c r="I107" s="259"/>
      <c r="J107" s="259"/>
      <c r="K107" s="259"/>
      <c r="L107" s="259"/>
      <c r="M107" s="259"/>
      <c r="N107" s="259"/>
      <c r="O107" s="259"/>
      <c r="P107" s="259"/>
      <c r="Q107" s="259"/>
      <c r="R107" s="259"/>
      <c r="S107" s="259"/>
      <c r="T107" s="259"/>
      <c r="U107" s="259"/>
      <c r="V107" s="259"/>
      <c r="W107" s="259"/>
      <c r="X107" s="259"/>
      <c r="Y107" s="259"/>
      <c r="Z107" s="259"/>
      <c r="AA107" s="259"/>
      <c r="AB107" s="259"/>
      <c r="AC107" s="259"/>
      <c r="AD107" s="259"/>
      <c r="AE107" s="259"/>
      <c r="AF107" s="259"/>
      <c r="AG107" s="259"/>
      <c r="AH107" s="259"/>
      <c r="AI107" s="259"/>
      <c r="AJ107" s="259"/>
      <c r="AK107" s="259"/>
      <c r="AL107" s="259"/>
      <c r="AM107" s="259"/>
      <c r="AN107" s="259"/>
      <c r="AO107" s="259"/>
      <c r="AP107" s="259"/>
      <c r="AQ107" s="259"/>
      <c r="AR107" s="259"/>
      <c r="AS107" s="259"/>
      <c r="AT107" s="259"/>
      <c r="AU107" s="259"/>
      <c r="AV107" s="259"/>
      <c r="AW107" s="259"/>
      <c r="AX107" s="259"/>
      <c r="AY107" s="259"/>
      <c r="AZ107" s="259"/>
      <c r="BA107" s="259"/>
      <c r="BB107" s="259"/>
      <c r="BC107" s="259"/>
      <c r="BD107" s="259"/>
      <c r="BE107" s="259"/>
      <c r="BF107" s="259"/>
      <c r="BG107" s="259"/>
      <c r="BH107" s="259"/>
      <c r="BI107" s="259"/>
      <c r="BJ107" s="259"/>
      <c r="BK107" s="259"/>
      <c r="BL107" s="259"/>
      <c r="BM107" s="259"/>
      <c r="BN107" s="259"/>
      <c r="BO107" s="259"/>
      <c r="BP107" s="259"/>
      <c r="BQ107" s="259"/>
    </row>
    <row r="108" spans="3:69" s="31" customFormat="1">
      <c r="C108" s="247" t="s">
        <v>1219</v>
      </c>
      <c r="D108" s="247"/>
      <c r="E108" s="248"/>
      <c r="F108" s="232"/>
      <c r="G108" s="272"/>
      <c r="H108" s="224" cm="1">
        <f t="array" aca="1" ref="H108:BO108" ca="1">H95:BO95+H99:BO99+H106:BO106</f>
        <v>-10000</v>
      </c>
      <c r="I108" s="224">
        <f ca="1"/>
        <v>0</v>
      </c>
      <c r="J108" s="224">
        <f ca="1"/>
        <v>6112.9615849343863</v>
      </c>
      <c r="K108" s="224">
        <f ca="1"/>
        <v>4386.0297685879195</v>
      </c>
      <c r="L108" s="224">
        <f ca="1"/>
        <v>4368.7898050387948</v>
      </c>
      <c r="M108" s="224">
        <f ca="1"/>
        <v>4344.4078251409874</v>
      </c>
      <c r="N108" s="224">
        <f ca="1"/>
        <v>4385.9364668766984</v>
      </c>
      <c r="O108" s="224">
        <f ca="1"/>
        <v>4394.9936721234244</v>
      </c>
      <c r="P108" s="224">
        <f ca="1"/>
        <v>4401.511236119255</v>
      </c>
      <c r="Q108" s="224">
        <f ca="1"/>
        <v>4430.1524206557087</v>
      </c>
      <c r="R108" s="224">
        <f ca="1"/>
        <v>4424.4000119612228</v>
      </c>
      <c r="S108" s="224">
        <f ca="1"/>
        <v>29662.631959328595</v>
      </c>
      <c r="T108" s="224">
        <f ca="1"/>
        <v>-26874.790778501596</v>
      </c>
      <c r="U108" s="224">
        <f ca="1"/>
        <v>-328.86250844617535</v>
      </c>
      <c r="V108" s="224">
        <f ca="1"/>
        <v>14739.804539584275</v>
      </c>
      <c r="W108" s="224">
        <f ca="1"/>
        <v>4565.1873890983852</v>
      </c>
      <c r="X108" s="224">
        <f ca="1"/>
        <v>4577.5729781356476</v>
      </c>
      <c r="Y108" s="224">
        <f ca="1"/>
        <v>4585.6633301319471</v>
      </c>
      <c r="Z108" s="224">
        <f ca="1"/>
        <v>4592.466558074655</v>
      </c>
      <c r="AA108" s="224">
        <f ca="1"/>
        <v>4599.4786687115484</v>
      </c>
      <c r="AB108" s="224">
        <f ca="1"/>
        <v>4588.1551837950847</v>
      </c>
      <c r="AC108" s="224">
        <f ca="1"/>
        <v>4613.7412215517252</v>
      </c>
      <c r="AD108" s="224">
        <f ca="1"/>
        <v>4620.6924501277226</v>
      </c>
      <c r="AE108" s="224">
        <f ca="1"/>
        <v>30826.605988259049</v>
      </c>
      <c r="AF108" s="224">
        <f ca="1"/>
        <v>-27945.044910990393</v>
      </c>
      <c r="AG108" s="224">
        <f ca="1"/>
        <v>-341.53168869504907</v>
      </c>
      <c r="AH108" s="224">
        <f ca="1"/>
        <v>15353.670607083472</v>
      </c>
      <c r="AI108" s="224">
        <f ca="1"/>
        <v>4763.7892227627763</v>
      </c>
      <c r="AJ108" s="224">
        <f ca="1"/>
        <v>4764.1136415014789</v>
      </c>
      <c r="AK108" s="224">
        <f ca="1"/>
        <v>4781.352479686082</v>
      </c>
      <c r="AL108" s="224">
        <f ca="1"/>
        <v>4774.1500707414361</v>
      </c>
      <c r="AM108" s="224">
        <f ca="1"/>
        <v>4771.3639328019308</v>
      </c>
      <c r="AN108" s="224">
        <f ca="1"/>
        <v>4796.9175546412234</v>
      </c>
      <c r="AO108" s="224">
        <f ca="1"/>
        <v>4806.3407049375328</v>
      </c>
      <c r="AP108" s="224">
        <f ca="1"/>
        <v>4813.0695498307332</v>
      </c>
      <c r="AQ108" s="224">
        <f ca="1"/>
        <v>32180.966285103528</v>
      </c>
      <c r="AR108" s="224">
        <f ca="1"/>
        <v>-30196.14940589148</v>
      </c>
      <c r="AS108" s="224">
        <f ca="1"/>
        <v>-1996.2047538276506</v>
      </c>
      <c r="AT108" s="224">
        <f ca="1"/>
        <v>14325.154101375701</v>
      </c>
      <c r="AU108" s="224">
        <f ca="1"/>
        <v>3309.6445802454773</v>
      </c>
      <c r="AV108" s="224">
        <f ca="1"/>
        <v>3320.1717599109543</v>
      </c>
      <c r="AW108" s="224">
        <f ca="1"/>
        <v>3273.522182743437</v>
      </c>
      <c r="AX108" s="224">
        <f ca="1"/>
        <v>3325.3054899252702</v>
      </c>
      <c r="AY108" s="224">
        <f ca="1"/>
        <v>3333.7559506081279</v>
      </c>
      <c r="AZ108" s="224">
        <f ca="1"/>
        <v>3340.840901382483</v>
      </c>
      <c r="BA108" s="224">
        <f ca="1"/>
        <v>3348.147455807225</v>
      </c>
      <c r="BB108" s="224">
        <f ca="1"/>
        <v>3346.6252294651613</v>
      </c>
      <c r="BC108" s="224">
        <f ca="1"/>
        <v>31812.012354504252</v>
      </c>
      <c r="BD108" s="224">
        <f ca="1"/>
        <v>-31928.268244499868</v>
      </c>
      <c r="BE108" s="224">
        <f ca="1"/>
        <v>-1995.9954740719184</v>
      </c>
      <c r="BF108" s="224">
        <f ca="1"/>
        <v>14984.080858840694</v>
      </c>
      <c r="BG108" s="224">
        <f ca="1"/>
        <v>3508.6462129157617</v>
      </c>
      <c r="BH108" s="224">
        <f ca="1"/>
        <v>3543.0601218347101</v>
      </c>
      <c r="BI108" s="224">
        <f ca="1"/>
        <v>3539.3505060125181</v>
      </c>
      <c r="BJ108" s="224">
        <f ca="1"/>
        <v>3539.6062922690408</v>
      </c>
      <c r="BK108" s="224">
        <f ca="1"/>
        <v>3557.8065861157493</v>
      </c>
      <c r="BL108" s="224">
        <f ca="1"/>
        <v>3550.0771608830273</v>
      </c>
      <c r="BM108" s="224">
        <f ca="1"/>
        <v>3547.0329575596206</v>
      </c>
      <c r="BN108" s="224">
        <f ca="1"/>
        <v>3574.0544053856784</v>
      </c>
      <c r="BO108" s="224">
        <f ca="1"/>
        <v>33196.034536356456</v>
      </c>
      <c r="BP108" s="352"/>
      <c r="BQ108" s="352"/>
    </row>
    <row r="109" spans="3:69" s="31" customFormat="1">
      <c r="E109" s="32"/>
      <c r="F109" s="33"/>
      <c r="G109" s="270"/>
      <c r="H109" s="259"/>
      <c r="I109" s="259"/>
      <c r="J109" s="259"/>
      <c r="K109" s="259"/>
      <c r="L109" s="259"/>
      <c r="M109" s="259"/>
      <c r="N109" s="259"/>
      <c r="O109" s="259"/>
      <c r="P109" s="259"/>
      <c r="Q109" s="259"/>
      <c r="R109" s="259"/>
      <c r="S109" s="259"/>
      <c r="T109" s="259"/>
      <c r="U109" s="259"/>
      <c r="V109" s="259"/>
      <c r="W109" s="259"/>
      <c r="X109" s="259"/>
      <c r="Y109" s="259"/>
      <c r="Z109" s="259"/>
      <c r="AA109" s="259"/>
      <c r="AB109" s="259"/>
      <c r="AC109" s="259"/>
      <c r="AD109" s="259"/>
      <c r="AE109" s="259"/>
      <c r="AF109" s="259"/>
      <c r="AG109" s="259"/>
      <c r="AH109" s="259"/>
      <c r="AI109" s="259"/>
      <c r="AJ109" s="259"/>
      <c r="AK109" s="259"/>
      <c r="AL109" s="259"/>
      <c r="AM109" s="259"/>
      <c r="AN109" s="259"/>
      <c r="AO109" s="259"/>
      <c r="AP109" s="259"/>
      <c r="AQ109" s="259"/>
      <c r="AR109" s="259"/>
      <c r="AS109" s="259"/>
      <c r="AT109" s="259"/>
      <c r="AU109" s="259"/>
      <c r="AV109" s="259"/>
      <c r="AW109" s="259"/>
      <c r="AX109" s="259"/>
      <c r="AY109" s="259"/>
      <c r="AZ109" s="259"/>
      <c r="BA109" s="259"/>
      <c r="BB109" s="259"/>
      <c r="BC109" s="259"/>
      <c r="BD109" s="259"/>
      <c r="BE109" s="259"/>
      <c r="BF109" s="259"/>
      <c r="BG109" s="259"/>
      <c r="BH109" s="259"/>
      <c r="BI109" s="259"/>
      <c r="BJ109" s="259"/>
      <c r="BK109" s="259"/>
      <c r="BL109" s="259"/>
      <c r="BM109" s="259"/>
      <c r="BN109" s="259"/>
      <c r="BO109" s="259"/>
      <c r="BP109" s="259"/>
      <c r="BQ109" s="259"/>
    </row>
    <row r="110" spans="3:69" s="31" customFormat="1">
      <c r="C110" s="22" t="s">
        <v>1220</v>
      </c>
      <c r="E110" s="32"/>
      <c r="F110" s="50" t="s">
        <v>119</v>
      </c>
      <c r="G110" s="270"/>
      <c r="H110" s="259" cm="1">
        <f t="array" aca="1" ref="H110:BO110" ca="1">G112:BN112</f>
        <v>10000</v>
      </c>
      <c r="I110" s="259">
        <f ca="1"/>
        <v>0</v>
      </c>
      <c r="J110" s="259">
        <f ca="1"/>
        <v>0</v>
      </c>
      <c r="K110" s="259">
        <f ca="1"/>
        <v>6112.9615849343863</v>
      </c>
      <c r="L110" s="259">
        <f ca="1"/>
        <v>10498.991353522306</v>
      </c>
      <c r="M110" s="259">
        <f ca="1"/>
        <v>14867.781158561102</v>
      </c>
      <c r="N110" s="259">
        <f ca="1"/>
        <v>19212.18898370209</v>
      </c>
      <c r="O110" s="259">
        <f ca="1"/>
        <v>23598.125450578787</v>
      </c>
      <c r="P110" s="259">
        <f ca="1"/>
        <v>27993.119122702214</v>
      </c>
      <c r="Q110" s="259">
        <f ca="1"/>
        <v>32394.630358821469</v>
      </c>
      <c r="R110" s="259">
        <f ca="1"/>
        <v>36824.78277947718</v>
      </c>
      <c r="S110" s="259">
        <f ca="1"/>
        <v>41249.182791438405</v>
      </c>
      <c r="T110" s="259">
        <f ca="1"/>
        <v>70911.814750766993</v>
      </c>
      <c r="U110" s="259">
        <f ca="1"/>
        <v>44037.023972265393</v>
      </c>
      <c r="V110" s="259">
        <f ca="1"/>
        <v>43708.161463819219</v>
      </c>
      <c r="W110" s="259">
        <f ca="1"/>
        <v>58447.96600340349</v>
      </c>
      <c r="X110" s="259">
        <f ca="1"/>
        <v>63013.153392501874</v>
      </c>
      <c r="Y110" s="259">
        <f ca="1"/>
        <v>67590.726370637523</v>
      </c>
      <c r="Z110" s="259">
        <f ca="1"/>
        <v>72176.389700769476</v>
      </c>
      <c r="AA110" s="259">
        <f ca="1"/>
        <v>76768.856258844127</v>
      </c>
      <c r="AB110" s="259">
        <f ca="1"/>
        <v>81368.334927555668</v>
      </c>
      <c r="AC110" s="259">
        <f ca="1"/>
        <v>85956.490111350751</v>
      </c>
      <c r="AD110" s="259">
        <f ca="1"/>
        <v>90570.231332902476</v>
      </c>
      <c r="AE110" s="259">
        <f ca="1"/>
        <v>95190.923783030201</v>
      </c>
      <c r="AF110" s="259">
        <f ca="1"/>
        <v>126017.52977128925</v>
      </c>
      <c r="AG110" s="259">
        <f ca="1"/>
        <v>98072.484860298864</v>
      </c>
      <c r="AH110" s="259">
        <f ca="1"/>
        <v>97730.953171603818</v>
      </c>
      <c r="AI110" s="259">
        <f ca="1"/>
        <v>113084.6237786873</v>
      </c>
      <c r="AJ110" s="259">
        <f ca="1"/>
        <v>117848.41300145007</v>
      </c>
      <c r="AK110" s="259">
        <f ca="1"/>
        <v>122612.52664295155</v>
      </c>
      <c r="AL110" s="259">
        <f ca="1"/>
        <v>127393.87912263763</v>
      </c>
      <c r="AM110" s="259">
        <f ca="1"/>
        <v>132168.02919337907</v>
      </c>
      <c r="AN110" s="259">
        <f ca="1"/>
        <v>136939.39312618101</v>
      </c>
      <c r="AO110" s="259">
        <f ca="1"/>
        <v>141736.31068082224</v>
      </c>
      <c r="AP110" s="259">
        <f ca="1"/>
        <v>146542.65138575976</v>
      </c>
      <c r="AQ110" s="259">
        <f ca="1"/>
        <v>151355.72093559051</v>
      </c>
      <c r="AR110" s="259">
        <f ca="1"/>
        <v>183536.68722069403</v>
      </c>
      <c r="AS110" s="259">
        <f ca="1"/>
        <v>153340.53781480255</v>
      </c>
      <c r="AT110" s="259">
        <f ca="1"/>
        <v>151344.3330609749</v>
      </c>
      <c r="AU110" s="259">
        <f ca="1"/>
        <v>165669.48716235059</v>
      </c>
      <c r="AV110" s="259">
        <f ca="1"/>
        <v>168979.13174259607</v>
      </c>
      <c r="AW110" s="259">
        <f ca="1"/>
        <v>172299.30350250704</v>
      </c>
      <c r="AX110" s="259">
        <f ca="1"/>
        <v>175572.82568525049</v>
      </c>
      <c r="AY110" s="259">
        <f ca="1"/>
        <v>178898.13117517575</v>
      </c>
      <c r="AZ110" s="259">
        <f ca="1"/>
        <v>182231.88712578386</v>
      </c>
      <c r="BA110" s="259">
        <f ca="1"/>
        <v>185572.72802716633</v>
      </c>
      <c r="BB110" s="259">
        <f ca="1"/>
        <v>188920.87548297356</v>
      </c>
      <c r="BC110" s="259">
        <f ca="1"/>
        <v>192267.50071243872</v>
      </c>
      <c r="BD110" s="259">
        <f ca="1"/>
        <v>224079.51306694298</v>
      </c>
      <c r="BE110" s="259">
        <f ca="1"/>
        <v>192151.24482244311</v>
      </c>
      <c r="BF110" s="259">
        <f ca="1"/>
        <v>190155.2493483712</v>
      </c>
      <c r="BG110" s="259">
        <f ca="1"/>
        <v>205139.3302072119</v>
      </c>
      <c r="BH110" s="259">
        <f ca="1"/>
        <v>208647.97642012767</v>
      </c>
      <c r="BI110" s="259">
        <f ca="1"/>
        <v>212191.03654196238</v>
      </c>
      <c r="BJ110" s="259">
        <f ca="1"/>
        <v>215730.38704797492</v>
      </c>
      <c r="BK110" s="259">
        <f ca="1"/>
        <v>219269.99334024396</v>
      </c>
      <c r="BL110" s="259">
        <f ca="1"/>
        <v>222827.7999263597</v>
      </c>
      <c r="BM110" s="259">
        <f ca="1"/>
        <v>226377.87708724273</v>
      </c>
      <c r="BN110" s="259">
        <f ca="1"/>
        <v>229924.91004480235</v>
      </c>
      <c r="BO110" s="259">
        <f ca="1"/>
        <v>233498.96445018804</v>
      </c>
      <c r="BP110" s="259"/>
      <c r="BQ110" s="259"/>
    </row>
    <row r="111" spans="3:69" s="31" customFormat="1">
      <c r="C111" s="22" t="s">
        <v>1219</v>
      </c>
      <c r="E111" s="32"/>
      <c r="F111" s="50" t="s">
        <v>119</v>
      </c>
      <c r="G111" s="270"/>
      <c r="H111" s="259" cm="1">
        <f t="array" aca="1" ref="H111:BO111" ca="1">_xlfn.ANCHORARRAY(H108)</f>
        <v>-10000</v>
      </c>
      <c r="I111" s="259">
        <f ca="1"/>
        <v>0</v>
      </c>
      <c r="J111" s="259">
        <f ca="1"/>
        <v>6112.9615849343863</v>
      </c>
      <c r="K111" s="259">
        <f ca="1"/>
        <v>4386.0297685879195</v>
      </c>
      <c r="L111" s="259">
        <f ca="1"/>
        <v>4368.7898050387948</v>
      </c>
      <c r="M111" s="259">
        <f ca="1"/>
        <v>4344.4078251409874</v>
      </c>
      <c r="N111" s="259">
        <f ca="1"/>
        <v>4385.9364668766984</v>
      </c>
      <c r="O111" s="259">
        <f ca="1"/>
        <v>4394.9936721234244</v>
      </c>
      <c r="P111" s="259">
        <f ca="1"/>
        <v>4401.511236119255</v>
      </c>
      <c r="Q111" s="259">
        <f ca="1"/>
        <v>4430.1524206557087</v>
      </c>
      <c r="R111" s="259">
        <f ca="1"/>
        <v>4424.4000119612228</v>
      </c>
      <c r="S111" s="259">
        <f ca="1"/>
        <v>29662.631959328595</v>
      </c>
      <c r="T111" s="259">
        <f ca="1"/>
        <v>-26874.790778501596</v>
      </c>
      <c r="U111" s="259">
        <f ca="1"/>
        <v>-328.86250844617535</v>
      </c>
      <c r="V111" s="259">
        <f ca="1"/>
        <v>14739.804539584275</v>
      </c>
      <c r="W111" s="259">
        <f ca="1"/>
        <v>4565.1873890983852</v>
      </c>
      <c r="X111" s="259">
        <f ca="1"/>
        <v>4577.5729781356476</v>
      </c>
      <c r="Y111" s="259">
        <f ca="1"/>
        <v>4585.6633301319471</v>
      </c>
      <c r="Z111" s="259">
        <f ca="1"/>
        <v>4592.466558074655</v>
      </c>
      <c r="AA111" s="259">
        <f ca="1"/>
        <v>4599.4786687115484</v>
      </c>
      <c r="AB111" s="259">
        <f ca="1"/>
        <v>4588.1551837950847</v>
      </c>
      <c r="AC111" s="259">
        <f ca="1"/>
        <v>4613.7412215517252</v>
      </c>
      <c r="AD111" s="259">
        <f ca="1"/>
        <v>4620.6924501277226</v>
      </c>
      <c r="AE111" s="259">
        <f ca="1"/>
        <v>30826.605988259049</v>
      </c>
      <c r="AF111" s="259">
        <f ca="1"/>
        <v>-27945.044910990393</v>
      </c>
      <c r="AG111" s="259">
        <f ca="1"/>
        <v>-341.53168869504907</v>
      </c>
      <c r="AH111" s="259">
        <f ca="1"/>
        <v>15353.670607083472</v>
      </c>
      <c r="AI111" s="259">
        <f ca="1"/>
        <v>4763.7892227627763</v>
      </c>
      <c r="AJ111" s="259">
        <f ca="1"/>
        <v>4764.1136415014789</v>
      </c>
      <c r="AK111" s="259">
        <f ca="1"/>
        <v>4781.352479686082</v>
      </c>
      <c r="AL111" s="259">
        <f ca="1"/>
        <v>4774.1500707414361</v>
      </c>
      <c r="AM111" s="259">
        <f ca="1"/>
        <v>4771.3639328019308</v>
      </c>
      <c r="AN111" s="259">
        <f ca="1"/>
        <v>4796.9175546412234</v>
      </c>
      <c r="AO111" s="259">
        <f ca="1"/>
        <v>4806.3407049375328</v>
      </c>
      <c r="AP111" s="259">
        <f ca="1"/>
        <v>4813.0695498307332</v>
      </c>
      <c r="AQ111" s="259">
        <f ca="1"/>
        <v>32180.966285103528</v>
      </c>
      <c r="AR111" s="259">
        <f ca="1"/>
        <v>-30196.14940589148</v>
      </c>
      <c r="AS111" s="259">
        <f ca="1"/>
        <v>-1996.2047538276506</v>
      </c>
      <c r="AT111" s="259">
        <f ca="1"/>
        <v>14325.154101375701</v>
      </c>
      <c r="AU111" s="259">
        <f ca="1"/>
        <v>3309.6445802454773</v>
      </c>
      <c r="AV111" s="259">
        <f ca="1"/>
        <v>3320.1717599109543</v>
      </c>
      <c r="AW111" s="259">
        <f ca="1"/>
        <v>3273.522182743437</v>
      </c>
      <c r="AX111" s="259">
        <f ca="1"/>
        <v>3325.3054899252702</v>
      </c>
      <c r="AY111" s="259">
        <f ca="1"/>
        <v>3333.7559506081279</v>
      </c>
      <c r="AZ111" s="259">
        <f ca="1"/>
        <v>3340.840901382483</v>
      </c>
      <c r="BA111" s="259">
        <f ca="1"/>
        <v>3348.147455807225</v>
      </c>
      <c r="BB111" s="259">
        <f ca="1"/>
        <v>3346.6252294651613</v>
      </c>
      <c r="BC111" s="259">
        <f ca="1"/>
        <v>31812.012354504252</v>
      </c>
      <c r="BD111" s="259">
        <f ca="1"/>
        <v>-31928.268244499868</v>
      </c>
      <c r="BE111" s="259">
        <f ca="1"/>
        <v>-1995.9954740719184</v>
      </c>
      <c r="BF111" s="259">
        <f ca="1"/>
        <v>14984.080858840694</v>
      </c>
      <c r="BG111" s="259">
        <f ca="1"/>
        <v>3508.6462129157617</v>
      </c>
      <c r="BH111" s="259">
        <f ca="1"/>
        <v>3543.0601218347101</v>
      </c>
      <c r="BI111" s="259">
        <f ca="1"/>
        <v>3539.3505060125181</v>
      </c>
      <c r="BJ111" s="259">
        <f ca="1"/>
        <v>3539.6062922690408</v>
      </c>
      <c r="BK111" s="259">
        <f ca="1"/>
        <v>3557.8065861157493</v>
      </c>
      <c r="BL111" s="259">
        <f ca="1"/>
        <v>3550.0771608830273</v>
      </c>
      <c r="BM111" s="259">
        <f ca="1"/>
        <v>3547.0329575596206</v>
      </c>
      <c r="BN111" s="259">
        <f ca="1"/>
        <v>3574.0544053856784</v>
      </c>
      <c r="BO111" s="259">
        <f ca="1"/>
        <v>33196.034536356456</v>
      </c>
      <c r="BP111" s="259"/>
      <c r="BQ111" s="259"/>
    </row>
    <row r="112" spans="3:69" s="31" customFormat="1">
      <c r="C112" s="247" t="s">
        <v>1221</v>
      </c>
      <c r="D112" s="247"/>
      <c r="E112" s="248"/>
      <c r="F112" s="232" t="s">
        <v>119</v>
      </c>
      <c r="G112" s="272">
        <f>Assumptions!D47</f>
        <v>10000</v>
      </c>
      <c r="H112" s="224">
        <f ca="1">SUM(H110:H111)</f>
        <v>0</v>
      </c>
      <c r="I112" s="224">
        <f t="shared" ref="I112:BO112" ca="1" si="74">SUM(I110:I111)</f>
        <v>0</v>
      </c>
      <c r="J112" s="224">
        <f t="shared" ca="1" si="74"/>
        <v>6112.9615849343863</v>
      </c>
      <c r="K112" s="224">
        <f t="shared" ca="1" si="74"/>
        <v>10498.991353522306</v>
      </c>
      <c r="L112" s="224">
        <f t="shared" ca="1" si="74"/>
        <v>14867.781158561102</v>
      </c>
      <c r="M112" s="224">
        <f t="shared" ca="1" si="74"/>
        <v>19212.18898370209</v>
      </c>
      <c r="N112" s="224">
        <f t="shared" ca="1" si="74"/>
        <v>23598.125450578787</v>
      </c>
      <c r="O112" s="224">
        <f t="shared" ca="1" si="74"/>
        <v>27993.119122702214</v>
      </c>
      <c r="P112" s="224">
        <f t="shared" ca="1" si="74"/>
        <v>32394.630358821469</v>
      </c>
      <c r="Q112" s="224">
        <f t="shared" ca="1" si="74"/>
        <v>36824.78277947718</v>
      </c>
      <c r="R112" s="224">
        <f t="shared" ca="1" si="74"/>
        <v>41249.182791438405</v>
      </c>
      <c r="S112" s="224">
        <f t="shared" ca="1" si="74"/>
        <v>70911.814750766993</v>
      </c>
      <c r="T112" s="224">
        <f t="shared" ca="1" si="74"/>
        <v>44037.023972265393</v>
      </c>
      <c r="U112" s="224">
        <f t="shared" ca="1" si="74"/>
        <v>43708.161463819219</v>
      </c>
      <c r="V112" s="224">
        <f t="shared" ca="1" si="74"/>
        <v>58447.96600340349</v>
      </c>
      <c r="W112" s="224">
        <f t="shared" ca="1" si="74"/>
        <v>63013.153392501874</v>
      </c>
      <c r="X112" s="224">
        <f t="shared" ca="1" si="74"/>
        <v>67590.726370637523</v>
      </c>
      <c r="Y112" s="224">
        <f t="shared" ca="1" si="74"/>
        <v>72176.389700769476</v>
      </c>
      <c r="Z112" s="224">
        <f t="shared" ca="1" si="74"/>
        <v>76768.856258844127</v>
      </c>
      <c r="AA112" s="224">
        <f t="shared" ca="1" si="74"/>
        <v>81368.334927555668</v>
      </c>
      <c r="AB112" s="224">
        <f t="shared" ca="1" si="74"/>
        <v>85956.490111350751</v>
      </c>
      <c r="AC112" s="224">
        <f t="shared" ca="1" si="74"/>
        <v>90570.231332902476</v>
      </c>
      <c r="AD112" s="224">
        <f t="shared" ca="1" si="74"/>
        <v>95190.923783030201</v>
      </c>
      <c r="AE112" s="224">
        <f t="shared" ca="1" si="74"/>
        <v>126017.52977128925</v>
      </c>
      <c r="AF112" s="224">
        <f t="shared" ca="1" si="74"/>
        <v>98072.484860298864</v>
      </c>
      <c r="AG112" s="224">
        <f t="shared" ca="1" si="74"/>
        <v>97730.953171603818</v>
      </c>
      <c r="AH112" s="224">
        <f t="shared" ca="1" si="74"/>
        <v>113084.6237786873</v>
      </c>
      <c r="AI112" s="224">
        <f t="shared" ca="1" si="74"/>
        <v>117848.41300145007</v>
      </c>
      <c r="AJ112" s="224">
        <f t="shared" ca="1" si="74"/>
        <v>122612.52664295155</v>
      </c>
      <c r="AK112" s="224">
        <f t="shared" ca="1" si="74"/>
        <v>127393.87912263763</v>
      </c>
      <c r="AL112" s="224">
        <f t="shared" ca="1" si="74"/>
        <v>132168.02919337907</v>
      </c>
      <c r="AM112" s="224">
        <f t="shared" ca="1" si="74"/>
        <v>136939.39312618101</v>
      </c>
      <c r="AN112" s="224">
        <f t="shared" ca="1" si="74"/>
        <v>141736.31068082224</v>
      </c>
      <c r="AO112" s="224">
        <f t="shared" ca="1" si="74"/>
        <v>146542.65138575976</v>
      </c>
      <c r="AP112" s="224">
        <f t="shared" ca="1" si="74"/>
        <v>151355.72093559051</v>
      </c>
      <c r="AQ112" s="224">
        <f t="shared" ca="1" si="74"/>
        <v>183536.68722069403</v>
      </c>
      <c r="AR112" s="224">
        <f t="shared" ca="1" si="74"/>
        <v>153340.53781480255</v>
      </c>
      <c r="AS112" s="224">
        <f t="shared" ca="1" si="74"/>
        <v>151344.3330609749</v>
      </c>
      <c r="AT112" s="224">
        <f t="shared" ca="1" si="74"/>
        <v>165669.48716235059</v>
      </c>
      <c r="AU112" s="224">
        <f t="shared" ca="1" si="74"/>
        <v>168979.13174259607</v>
      </c>
      <c r="AV112" s="224">
        <f t="shared" ca="1" si="74"/>
        <v>172299.30350250704</v>
      </c>
      <c r="AW112" s="224">
        <f t="shared" ca="1" si="74"/>
        <v>175572.82568525049</v>
      </c>
      <c r="AX112" s="224">
        <f t="shared" ca="1" si="74"/>
        <v>178898.13117517575</v>
      </c>
      <c r="AY112" s="224">
        <f t="shared" ca="1" si="74"/>
        <v>182231.88712578386</v>
      </c>
      <c r="AZ112" s="224">
        <f t="shared" ca="1" si="74"/>
        <v>185572.72802716633</v>
      </c>
      <c r="BA112" s="224">
        <f t="shared" ca="1" si="74"/>
        <v>188920.87548297356</v>
      </c>
      <c r="BB112" s="224">
        <f t="shared" ca="1" si="74"/>
        <v>192267.50071243872</v>
      </c>
      <c r="BC112" s="224">
        <f t="shared" ca="1" si="74"/>
        <v>224079.51306694298</v>
      </c>
      <c r="BD112" s="224">
        <f t="shared" ca="1" si="74"/>
        <v>192151.24482244311</v>
      </c>
      <c r="BE112" s="224">
        <f t="shared" ca="1" si="74"/>
        <v>190155.2493483712</v>
      </c>
      <c r="BF112" s="224">
        <f t="shared" ca="1" si="74"/>
        <v>205139.3302072119</v>
      </c>
      <c r="BG112" s="224">
        <f t="shared" ca="1" si="74"/>
        <v>208647.97642012767</v>
      </c>
      <c r="BH112" s="224">
        <f t="shared" ca="1" si="74"/>
        <v>212191.03654196238</v>
      </c>
      <c r="BI112" s="224">
        <f t="shared" ca="1" si="74"/>
        <v>215730.38704797492</v>
      </c>
      <c r="BJ112" s="224">
        <f t="shared" ca="1" si="74"/>
        <v>219269.99334024396</v>
      </c>
      <c r="BK112" s="224">
        <f t="shared" ca="1" si="74"/>
        <v>222827.7999263597</v>
      </c>
      <c r="BL112" s="224">
        <f t="shared" ca="1" si="74"/>
        <v>226377.87708724273</v>
      </c>
      <c r="BM112" s="224">
        <f t="shared" ca="1" si="74"/>
        <v>229924.91004480235</v>
      </c>
      <c r="BN112" s="224">
        <f t="shared" ca="1" si="74"/>
        <v>233498.96445018804</v>
      </c>
      <c r="BO112" s="224">
        <f t="shared" ca="1" si="74"/>
        <v>266694.99898654449</v>
      </c>
      <c r="BP112" s="352"/>
      <c r="BQ112" s="352"/>
    </row>
    <row r="113" spans="2:69" s="22" customFormat="1">
      <c r="E113" s="28"/>
      <c r="F113" s="29"/>
      <c r="G113" s="63"/>
      <c r="H113" s="41"/>
      <c r="I113" s="41"/>
      <c r="J113" s="41"/>
      <c r="K113" s="41"/>
      <c r="L113" s="41"/>
      <c r="M113" s="41"/>
      <c r="N113" s="41"/>
      <c r="O113" s="41"/>
      <c r="P113" s="41"/>
      <c r="Q113" s="41"/>
      <c r="R113" s="41"/>
      <c r="S113" s="41"/>
      <c r="T113" s="41"/>
      <c r="U113" s="41"/>
      <c r="V113" s="41"/>
      <c r="W113" s="41"/>
      <c r="X113" s="41"/>
      <c r="Y113" s="41"/>
      <c r="Z113" s="41"/>
      <c r="AA113" s="41"/>
      <c r="AB113" s="41"/>
      <c r="AC113" s="41"/>
      <c r="AD113" s="41"/>
      <c r="AE113" s="41"/>
      <c r="AF113" s="41"/>
      <c r="AG113" s="41"/>
      <c r="AH113" s="41"/>
      <c r="AI113" s="41"/>
      <c r="AJ113" s="41"/>
      <c r="AK113" s="41"/>
      <c r="AL113" s="41"/>
      <c r="AM113" s="41"/>
      <c r="AN113" s="41"/>
      <c r="AO113" s="41"/>
      <c r="AP113" s="41"/>
      <c r="AQ113" s="41"/>
      <c r="AR113" s="41"/>
      <c r="AS113" s="41"/>
      <c r="AT113" s="41"/>
      <c r="AU113" s="41"/>
      <c r="AV113" s="41"/>
      <c r="AW113" s="41"/>
      <c r="AX113" s="41"/>
      <c r="AY113" s="41"/>
      <c r="AZ113" s="41"/>
      <c r="BA113" s="41"/>
      <c r="BB113" s="41"/>
      <c r="BC113" s="41"/>
      <c r="BD113" s="41"/>
      <c r="BE113" s="41"/>
      <c r="BF113" s="41"/>
      <c r="BG113" s="41"/>
      <c r="BH113" s="41"/>
      <c r="BI113" s="41"/>
      <c r="BJ113" s="41"/>
      <c r="BK113" s="41"/>
      <c r="BL113" s="41"/>
      <c r="BM113" s="41"/>
      <c r="BN113" s="41"/>
      <c r="BO113" s="41"/>
      <c r="BP113" s="41"/>
      <c r="BQ113" s="41"/>
    </row>
    <row r="114" spans="2:69" s="22" customFormat="1">
      <c r="E114" s="28"/>
      <c r="F114" s="29"/>
      <c r="G114" s="63"/>
      <c r="H114" s="41"/>
      <c r="I114" s="41"/>
      <c r="J114" s="41"/>
      <c r="K114" s="41"/>
      <c r="L114" s="41"/>
      <c r="M114" s="41"/>
      <c r="N114" s="41"/>
      <c r="O114" s="41"/>
      <c r="P114" s="41"/>
      <c r="Q114" s="41"/>
      <c r="R114" s="41"/>
      <c r="S114" s="41"/>
      <c r="T114" s="41"/>
      <c r="U114" s="41"/>
      <c r="V114" s="41"/>
      <c r="W114" s="41"/>
      <c r="X114" s="41"/>
      <c r="Y114" s="41"/>
      <c r="Z114" s="41"/>
      <c r="AA114" s="41"/>
      <c r="AB114" s="41"/>
      <c r="AC114" s="41"/>
      <c r="AD114" s="41"/>
      <c r="AE114" s="41"/>
      <c r="AF114" s="41"/>
      <c r="AG114" s="41"/>
      <c r="AH114" s="41"/>
      <c r="AI114" s="41"/>
      <c r="AJ114" s="41"/>
      <c r="AK114" s="41"/>
      <c r="AL114" s="41"/>
      <c r="AM114" s="41"/>
      <c r="AN114" s="41"/>
      <c r="AO114" s="41"/>
      <c r="AP114" s="41"/>
      <c r="AQ114" s="41"/>
      <c r="AR114" s="41"/>
      <c r="AS114" s="41"/>
      <c r="AT114" s="41"/>
      <c r="AU114" s="41"/>
      <c r="AV114" s="41"/>
      <c r="AW114" s="41"/>
      <c r="AX114" s="41"/>
      <c r="AY114" s="41"/>
      <c r="AZ114" s="41"/>
      <c r="BA114" s="41"/>
      <c r="BB114" s="41"/>
      <c r="BC114" s="41"/>
      <c r="BD114" s="41"/>
      <c r="BE114" s="41"/>
      <c r="BF114" s="41"/>
      <c r="BG114" s="41"/>
      <c r="BH114" s="41"/>
      <c r="BI114" s="41"/>
      <c r="BJ114" s="41"/>
      <c r="BK114" s="41"/>
      <c r="BL114" s="41"/>
      <c r="BM114" s="41"/>
      <c r="BN114" s="41"/>
      <c r="BO114" s="41"/>
      <c r="BP114" s="41"/>
      <c r="BQ114" s="41"/>
    </row>
    <row r="115" spans="2:69" s="23" customFormat="1" ht="13.7" customHeight="1">
      <c r="B115" s="57" t="s">
        <v>1222</v>
      </c>
      <c r="C115" s="136"/>
      <c r="D115" s="136"/>
      <c r="E115" s="137"/>
      <c r="F115" s="138"/>
      <c r="G115" s="136"/>
      <c r="H115" s="136"/>
      <c r="I115" s="136"/>
      <c r="J115" s="136"/>
      <c r="K115" s="136"/>
      <c r="L115" s="136"/>
      <c r="M115" s="136"/>
      <c r="N115" s="136"/>
      <c r="O115" s="136"/>
      <c r="P115" s="136"/>
      <c r="Q115" s="136"/>
      <c r="R115" s="136"/>
      <c r="S115" s="136"/>
      <c r="T115" s="136"/>
      <c r="U115" s="136"/>
      <c r="V115" s="136"/>
      <c r="W115" s="136"/>
      <c r="X115" s="136"/>
      <c r="Y115" s="136"/>
      <c r="Z115" s="136"/>
      <c r="AA115" s="136"/>
      <c r="AB115" s="136"/>
      <c r="AC115" s="136"/>
      <c r="AD115" s="136"/>
      <c r="AE115" s="136"/>
      <c r="AF115" s="136"/>
      <c r="AG115" s="136"/>
      <c r="AH115" s="136"/>
      <c r="AI115" s="136"/>
      <c r="AJ115" s="136"/>
      <c r="AK115" s="136"/>
      <c r="AL115" s="136"/>
      <c r="AM115" s="136"/>
      <c r="AN115" s="136"/>
      <c r="AO115" s="136"/>
      <c r="AP115" s="136"/>
      <c r="AQ115" s="136"/>
      <c r="AR115" s="136"/>
      <c r="AS115" s="136"/>
      <c r="AT115" s="136"/>
      <c r="AU115" s="136"/>
      <c r="AV115" s="136"/>
      <c r="AW115" s="136"/>
      <c r="AX115" s="136"/>
      <c r="AY115" s="136"/>
      <c r="AZ115" s="136"/>
      <c r="BA115" s="136"/>
      <c r="BB115" s="136"/>
      <c r="BC115" s="136"/>
      <c r="BD115" s="136"/>
      <c r="BE115" s="136"/>
      <c r="BF115" s="136"/>
      <c r="BG115" s="136"/>
      <c r="BH115" s="136"/>
      <c r="BI115" s="136"/>
      <c r="BJ115" s="136"/>
      <c r="BK115" s="136"/>
      <c r="BL115" s="136"/>
      <c r="BM115" s="136"/>
      <c r="BN115" s="136"/>
      <c r="BO115" s="136"/>
      <c r="BP115" s="355"/>
      <c r="BQ115" s="355"/>
    </row>
    <row r="116" spans="2:69" s="23" customFormat="1" ht="14.45" customHeight="1">
      <c r="B116" s="57" t="s">
        <v>1223</v>
      </c>
      <c r="C116" s="58"/>
      <c r="D116" s="58"/>
      <c r="E116" s="59"/>
      <c r="F116" s="60"/>
      <c r="G116" s="58"/>
      <c r="H116" s="58"/>
      <c r="I116" s="58"/>
      <c r="J116" s="58"/>
      <c r="K116" s="58"/>
      <c r="L116" s="58"/>
      <c r="M116" s="58"/>
      <c r="N116" s="58"/>
      <c r="O116" s="58"/>
      <c r="P116" s="58"/>
      <c r="Q116" s="58"/>
      <c r="R116" s="58"/>
      <c r="S116" s="58"/>
      <c r="T116" s="58"/>
      <c r="U116" s="58"/>
      <c r="V116" s="58"/>
      <c r="W116" s="58"/>
      <c r="X116" s="58"/>
      <c r="Y116" s="58"/>
      <c r="Z116" s="58"/>
      <c r="AA116" s="58"/>
      <c r="AB116" s="58"/>
      <c r="AC116" s="58"/>
      <c r="AD116" s="58"/>
      <c r="AE116" s="58"/>
      <c r="AF116" s="58"/>
      <c r="AG116" s="58"/>
      <c r="AH116" s="58"/>
      <c r="AI116" s="58"/>
      <c r="AJ116" s="58"/>
      <c r="AK116" s="58"/>
      <c r="AL116" s="58"/>
      <c r="AM116" s="58"/>
      <c r="AN116" s="58"/>
      <c r="AO116" s="58"/>
      <c r="AP116" s="58"/>
      <c r="AQ116" s="58"/>
      <c r="AR116" s="58"/>
      <c r="AS116" s="58"/>
      <c r="AT116" s="58"/>
      <c r="AU116" s="58"/>
      <c r="AV116" s="58"/>
      <c r="AW116" s="58"/>
      <c r="AX116" s="58"/>
      <c r="AY116" s="58"/>
      <c r="AZ116" s="58"/>
      <c r="BA116" s="58"/>
      <c r="BB116" s="58"/>
      <c r="BC116" s="58"/>
      <c r="BD116" s="58"/>
      <c r="BE116" s="58"/>
      <c r="BF116" s="58"/>
      <c r="BG116" s="58"/>
      <c r="BH116" s="58"/>
      <c r="BI116" s="58"/>
      <c r="BJ116" s="58"/>
      <c r="BK116" s="58"/>
      <c r="BL116" s="58"/>
      <c r="BM116" s="58"/>
      <c r="BN116" s="58"/>
      <c r="BO116" s="58"/>
      <c r="BP116" s="356"/>
      <c r="BQ116" s="356"/>
    </row>
    <row r="117" spans="2:69" s="22" customFormat="1" ht="12" customHeight="1" outlineLevel="1">
      <c r="D117" s="61"/>
      <c r="E117" s="28"/>
      <c r="F117" s="29"/>
      <c r="G117" s="66"/>
    </row>
    <row r="118" spans="2:69" s="22" customFormat="1" ht="17.25" customHeight="1" outlineLevel="1">
      <c r="B118" s="69" t="s">
        <v>1224</v>
      </c>
      <c r="D118" s="62">
        <f>Assumptions!D11</f>
        <v>0.03</v>
      </c>
      <c r="E118" s="28"/>
      <c r="F118" s="29"/>
      <c r="G118" s="63" cm="1">
        <f t="array" ref="G118:BO118">(1+D118)^(G11:BO11-$G$11)</f>
        <v>1</v>
      </c>
      <c r="H118" s="22">
        <v>1.03</v>
      </c>
      <c r="I118" s="41">
        <v>1.03</v>
      </c>
      <c r="J118" s="41">
        <v>1.03</v>
      </c>
      <c r="K118" s="41">
        <v>1.03</v>
      </c>
      <c r="L118" s="41">
        <v>1.03</v>
      </c>
      <c r="M118" s="41">
        <v>1.03</v>
      </c>
      <c r="N118" s="41">
        <v>1.03</v>
      </c>
      <c r="O118" s="41">
        <v>1.03</v>
      </c>
      <c r="P118" s="41">
        <v>1.03</v>
      </c>
      <c r="Q118" s="41">
        <v>1.03</v>
      </c>
      <c r="R118" s="41">
        <v>1.03</v>
      </c>
      <c r="S118" s="41">
        <v>1.03</v>
      </c>
      <c r="T118" s="41">
        <v>1.0609</v>
      </c>
      <c r="U118" s="41">
        <v>1.0609</v>
      </c>
      <c r="V118" s="41">
        <v>1.0609</v>
      </c>
      <c r="W118" s="41">
        <v>1.0609</v>
      </c>
      <c r="X118" s="41">
        <v>1.0609</v>
      </c>
      <c r="Y118" s="41">
        <v>1.0609</v>
      </c>
      <c r="Z118" s="41">
        <v>1.0609</v>
      </c>
      <c r="AA118" s="41">
        <v>1.0609</v>
      </c>
      <c r="AB118" s="41">
        <v>1.0609</v>
      </c>
      <c r="AC118" s="41">
        <v>1.0609</v>
      </c>
      <c r="AD118" s="41">
        <v>1.0609</v>
      </c>
      <c r="AE118" s="41">
        <v>1.0609</v>
      </c>
      <c r="AF118" s="41">
        <v>1.092727</v>
      </c>
      <c r="AG118" s="41">
        <v>1.092727</v>
      </c>
      <c r="AH118" s="41">
        <v>1.092727</v>
      </c>
      <c r="AI118" s="41">
        <v>1.092727</v>
      </c>
      <c r="AJ118" s="41">
        <v>1.092727</v>
      </c>
      <c r="AK118" s="41">
        <v>1.092727</v>
      </c>
      <c r="AL118" s="41">
        <v>1.092727</v>
      </c>
      <c r="AM118" s="41">
        <v>1.092727</v>
      </c>
      <c r="AN118" s="41">
        <v>1.092727</v>
      </c>
      <c r="AO118" s="41">
        <v>1.092727</v>
      </c>
      <c r="AP118" s="41">
        <v>1.092727</v>
      </c>
      <c r="AQ118" s="41">
        <v>1.092727</v>
      </c>
      <c r="AR118" s="41">
        <v>1.1255088099999999</v>
      </c>
      <c r="AS118" s="41">
        <v>1.1255088099999999</v>
      </c>
      <c r="AT118" s="41">
        <v>1.1255088099999999</v>
      </c>
      <c r="AU118" s="41">
        <v>1.1255088099999999</v>
      </c>
      <c r="AV118" s="41">
        <v>1.1255088099999999</v>
      </c>
      <c r="AW118" s="41">
        <v>1.1255088099999999</v>
      </c>
      <c r="AX118" s="41">
        <v>1.1255088099999999</v>
      </c>
      <c r="AY118" s="41">
        <v>1.1255088099999999</v>
      </c>
      <c r="AZ118" s="41">
        <v>1.1255088099999999</v>
      </c>
      <c r="BA118" s="41">
        <v>1.1255088099999999</v>
      </c>
      <c r="BB118" s="41">
        <v>1.1255088099999999</v>
      </c>
      <c r="BC118" s="41">
        <v>1.1255088099999999</v>
      </c>
      <c r="BD118" s="41">
        <v>1.1592740742999998</v>
      </c>
      <c r="BE118" s="41">
        <v>1.1592740742999998</v>
      </c>
      <c r="BF118" s="41">
        <v>1.1592740742999998</v>
      </c>
      <c r="BG118" s="41">
        <v>1.1592740742999998</v>
      </c>
      <c r="BH118" s="41">
        <v>1.1592740742999998</v>
      </c>
      <c r="BI118" s="41">
        <v>1.1592740742999998</v>
      </c>
      <c r="BJ118" s="41">
        <v>1.1592740742999998</v>
      </c>
      <c r="BK118" s="41">
        <v>1.1592740742999998</v>
      </c>
      <c r="BL118" s="41">
        <v>1.1592740742999998</v>
      </c>
      <c r="BM118" s="41">
        <v>1.1592740742999998</v>
      </c>
      <c r="BN118" s="41">
        <v>1.1592740742999998</v>
      </c>
      <c r="BO118" s="41">
        <v>1.1592740742999998</v>
      </c>
      <c r="BP118" s="41"/>
      <c r="BQ118" s="41"/>
    </row>
    <row r="119" spans="2:69" s="22" customFormat="1" outlineLevel="1">
      <c r="E119" s="28"/>
      <c r="F119" s="29"/>
      <c r="G119" s="66"/>
    </row>
    <row r="120" spans="2:69" s="22" customFormat="1" outlineLevel="1">
      <c r="B120" s="69" t="s">
        <v>1225</v>
      </c>
      <c r="E120" s="28"/>
      <c r="F120" s="29"/>
      <c r="G120" s="152">
        <f>_xlfn.XLOOKUP(G10,Assumptions!$B$19:$B$30,Assumptions!$D$19:$D$30)</f>
        <v>1.5</v>
      </c>
      <c r="H120" s="151">
        <f>_xlfn.XLOOKUP(H10,Assumptions!$B$19:$B$30,Assumptions!$D$19:$D$30)</f>
        <v>0.8</v>
      </c>
      <c r="I120" s="151">
        <f>_xlfn.XLOOKUP(I10,Assumptions!$B$19:$B$30,Assumptions!$D$19:$D$30)</f>
        <v>0.75</v>
      </c>
      <c r="J120" s="151">
        <f>_xlfn.XLOOKUP(J10,Assumptions!$B$19:$B$30,Assumptions!$D$19:$D$30)</f>
        <v>1</v>
      </c>
      <c r="K120" s="151">
        <f>_xlfn.XLOOKUP(K10,Assumptions!$B$19:$B$30,Assumptions!$D$19:$D$30)</f>
        <v>1</v>
      </c>
      <c r="L120" s="151">
        <f>_xlfn.XLOOKUP(L10,Assumptions!$B$19:$B$30,Assumptions!$D$19:$D$30)</f>
        <v>1</v>
      </c>
      <c r="M120" s="151">
        <f>_xlfn.XLOOKUP(M10,Assumptions!$B$19:$B$30,Assumptions!$D$19:$D$30)</f>
        <v>1</v>
      </c>
      <c r="N120" s="151">
        <f>_xlfn.XLOOKUP(N10,Assumptions!$B$19:$B$30,Assumptions!$D$19:$D$30)</f>
        <v>1</v>
      </c>
      <c r="O120" s="151">
        <f>_xlfn.XLOOKUP(O10,Assumptions!$B$19:$B$30,Assumptions!$D$19:$D$30)</f>
        <v>1</v>
      </c>
      <c r="P120" s="151">
        <f>_xlfn.XLOOKUP(P10,Assumptions!$B$19:$B$30,Assumptions!$D$19:$D$30)</f>
        <v>1</v>
      </c>
      <c r="Q120" s="151">
        <f>_xlfn.XLOOKUP(Q10,Assumptions!$B$19:$B$30,Assumptions!$D$19:$D$30)</f>
        <v>1</v>
      </c>
      <c r="R120" s="151">
        <f>_xlfn.XLOOKUP(R10,Assumptions!$B$19:$B$30,Assumptions!$D$19:$D$30)</f>
        <v>1</v>
      </c>
      <c r="S120" s="151">
        <f>_xlfn.XLOOKUP(S10,Assumptions!$B$19:$B$30,Assumptions!$D$19:$D$30)</f>
        <v>1.5</v>
      </c>
      <c r="T120" s="151">
        <f>_xlfn.XLOOKUP(T10,Assumptions!$B$19:$B$30,Assumptions!$D$19:$D$30)</f>
        <v>0.8</v>
      </c>
      <c r="U120" s="151">
        <f>_xlfn.XLOOKUP(U10,Assumptions!$B$19:$B$30,Assumptions!$D$19:$D$30)</f>
        <v>0.75</v>
      </c>
      <c r="V120" s="151">
        <f>_xlfn.XLOOKUP(V10,Assumptions!$B$19:$B$30,Assumptions!$D$19:$D$30)</f>
        <v>1</v>
      </c>
      <c r="W120" s="151">
        <f>_xlfn.XLOOKUP(W10,Assumptions!$B$19:$B$30,Assumptions!$D$19:$D$30)</f>
        <v>1</v>
      </c>
      <c r="X120" s="151">
        <f>_xlfn.XLOOKUP(X10,Assumptions!$B$19:$B$30,Assumptions!$D$19:$D$30)</f>
        <v>1</v>
      </c>
      <c r="Y120" s="151">
        <f>_xlfn.XLOOKUP(Y10,Assumptions!$B$19:$B$30,Assumptions!$D$19:$D$30)</f>
        <v>1</v>
      </c>
      <c r="Z120" s="151">
        <f>_xlfn.XLOOKUP(Z10,Assumptions!$B$19:$B$30,Assumptions!$D$19:$D$30)</f>
        <v>1</v>
      </c>
      <c r="AA120" s="151">
        <f>_xlfn.XLOOKUP(AA10,Assumptions!$B$19:$B$30,Assumptions!$D$19:$D$30)</f>
        <v>1</v>
      </c>
      <c r="AB120" s="151">
        <f>_xlfn.XLOOKUP(AB10,Assumptions!$B$19:$B$30,Assumptions!$D$19:$D$30)</f>
        <v>1</v>
      </c>
      <c r="AC120" s="151">
        <f>_xlfn.XLOOKUP(AC10,Assumptions!$B$19:$B$30,Assumptions!$D$19:$D$30)</f>
        <v>1</v>
      </c>
      <c r="AD120" s="151">
        <f>_xlfn.XLOOKUP(AD10,Assumptions!$B$19:$B$30,Assumptions!$D$19:$D$30)</f>
        <v>1</v>
      </c>
      <c r="AE120" s="151">
        <f>_xlfn.XLOOKUP(AE10,Assumptions!$B$19:$B$30,Assumptions!$D$19:$D$30)</f>
        <v>1.5</v>
      </c>
      <c r="AF120" s="151">
        <f>_xlfn.XLOOKUP(AF10,Assumptions!$B$19:$B$30,Assumptions!$D$19:$D$30)</f>
        <v>0.8</v>
      </c>
      <c r="AG120" s="151">
        <f>_xlfn.XLOOKUP(AG10,Assumptions!$B$19:$B$30,Assumptions!$D$19:$D$30)</f>
        <v>0.75</v>
      </c>
      <c r="AH120" s="151">
        <f>_xlfn.XLOOKUP(AH10,Assumptions!$B$19:$B$30,Assumptions!$D$19:$D$30)</f>
        <v>1</v>
      </c>
      <c r="AI120" s="151">
        <f>_xlfn.XLOOKUP(AI10,Assumptions!$B$19:$B$30,Assumptions!$D$19:$D$30)</f>
        <v>1</v>
      </c>
      <c r="AJ120" s="151">
        <f>_xlfn.XLOOKUP(AJ10,Assumptions!$B$19:$B$30,Assumptions!$D$19:$D$30)</f>
        <v>1</v>
      </c>
      <c r="AK120" s="151">
        <f>_xlfn.XLOOKUP(AK10,Assumptions!$B$19:$B$30,Assumptions!$D$19:$D$30)</f>
        <v>1</v>
      </c>
      <c r="AL120" s="151">
        <f>_xlfn.XLOOKUP(AL10,Assumptions!$B$19:$B$30,Assumptions!$D$19:$D$30)</f>
        <v>1</v>
      </c>
      <c r="AM120" s="151">
        <f>_xlfn.XLOOKUP(AM10,Assumptions!$B$19:$B$30,Assumptions!$D$19:$D$30)</f>
        <v>1</v>
      </c>
      <c r="AN120" s="151">
        <f>_xlfn.XLOOKUP(AN10,Assumptions!$B$19:$B$30,Assumptions!$D$19:$D$30)</f>
        <v>1</v>
      </c>
      <c r="AO120" s="151">
        <f>_xlfn.XLOOKUP(AO10,Assumptions!$B$19:$B$30,Assumptions!$D$19:$D$30)</f>
        <v>1</v>
      </c>
      <c r="AP120" s="151">
        <f>_xlfn.XLOOKUP(AP10,Assumptions!$B$19:$B$30,Assumptions!$D$19:$D$30)</f>
        <v>1</v>
      </c>
      <c r="AQ120" s="151">
        <f>_xlfn.XLOOKUP(AQ10,Assumptions!$B$19:$B$30,Assumptions!$D$19:$D$30)</f>
        <v>1.5</v>
      </c>
      <c r="AR120" s="151">
        <f>_xlfn.XLOOKUP(AR10,Assumptions!$B$19:$B$30,Assumptions!$D$19:$D$30)</f>
        <v>0.8</v>
      </c>
      <c r="AS120" s="151">
        <f>_xlfn.XLOOKUP(AS10,Assumptions!$B$19:$B$30,Assumptions!$D$19:$D$30)</f>
        <v>0.75</v>
      </c>
      <c r="AT120" s="151">
        <f>_xlfn.XLOOKUP(AT10,Assumptions!$B$19:$B$30,Assumptions!$D$19:$D$30)</f>
        <v>1</v>
      </c>
      <c r="AU120" s="151">
        <f>_xlfn.XLOOKUP(AU10,Assumptions!$B$19:$B$30,Assumptions!$D$19:$D$30)</f>
        <v>1</v>
      </c>
      <c r="AV120" s="151">
        <f>_xlfn.XLOOKUP(AV10,Assumptions!$B$19:$B$30,Assumptions!$D$19:$D$30)</f>
        <v>1</v>
      </c>
      <c r="AW120" s="151">
        <f>_xlfn.XLOOKUP(AW10,Assumptions!$B$19:$B$30,Assumptions!$D$19:$D$30)</f>
        <v>1</v>
      </c>
      <c r="AX120" s="151">
        <f>_xlfn.XLOOKUP(AX10,Assumptions!$B$19:$B$30,Assumptions!$D$19:$D$30)</f>
        <v>1</v>
      </c>
      <c r="AY120" s="151">
        <f>_xlfn.XLOOKUP(AY10,Assumptions!$B$19:$B$30,Assumptions!$D$19:$D$30)</f>
        <v>1</v>
      </c>
      <c r="AZ120" s="151">
        <f>_xlfn.XLOOKUP(AZ10,Assumptions!$B$19:$B$30,Assumptions!$D$19:$D$30)</f>
        <v>1</v>
      </c>
      <c r="BA120" s="151">
        <f>_xlfn.XLOOKUP(BA10,Assumptions!$B$19:$B$30,Assumptions!$D$19:$D$30)</f>
        <v>1</v>
      </c>
      <c r="BB120" s="151">
        <f>_xlfn.XLOOKUP(BB10,Assumptions!$B$19:$B$30,Assumptions!$D$19:$D$30)</f>
        <v>1</v>
      </c>
      <c r="BC120" s="151">
        <f>_xlfn.XLOOKUP(BC10,Assumptions!$B$19:$B$30,Assumptions!$D$19:$D$30)</f>
        <v>1.5</v>
      </c>
      <c r="BD120" s="151">
        <f>_xlfn.XLOOKUP(BD10,Assumptions!$B$19:$B$30,Assumptions!$D$19:$D$30)</f>
        <v>0.8</v>
      </c>
      <c r="BE120" s="151">
        <f>_xlfn.XLOOKUP(BE10,Assumptions!$B$19:$B$30,Assumptions!$D$19:$D$30)</f>
        <v>0.75</v>
      </c>
      <c r="BF120" s="151">
        <f>_xlfn.XLOOKUP(BF10,Assumptions!$B$19:$B$30,Assumptions!$D$19:$D$30)</f>
        <v>1</v>
      </c>
      <c r="BG120" s="151">
        <f>_xlfn.XLOOKUP(BG10,Assumptions!$B$19:$B$30,Assumptions!$D$19:$D$30)</f>
        <v>1</v>
      </c>
      <c r="BH120" s="151">
        <f>_xlfn.XLOOKUP(BH10,Assumptions!$B$19:$B$30,Assumptions!$D$19:$D$30)</f>
        <v>1</v>
      </c>
      <c r="BI120" s="151">
        <f>_xlfn.XLOOKUP(BI10,Assumptions!$B$19:$B$30,Assumptions!$D$19:$D$30)</f>
        <v>1</v>
      </c>
      <c r="BJ120" s="151">
        <f>_xlfn.XLOOKUP(BJ10,Assumptions!$B$19:$B$30,Assumptions!$D$19:$D$30)</f>
        <v>1</v>
      </c>
      <c r="BK120" s="151">
        <f>_xlfn.XLOOKUP(BK10,Assumptions!$B$19:$B$30,Assumptions!$D$19:$D$30)</f>
        <v>1</v>
      </c>
      <c r="BL120" s="151">
        <f>_xlfn.XLOOKUP(BL10,Assumptions!$B$19:$B$30,Assumptions!$D$19:$D$30)</f>
        <v>1</v>
      </c>
      <c r="BM120" s="151">
        <f>_xlfn.XLOOKUP(BM10,Assumptions!$B$19:$B$30,Assumptions!$D$19:$D$30)</f>
        <v>1</v>
      </c>
      <c r="BN120" s="151">
        <f>_xlfn.XLOOKUP(BN10,Assumptions!$B$19:$B$30,Assumptions!$D$19:$D$30)</f>
        <v>1</v>
      </c>
      <c r="BO120" s="151">
        <f>_xlfn.XLOOKUP(BO10,Assumptions!$B$19:$B$30,Assumptions!$D$19:$D$30)</f>
        <v>1.5</v>
      </c>
      <c r="BP120" s="151"/>
      <c r="BQ120" s="151"/>
    </row>
    <row r="121" spans="2:69" s="22" customFormat="1" outlineLevel="1">
      <c r="E121" s="28"/>
      <c r="F121" s="29"/>
      <c r="G121" s="66"/>
    </row>
    <row r="122" spans="2:69" s="23" customFormat="1" ht="13.7" customHeight="1">
      <c r="B122" s="57" t="s">
        <v>1226</v>
      </c>
      <c r="C122" s="58"/>
      <c r="D122" s="58"/>
      <c r="E122" s="59"/>
      <c r="F122" s="60"/>
      <c r="G122" s="58"/>
      <c r="H122" s="58"/>
      <c r="I122" s="58"/>
      <c r="J122" s="58"/>
      <c r="K122" s="58"/>
      <c r="L122" s="58"/>
      <c r="M122" s="58"/>
      <c r="N122" s="58"/>
      <c r="O122" s="58"/>
      <c r="P122" s="58"/>
      <c r="Q122" s="58"/>
      <c r="R122" s="58"/>
      <c r="S122" s="58"/>
      <c r="T122" s="58"/>
      <c r="U122" s="58"/>
      <c r="V122" s="58"/>
      <c r="W122" s="58"/>
      <c r="X122" s="58"/>
      <c r="Y122" s="58"/>
      <c r="Z122" s="58"/>
      <c r="AA122" s="58"/>
      <c r="AB122" s="58"/>
      <c r="AC122" s="58"/>
      <c r="AD122" s="58"/>
      <c r="AE122" s="58"/>
      <c r="AF122" s="58"/>
      <c r="AG122" s="58"/>
      <c r="AH122" s="58"/>
      <c r="AI122" s="58"/>
      <c r="AJ122" s="58"/>
      <c r="AK122" s="58"/>
      <c r="AL122" s="58"/>
      <c r="AM122" s="58"/>
      <c r="AN122" s="58"/>
      <c r="AO122" s="58"/>
      <c r="AP122" s="58"/>
      <c r="AQ122" s="58"/>
      <c r="AR122" s="58"/>
      <c r="AS122" s="58"/>
      <c r="AT122" s="58"/>
      <c r="AU122" s="58"/>
      <c r="AV122" s="58"/>
      <c r="AW122" s="58"/>
      <c r="AX122" s="58"/>
      <c r="AY122" s="58"/>
      <c r="AZ122" s="58"/>
      <c r="BA122" s="58"/>
      <c r="BB122" s="58"/>
      <c r="BC122" s="58"/>
      <c r="BD122" s="58"/>
      <c r="BE122" s="58"/>
      <c r="BF122" s="58"/>
      <c r="BG122" s="58"/>
      <c r="BH122" s="58"/>
      <c r="BI122" s="58"/>
      <c r="BJ122" s="58"/>
      <c r="BK122" s="58"/>
      <c r="BL122" s="58"/>
      <c r="BM122" s="58"/>
      <c r="BN122" s="58"/>
      <c r="BO122" s="58"/>
      <c r="BP122" s="356"/>
      <c r="BQ122" s="356"/>
    </row>
    <row r="123" spans="2:69" s="22" customFormat="1" outlineLevel="2">
      <c r="E123" s="28"/>
      <c r="F123" s="29"/>
      <c r="G123" s="66"/>
    </row>
    <row r="124" spans="2:69" s="22" customFormat="1" outlineLevel="2">
      <c r="B124" s="69" t="s">
        <v>1227</v>
      </c>
      <c r="E124" s="28"/>
      <c r="F124" s="29" t="s">
        <v>1228</v>
      </c>
      <c r="G124" s="66"/>
      <c r="H124" s="22" t="str" cm="1">
        <f t="array" ref="H124:AG124">TRANSPOSE(_xlfn.ANCHORARRAY(C127))</f>
        <v>Axisbyte</v>
      </c>
      <c r="I124" s="22" t="str">
        <v>Bootwell</v>
      </c>
      <c r="J124" s="22" t="str">
        <v>Cacheford</v>
      </c>
      <c r="K124" s="22" t="str">
        <v>Datahaven</v>
      </c>
      <c r="L124" s="22" t="str">
        <v>Etherport</v>
      </c>
      <c r="M124" s="22" t="str">
        <v>Fiberfall</v>
      </c>
      <c r="N124" s="22" t="str">
        <v>Gigatown</v>
      </c>
      <c r="O124" s="22" t="str">
        <v>Hexavale</v>
      </c>
      <c r="P124" s="22" t="str">
        <v>Input City</v>
      </c>
      <c r="Q124" s="22" t="str">
        <v>Junction Core</v>
      </c>
      <c r="R124" s="22" t="str">
        <v>Kernel Heights</v>
      </c>
      <c r="S124" s="22" t="str">
        <v>Logicridge</v>
      </c>
      <c r="T124" s="22" t="str">
        <v>Megahub</v>
      </c>
      <c r="U124" s="22" t="str">
        <v>Nodeline</v>
      </c>
      <c r="V124" s="22" t="str">
        <v>Overclock Oasis</v>
      </c>
      <c r="W124" s="22" t="str">
        <v>Pingborough</v>
      </c>
      <c r="X124" s="22" t="str">
        <v>Quantum Quay</v>
      </c>
      <c r="Y124" s="22" t="str">
        <v>Renderburg</v>
      </c>
      <c r="Z124" s="22" t="str">
        <v>Socket Springs</v>
      </c>
      <c r="AA124" s="22" t="str">
        <v>TerraTask</v>
      </c>
      <c r="AB124" s="22" t="str">
        <v>Uploadia</v>
      </c>
      <c r="AC124" s="22" t="str">
        <v>Vector Valley</v>
      </c>
      <c r="AD124" s="22" t="str">
        <v>Wiredown</v>
      </c>
      <c r="AE124" s="22" t="str">
        <v>Xenocode City</v>
      </c>
      <c r="AF124" s="22" t="str">
        <v>Yieldville</v>
      </c>
      <c r="AG124" s="22" t="str">
        <v>ZeroDay Zone</v>
      </c>
      <c r="AH124" s="22" t="str">
        <f>H124</f>
        <v>Axisbyte</v>
      </c>
      <c r="AI124" s="22" t="str">
        <f t="shared" ref="AI124:BO124" si="75">I124</f>
        <v>Bootwell</v>
      </c>
      <c r="AJ124" s="22" t="str">
        <f t="shared" si="75"/>
        <v>Cacheford</v>
      </c>
      <c r="AK124" s="22" t="str">
        <f t="shared" si="75"/>
        <v>Datahaven</v>
      </c>
      <c r="AL124" s="22" t="str">
        <f t="shared" si="75"/>
        <v>Etherport</v>
      </c>
      <c r="AM124" s="22" t="str">
        <f t="shared" si="75"/>
        <v>Fiberfall</v>
      </c>
      <c r="AN124" s="22" t="str">
        <f t="shared" si="75"/>
        <v>Gigatown</v>
      </c>
      <c r="AO124" s="22" t="str">
        <f t="shared" si="75"/>
        <v>Hexavale</v>
      </c>
      <c r="AP124" s="22" t="str">
        <f t="shared" si="75"/>
        <v>Input City</v>
      </c>
      <c r="AQ124" s="22" t="str">
        <f t="shared" si="75"/>
        <v>Junction Core</v>
      </c>
      <c r="AR124" s="22" t="str">
        <f t="shared" si="75"/>
        <v>Kernel Heights</v>
      </c>
      <c r="AS124" s="22" t="str">
        <f t="shared" si="75"/>
        <v>Logicridge</v>
      </c>
      <c r="AT124" s="22" t="str">
        <f t="shared" si="75"/>
        <v>Megahub</v>
      </c>
      <c r="AU124" s="22" t="str">
        <f t="shared" si="75"/>
        <v>Nodeline</v>
      </c>
      <c r="AV124" s="22" t="str">
        <f t="shared" si="75"/>
        <v>Overclock Oasis</v>
      </c>
      <c r="AW124" s="22" t="str">
        <f t="shared" si="75"/>
        <v>Pingborough</v>
      </c>
      <c r="AX124" s="22" t="str">
        <f t="shared" si="75"/>
        <v>Quantum Quay</v>
      </c>
      <c r="AY124" s="22" t="str">
        <f t="shared" si="75"/>
        <v>Renderburg</v>
      </c>
      <c r="AZ124" s="22" t="str">
        <f t="shared" si="75"/>
        <v>Socket Springs</v>
      </c>
      <c r="BA124" s="22" t="str">
        <f t="shared" si="75"/>
        <v>TerraTask</v>
      </c>
      <c r="BB124" s="22" t="str">
        <f t="shared" si="75"/>
        <v>Uploadia</v>
      </c>
      <c r="BC124" s="22" t="str">
        <f t="shared" si="75"/>
        <v>Vector Valley</v>
      </c>
      <c r="BD124" s="22" t="str">
        <f t="shared" si="75"/>
        <v>Wiredown</v>
      </c>
      <c r="BE124" s="22" t="str">
        <f t="shared" si="75"/>
        <v>Xenocode City</v>
      </c>
      <c r="BF124" s="22" t="str">
        <f t="shared" si="75"/>
        <v>Yieldville</v>
      </c>
      <c r="BG124" s="22" t="str">
        <f t="shared" si="75"/>
        <v>ZeroDay Zone</v>
      </c>
      <c r="BH124" s="22" t="str">
        <f t="shared" si="75"/>
        <v>Axisbyte</v>
      </c>
      <c r="BI124" s="22" t="str">
        <f t="shared" si="75"/>
        <v>Bootwell</v>
      </c>
      <c r="BJ124" s="22" t="str">
        <f t="shared" si="75"/>
        <v>Cacheford</v>
      </c>
      <c r="BK124" s="22" t="str">
        <f t="shared" si="75"/>
        <v>Datahaven</v>
      </c>
      <c r="BL124" s="22" t="str">
        <f t="shared" si="75"/>
        <v>Etherport</v>
      </c>
      <c r="BM124" s="22" t="str">
        <f t="shared" si="75"/>
        <v>Fiberfall</v>
      </c>
      <c r="BN124" s="22" t="str">
        <f t="shared" si="75"/>
        <v>Gigatown</v>
      </c>
      <c r="BO124" s="22" t="str">
        <f t="shared" si="75"/>
        <v>Hexavale</v>
      </c>
    </row>
    <row r="125" spans="2:69" s="22" customFormat="1" outlineLevel="2">
      <c r="E125" s="28"/>
      <c r="F125" s="29"/>
      <c r="G125" s="66"/>
    </row>
    <row r="126" spans="2:69" s="22" customFormat="1" outlineLevel="2">
      <c r="B126" s="32" t="s">
        <v>1229</v>
      </c>
      <c r="E126" s="28"/>
      <c r="F126" s="29"/>
      <c r="G126" s="66"/>
    </row>
    <row r="127" spans="2:69" s="22" customFormat="1" outlineLevel="2">
      <c r="C127" s="22" t="str" cm="1">
        <f t="array" ref="C127:C152">_xlfn._xlws.SORT(_xlfn.UNIQUE('Existing Stores'!D9:D1008),,1)</f>
        <v>Axisbyte</v>
      </c>
      <c r="D127" s="146"/>
      <c r="E127" s="147"/>
      <c r="F127" s="29" t="s">
        <v>1230</v>
      </c>
      <c r="G127" s="66" cm="1">
        <f t="array" ref="G127:G152">COUNTIF('Existing Stores'!D9:D1008,_xlfn.ANCHORARRAY(C127))</f>
        <v>6</v>
      </c>
      <c r="H127" s="22">
        <f>$G127+COUNTIF($H$124:H$124,$C127)</f>
        <v>7</v>
      </c>
      <c r="I127" s="22">
        <f>$G127+COUNTIF($H124:I124,$C127)</f>
        <v>7</v>
      </c>
      <c r="J127" s="22">
        <f>$G127+COUNTIF($H124:J124,$C127)</f>
        <v>7</v>
      </c>
      <c r="K127" s="22">
        <f>$G127+COUNTIF($H124:K124,$C127)</f>
        <v>7</v>
      </c>
      <c r="L127" s="22">
        <f>$G127+COUNTIF($H124:L124,$C127)</f>
        <v>7</v>
      </c>
      <c r="M127" s="22">
        <f>$G127+COUNTIF($H124:M124,$C127)</f>
        <v>7</v>
      </c>
      <c r="N127" s="22">
        <f>$G127+COUNTIF($H124:N124,$C127)</f>
        <v>7</v>
      </c>
      <c r="O127" s="22">
        <f>$G127+COUNTIF($H124:O124,$C127)</f>
        <v>7</v>
      </c>
      <c r="P127" s="22">
        <f>$G127+COUNTIF($H124:P124,$C127)</f>
        <v>7</v>
      </c>
      <c r="Q127" s="22">
        <f>$G127+COUNTIF($H124:Q124,$C127)</f>
        <v>7</v>
      </c>
      <c r="R127" s="22">
        <f>$G127+COUNTIF($H124:R124,$C127)</f>
        <v>7</v>
      </c>
      <c r="S127" s="22">
        <f>$G127+COUNTIF($H124:S124,$C127)</f>
        <v>7</v>
      </c>
      <c r="T127" s="22">
        <f>$G127+COUNTIF($H124:T124,$C127)</f>
        <v>7</v>
      </c>
      <c r="U127" s="22">
        <f>$G127+COUNTIF($H124:U124,$C127)</f>
        <v>7</v>
      </c>
      <c r="V127" s="22">
        <f>$G127+COUNTIF($H124:V124,$C127)</f>
        <v>7</v>
      </c>
      <c r="W127" s="22">
        <f>$G127+COUNTIF($H124:W124,$C127)</f>
        <v>7</v>
      </c>
      <c r="X127" s="22">
        <f>$G127+COUNTIF($H124:X124,$C127)</f>
        <v>7</v>
      </c>
      <c r="Y127" s="22">
        <f>$G127+COUNTIF($H124:Y124,$C127)</f>
        <v>7</v>
      </c>
      <c r="Z127" s="22">
        <f>$G127+COUNTIF($H124:Z124,$C127)</f>
        <v>7</v>
      </c>
      <c r="AA127" s="22">
        <f>$G127+COUNTIF($H124:AA124,$C127)</f>
        <v>7</v>
      </c>
      <c r="AB127" s="22">
        <f>$G127+COUNTIF($H124:AB124,$C127)</f>
        <v>7</v>
      </c>
      <c r="AC127" s="22">
        <f>$G127+COUNTIF($H124:AC124,$C127)</f>
        <v>7</v>
      </c>
      <c r="AD127" s="22">
        <f>$G127+COUNTIF($H124:AD124,$C127)</f>
        <v>7</v>
      </c>
      <c r="AE127" s="22">
        <f>$G127+COUNTIF($H124:AE124,$C127)</f>
        <v>7</v>
      </c>
      <c r="AF127" s="22">
        <f>$G127+COUNTIF($H124:AF124,$C127)</f>
        <v>7</v>
      </c>
      <c r="AG127" s="22">
        <f>$G127+COUNTIF($H124:AG124,$C127)</f>
        <v>7</v>
      </c>
      <c r="AH127" s="22">
        <f>$G127+COUNTIF($H124:AH124,$C127)</f>
        <v>8</v>
      </c>
      <c r="AI127" s="22">
        <f>$G127+COUNTIF($H124:AI124,$C127)</f>
        <v>8</v>
      </c>
      <c r="AJ127" s="22">
        <f>$G127+COUNTIF($H124:AJ124,$C127)</f>
        <v>8</v>
      </c>
      <c r="AK127" s="22">
        <f>$G127+COUNTIF($H124:AK124,$C127)</f>
        <v>8</v>
      </c>
      <c r="AL127" s="22">
        <f>$G127+COUNTIF($H124:AL124,$C127)</f>
        <v>8</v>
      </c>
      <c r="AM127" s="22">
        <f>$G127+COUNTIF($H124:AM124,$C127)</f>
        <v>8</v>
      </c>
      <c r="AN127" s="22">
        <f>$G127+COUNTIF($H124:AN124,$C127)</f>
        <v>8</v>
      </c>
      <c r="AO127" s="22">
        <f>$G127+COUNTIF($H124:AO124,$C127)</f>
        <v>8</v>
      </c>
      <c r="AP127" s="22">
        <f>$G127+COUNTIF($H124:AP124,$C127)</f>
        <v>8</v>
      </c>
      <c r="AQ127" s="22">
        <f>$G127+COUNTIF($H124:AQ124,$C127)</f>
        <v>8</v>
      </c>
      <c r="AR127" s="22">
        <f>$G127+COUNTIF($H124:AR124,$C127)</f>
        <v>8</v>
      </c>
      <c r="AS127" s="22">
        <f>$G127+COUNTIF($H124:AS124,$C127)</f>
        <v>8</v>
      </c>
      <c r="AT127" s="22">
        <f>$G127+COUNTIF($H124:AT124,$C127)</f>
        <v>8</v>
      </c>
      <c r="AU127" s="22">
        <f>$G127+COUNTIF($H124:AU124,$C127)</f>
        <v>8</v>
      </c>
      <c r="AV127" s="22">
        <f>$G127+COUNTIF($H124:AV124,$C127)</f>
        <v>8</v>
      </c>
      <c r="AW127" s="22">
        <f>$G127+COUNTIF($H124:AW124,$C127)</f>
        <v>8</v>
      </c>
      <c r="AX127" s="22">
        <f>$G127+COUNTIF($H124:AX124,$C127)</f>
        <v>8</v>
      </c>
      <c r="AY127" s="22">
        <f>$G127+COUNTIF($H124:AY124,$C127)</f>
        <v>8</v>
      </c>
      <c r="AZ127" s="22">
        <f>$G127+COUNTIF($H124:AZ124,$C127)</f>
        <v>8</v>
      </c>
      <c r="BA127" s="22">
        <f>$G127+COUNTIF($H124:BA124,$C127)</f>
        <v>8</v>
      </c>
      <c r="BB127" s="22">
        <f>$G127+COUNTIF($H124:BB124,$C127)</f>
        <v>8</v>
      </c>
      <c r="BC127" s="22">
        <f>$G127+COUNTIF($H124:BC124,$C127)</f>
        <v>8</v>
      </c>
      <c r="BD127" s="22">
        <f>$G127+COUNTIF($H124:BD124,$C127)</f>
        <v>8</v>
      </c>
      <c r="BE127" s="22">
        <f>$G127+COUNTIF($H124:BE124,$C127)</f>
        <v>8</v>
      </c>
      <c r="BF127" s="22">
        <f>$G127+COUNTIF($H124:BF124,$C127)</f>
        <v>8</v>
      </c>
      <c r="BG127" s="22">
        <f>$G127+COUNTIF($H124:BG124,$C127)</f>
        <v>8</v>
      </c>
      <c r="BH127" s="22">
        <f>$G127+COUNTIF($H124:BH124,$C127)</f>
        <v>9</v>
      </c>
      <c r="BI127" s="22">
        <f>$G127+COUNTIF($H124:BI124,$C127)</f>
        <v>9</v>
      </c>
      <c r="BJ127" s="22">
        <f>$G127+COUNTIF($H124:BJ124,$C127)</f>
        <v>9</v>
      </c>
      <c r="BK127" s="22">
        <f>$G127+COUNTIF($H124:BK124,$C127)</f>
        <v>9</v>
      </c>
      <c r="BL127" s="22">
        <f>$G127+COUNTIF($H124:BL124,$C127)</f>
        <v>9</v>
      </c>
      <c r="BM127" s="22">
        <f>$G127+COUNTIF($H124:BM124,$C127)</f>
        <v>9</v>
      </c>
      <c r="BN127" s="22">
        <f>$G127+COUNTIF($H124:BN124,$C127)</f>
        <v>9</v>
      </c>
      <c r="BO127" s="22">
        <f>$G127+COUNTIF($H124:BO124,$C127)</f>
        <v>9</v>
      </c>
    </row>
    <row r="128" spans="2:69" s="22" customFormat="1" outlineLevel="2">
      <c r="C128" s="22" t="str">
        <v>Bootwell</v>
      </c>
      <c r="D128" s="146"/>
      <c r="E128" s="147"/>
      <c r="F128" s="29" t="s">
        <v>1230</v>
      </c>
      <c r="G128" s="66">
        <v>30</v>
      </c>
      <c r="H128" s="22">
        <f>$G128+COUNTIF($H$124:H$124,$C128)</f>
        <v>30</v>
      </c>
      <c r="I128" s="22">
        <f>$G128+COUNTIF($H$124:I$124,$C128)</f>
        <v>31</v>
      </c>
      <c r="J128" s="22">
        <f>$G128+COUNTIF($H$124:J$124,$C128)</f>
        <v>31</v>
      </c>
      <c r="K128" s="22">
        <f>$G128+COUNTIF($H$124:K$124,$C128)</f>
        <v>31</v>
      </c>
      <c r="L128" s="22">
        <f>$G128+COUNTIF($H$124:L$124,$C128)</f>
        <v>31</v>
      </c>
      <c r="M128" s="22">
        <f>$G128+COUNTIF($H$124:M$124,$C128)</f>
        <v>31</v>
      </c>
      <c r="N128" s="22">
        <f>$G128+COUNTIF($H$124:N$124,$C128)</f>
        <v>31</v>
      </c>
      <c r="O128" s="22">
        <f>$G128+COUNTIF($H$124:O$124,$C128)</f>
        <v>31</v>
      </c>
      <c r="P128" s="22">
        <f>$G128+COUNTIF($H$124:P$124,$C128)</f>
        <v>31</v>
      </c>
      <c r="Q128" s="22">
        <f>$G128+COUNTIF($H$124:Q$124,$C128)</f>
        <v>31</v>
      </c>
      <c r="R128" s="22">
        <f>$G128+COUNTIF($H$124:R$124,$C128)</f>
        <v>31</v>
      </c>
      <c r="S128" s="22">
        <f>$G128+COUNTIF($H$124:S$124,$C128)</f>
        <v>31</v>
      </c>
      <c r="T128" s="22">
        <f>$G128+COUNTIF($H$124:T$124,$C128)</f>
        <v>31</v>
      </c>
      <c r="U128" s="22">
        <f>$G128+COUNTIF($H$124:U$124,$C128)</f>
        <v>31</v>
      </c>
      <c r="V128" s="22">
        <f>$G128+COUNTIF($H$124:V$124,$C128)</f>
        <v>31</v>
      </c>
      <c r="W128" s="22">
        <f>$G128+COUNTIF($H$124:W$124,$C128)</f>
        <v>31</v>
      </c>
      <c r="X128" s="22">
        <f>$G128+COUNTIF($H$124:X$124,$C128)</f>
        <v>31</v>
      </c>
      <c r="Y128" s="22">
        <f>$G128+COUNTIF($H$124:Y$124,$C128)</f>
        <v>31</v>
      </c>
      <c r="Z128" s="22">
        <f>$G128+COUNTIF($H$124:Z$124,$C128)</f>
        <v>31</v>
      </c>
      <c r="AA128" s="22">
        <f>$G128+COUNTIF($H$124:AA$124,$C128)</f>
        <v>31</v>
      </c>
      <c r="AB128" s="22">
        <f>$G128+COUNTIF($H$124:AB$124,$C128)</f>
        <v>31</v>
      </c>
      <c r="AC128" s="22">
        <f>$G128+COUNTIF($H$124:AC$124,$C128)</f>
        <v>31</v>
      </c>
      <c r="AD128" s="22">
        <f>$G128+COUNTIF($H$124:AD$124,$C128)</f>
        <v>31</v>
      </c>
      <c r="AE128" s="22">
        <f>$G128+COUNTIF($H$124:AE$124,$C128)</f>
        <v>31</v>
      </c>
      <c r="AF128" s="22">
        <f>$G128+COUNTIF($H$124:AF$124,$C128)</f>
        <v>31</v>
      </c>
      <c r="AG128" s="22">
        <f>$G128+COUNTIF($H$124:AG$124,$C128)</f>
        <v>31</v>
      </c>
      <c r="AH128" s="22">
        <f>$G128+COUNTIF($H$124:AH$124,$C128)</f>
        <v>31</v>
      </c>
      <c r="AI128" s="22">
        <f>$G128+COUNTIF($H$124:AI$124,$C128)</f>
        <v>32</v>
      </c>
      <c r="AJ128" s="22">
        <f>$G128+COUNTIF($H$124:AJ$124,$C128)</f>
        <v>32</v>
      </c>
      <c r="AK128" s="22">
        <f>$G128+COUNTIF($H$124:AK$124,$C128)</f>
        <v>32</v>
      </c>
      <c r="AL128" s="22">
        <f>$G128+COUNTIF($H$124:AL$124,$C128)</f>
        <v>32</v>
      </c>
      <c r="AM128" s="22">
        <f>$G128+COUNTIF($H$124:AM$124,$C128)</f>
        <v>32</v>
      </c>
      <c r="AN128" s="22">
        <f>$G128+COUNTIF($H$124:AN$124,$C128)</f>
        <v>32</v>
      </c>
      <c r="AO128" s="22">
        <f>$G128+COUNTIF($H$124:AO$124,$C128)</f>
        <v>32</v>
      </c>
      <c r="AP128" s="22">
        <f>$G128+COUNTIF($H$124:AP$124,$C128)</f>
        <v>32</v>
      </c>
      <c r="AQ128" s="22">
        <f>$G128+COUNTIF($H$124:AQ$124,$C128)</f>
        <v>32</v>
      </c>
      <c r="AR128" s="22">
        <f>$G128+COUNTIF($H$124:AR$124,$C128)</f>
        <v>32</v>
      </c>
      <c r="AS128" s="22">
        <f>$G128+COUNTIF($H$124:AS$124,$C128)</f>
        <v>32</v>
      </c>
      <c r="AT128" s="22">
        <f>$G128+COUNTIF($H$124:AT$124,$C128)</f>
        <v>32</v>
      </c>
      <c r="AU128" s="22">
        <f>$G128+COUNTIF($H$124:AU$124,$C128)</f>
        <v>32</v>
      </c>
      <c r="AV128" s="22">
        <f>$G128+COUNTIF($H$124:AV$124,$C128)</f>
        <v>32</v>
      </c>
      <c r="AW128" s="22">
        <f>$G128+COUNTIF($H$124:AW$124,$C128)</f>
        <v>32</v>
      </c>
      <c r="AX128" s="22">
        <f>$G128+COUNTIF($H$124:AX$124,$C128)</f>
        <v>32</v>
      </c>
      <c r="AY128" s="22">
        <f>$G128+COUNTIF($H$124:AY$124,$C128)</f>
        <v>32</v>
      </c>
      <c r="AZ128" s="22">
        <f>$G128+COUNTIF($H$124:AZ$124,$C128)</f>
        <v>32</v>
      </c>
      <c r="BA128" s="22">
        <f>$G128+COUNTIF($H$124:BA$124,$C128)</f>
        <v>32</v>
      </c>
      <c r="BB128" s="22">
        <f>$G128+COUNTIF($H$124:BB$124,$C128)</f>
        <v>32</v>
      </c>
      <c r="BC128" s="22">
        <f>$G128+COUNTIF($H$124:BC$124,$C128)</f>
        <v>32</v>
      </c>
      <c r="BD128" s="22">
        <f>$G128+COUNTIF($H$124:BD$124,$C128)</f>
        <v>32</v>
      </c>
      <c r="BE128" s="22">
        <f>$G128+COUNTIF($H$124:BE$124,$C128)</f>
        <v>32</v>
      </c>
      <c r="BF128" s="22">
        <f>$G128+COUNTIF($H$124:BF$124,$C128)</f>
        <v>32</v>
      </c>
      <c r="BG128" s="22">
        <f>$G128+COUNTIF($H$124:BG$124,$C128)</f>
        <v>32</v>
      </c>
      <c r="BH128" s="22">
        <f>$G128+COUNTIF($H$124:BH$124,$C128)</f>
        <v>32</v>
      </c>
      <c r="BI128" s="22">
        <f>$G128+COUNTIF($H$124:BI$124,$C128)</f>
        <v>33</v>
      </c>
      <c r="BJ128" s="22">
        <f>$G128+COUNTIF($H$124:BJ$124,$C128)</f>
        <v>33</v>
      </c>
      <c r="BK128" s="22">
        <f>$G128+COUNTIF($H$124:BK$124,$C128)</f>
        <v>33</v>
      </c>
      <c r="BL128" s="22">
        <f>$G128+COUNTIF($H$124:BL$124,$C128)</f>
        <v>33</v>
      </c>
      <c r="BM128" s="22">
        <f>$G128+COUNTIF($H$124:BM$124,$C128)</f>
        <v>33</v>
      </c>
      <c r="BN128" s="22">
        <f>$G128+COUNTIF($H$124:BN$124,$C128)</f>
        <v>33</v>
      </c>
      <c r="BO128" s="22">
        <f>$G128+COUNTIF($H$124:BO$124,$C128)</f>
        <v>33</v>
      </c>
    </row>
    <row r="129" spans="3:67" s="22" customFormat="1" outlineLevel="2">
      <c r="C129" s="22" t="str">
        <v>Cacheford</v>
      </c>
      <c r="D129" s="146"/>
      <c r="E129" s="147"/>
      <c r="F129" s="29" t="s">
        <v>1230</v>
      </c>
      <c r="G129" s="66">
        <v>5</v>
      </c>
      <c r="H129" s="22">
        <f>$G129+COUNTIF($H$124:H$124,$C129)</f>
        <v>5</v>
      </c>
      <c r="I129" s="22">
        <f>$G129+COUNTIF($H$124:I$124,$C129)</f>
        <v>5</v>
      </c>
      <c r="J129" s="22">
        <f>$G129+COUNTIF($H$124:J$124,$C129)</f>
        <v>6</v>
      </c>
      <c r="K129" s="22">
        <f>$G129+COUNTIF($H$124:K$124,$C129)</f>
        <v>6</v>
      </c>
      <c r="L129" s="22">
        <f>$G129+COUNTIF($H$124:L$124,$C129)</f>
        <v>6</v>
      </c>
      <c r="M129" s="22">
        <f>$G129+COUNTIF($H$124:M$124,$C129)</f>
        <v>6</v>
      </c>
      <c r="N129" s="22">
        <f>$G129+COUNTIF($H$124:N$124,$C129)</f>
        <v>6</v>
      </c>
      <c r="O129" s="22">
        <f>$G129+COUNTIF($H$124:O$124,$C129)</f>
        <v>6</v>
      </c>
      <c r="P129" s="22">
        <f>$G129+COUNTIF($H$124:P$124,$C129)</f>
        <v>6</v>
      </c>
      <c r="Q129" s="22">
        <f>$G129+COUNTIF($H$124:Q$124,$C129)</f>
        <v>6</v>
      </c>
      <c r="R129" s="22">
        <f>$G129+COUNTIF($H$124:R$124,$C129)</f>
        <v>6</v>
      </c>
      <c r="S129" s="22">
        <f>$G129+COUNTIF($H$124:S$124,$C129)</f>
        <v>6</v>
      </c>
      <c r="T129" s="22">
        <f>$G129+COUNTIF($H$124:T$124,$C129)</f>
        <v>6</v>
      </c>
      <c r="U129" s="22">
        <f>$G129+COUNTIF($H$124:U$124,$C129)</f>
        <v>6</v>
      </c>
      <c r="V129" s="22">
        <f>$G129+COUNTIF($H$124:V$124,$C129)</f>
        <v>6</v>
      </c>
      <c r="W129" s="22">
        <f>$G129+COUNTIF($H$124:W$124,$C129)</f>
        <v>6</v>
      </c>
      <c r="X129" s="22">
        <f>$G129+COUNTIF($H$124:X$124,$C129)</f>
        <v>6</v>
      </c>
      <c r="Y129" s="22">
        <f>$G129+COUNTIF($H$124:Y$124,$C129)</f>
        <v>6</v>
      </c>
      <c r="Z129" s="22">
        <f>$G129+COUNTIF($H$124:Z$124,$C129)</f>
        <v>6</v>
      </c>
      <c r="AA129" s="22">
        <f>$G129+COUNTIF($H$124:AA$124,$C129)</f>
        <v>6</v>
      </c>
      <c r="AB129" s="22">
        <f>$G129+COUNTIF($H$124:AB$124,$C129)</f>
        <v>6</v>
      </c>
      <c r="AC129" s="22">
        <f>$G129+COUNTIF($H$124:AC$124,$C129)</f>
        <v>6</v>
      </c>
      <c r="AD129" s="22">
        <f>$G129+COUNTIF($H$124:AD$124,$C129)</f>
        <v>6</v>
      </c>
      <c r="AE129" s="22">
        <f>$G129+COUNTIF($H$124:AE$124,$C129)</f>
        <v>6</v>
      </c>
      <c r="AF129" s="22">
        <f>$G129+COUNTIF($H$124:AF$124,$C129)</f>
        <v>6</v>
      </c>
      <c r="AG129" s="22">
        <f>$G129+COUNTIF($H$124:AG$124,$C129)</f>
        <v>6</v>
      </c>
      <c r="AH129" s="22">
        <f>$G129+COUNTIF($H$124:AH$124,$C129)</f>
        <v>6</v>
      </c>
      <c r="AI129" s="22">
        <f>$G129+COUNTIF($H$124:AI$124,$C129)</f>
        <v>6</v>
      </c>
      <c r="AJ129" s="22">
        <f>$G129+COUNTIF($H$124:AJ$124,$C129)</f>
        <v>7</v>
      </c>
      <c r="AK129" s="22">
        <f>$G129+COUNTIF($H$124:AK$124,$C129)</f>
        <v>7</v>
      </c>
      <c r="AL129" s="22">
        <f>$G129+COUNTIF($H$124:AL$124,$C129)</f>
        <v>7</v>
      </c>
      <c r="AM129" s="22">
        <f>$G129+COUNTIF($H$124:AM$124,$C129)</f>
        <v>7</v>
      </c>
      <c r="AN129" s="22">
        <f>$G129+COUNTIF($H$124:AN$124,$C129)</f>
        <v>7</v>
      </c>
      <c r="AO129" s="22">
        <f>$G129+COUNTIF($H$124:AO$124,$C129)</f>
        <v>7</v>
      </c>
      <c r="AP129" s="22">
        <f>$G129+COUNTIF($H$124:AP$124,$C129)</f>
        <v>7</v>
      </c>
      <c r="AQ129" s="22">
        <f>$G129+COUNTIF($H$124:AQ$124,$C129)</f>
        <v>7</v>
      </c>
      <c r="AR129" s="22">
        <f>$G129+COUNTIF($H$124:AR$124,$C129)</f>
        <v>7</v>
      </c>
      <c r="AS129" s="22">
        <f>$G129+COUNTIF($H$124:AS$124,$C129)</f>
        <v>7</v>
      </c>
      <c r="AT129" s="22">
        <f>$G129+COUNTIF($H$124:AT$124,$C129)</f>
        <v>7</v>
      </c>
      <c r="AU129" s="22">
        <f>$G129+COUNTIF($H$124:AU$124,$C129)</f>
        <v>7</v>
      </c>
      <c r="AV129" s="22">
        <f>$G129+COUNTIF($H$124:AV$124,$C129)</f>
        <v>7</v>
      </c>
      <c r="AW129" s="22">
        <f>$G129+COUNTIF($H$124:AW$124,$C129)</f>
        <v>7</v>
      </c>
      <c r="AX129" s="22">
        <f>$G129+COUNTIF($H$124:AX$124,$C129)</f>
        <v>7</v>
      </c>
      <c r="AY129" s="22">
        <f>$G129+COUNTIF($H$124:AY$124,$C129)</f>
        <v>7</v>
      </c>
      <c r="AZ129" s="22">
        <f>$G129+COUNTIF($H$124:AZ$124,$C129)</f>
        <v>7</v>
      </c>
      <c r="BA129" s="22">
        <f>$G129+COUNTIF($H$124:BA$124,$C129)</f>
        <v>7</v>
      </c>
      <c r="BB129" s="22">
        <f>$G129+COUNTIF($H$124:BB$124,$C129)</f>
        <v>7</v>
      </c>
      <c r="BC129" s="22">
        <f>$G129+COUNTIF($H$124:BC$124,$C129)</f>
        <v>7</v>
      </c>
      <c r="BD129" s="22">
        <f>$G129+COUNTIF($H$124:BD$124,$C129)</f>
        <v>7</v>
      </c>
      <c r="BE129" s="22">
        <f>$G129+COUNTIF($H$124:BE$124,$C129)</f>
        <v>7</v>
      </c>
      <c r="BF129" s="22">
        <f>$G129+COUNTIF($H$124:BF$124,$C129)</f>
        <v>7</v>
      </c>
      <c r="BG129" s="22">
        <f>$G129+COUNTIF($H$124:BG$124,$C129)</f>
        <v>7</v>
      </c>
      <c r="BH129" s="22">
        <f>$G129+COUNTIF($H$124:BH$124,$C129)</f>
        <v>7</v>
      </c>
      <c r="BI129" s="22">
        <f>$G129+COUNTIF($H$124:BI$124,$C129)</f>
        <v>7</v>
      </c>
      <c r="BJ129" s="22">
        <f>$G129+COUNTIF($H$124:BJ$124,$C129)</f>
        <v>8</v>
      </c>
      <c r="BK129" s="22">
        <f>$G129+COUNTIF($H$124:BK$124,$C129)</f>
        <v>8</v>
      </c>
      <c r="BL129" s="22">
        <f>$G129+COUNTIF($H$124:BL$124,$C129)</f>
        <v>8</v>
      </c>
      <c r="BM129" s="22">
        <f>$G129+COUNTIF($H$124:BM$124,$C129)</f>
        <v>8</v>
      </c>
      <c r="BN129" s="22">
        <f>$G129+COUNTIF($H$124:BN$124,$C129)</f>
        <v>8</v>
      </c>
      <c r="BO129" s="22">
        <f>$G129+COUNTIF($H$124:BO$124,$C129)</f>
        <v>8</v>
      </c>
    </row>
    <row r="130" spans="3:67" s="22" customFormat="1" outlineLevel="2">
      <c r="C130" s="22" t="str">
        <v>Datahaven</v>
      </c>
      <c r="D130" s="146"/>
      <c r="E130" s="147"/>
      <c r="F130" s="29" t="s">
        <v>1230</v>
      </c>
      <c r="G130" s="66">
        <v>22</v>
      </c>
      <c r="H130" s="22">
        <f>$G130+COUNTIF($H$124:H$124,$C130)</f>
        <v>22</v>
      </c>
      <c r="I130" s="22">
        <f>$G130+COUNTIF($H$124:I$124,$C130)</f>
        <v>22</v>
      </c>
      <c r="J130" s="22">
        <f>$G130+COUNTIF($H$124:J$124,$C130)</f>
        <v>22</v>
      </c>
      <c r="K130" s="22">
        <f>$G130+COUNTIF($H$124:K$124,$C130)</f>
        <v>23</v>
      </c>
      <c r="L130" s="22">
        <f>$G130+COUNTIF($H$124:L$124,$C130)</f>
        <v>23</v>
      </c>
      <c r="M130" s="22">
        <f>$G130+COUNTIF($H$124:M$124,$C130)</f>
        <v>23</v>
      </c>
      <c r="N130" s="22">
        <f>$G130+COUNTIF($H$124:N$124,$C130)</f>
        <v>23</v>
      </c>
      <c r="O130" s="22">
        <f>$G130+COUNTIF($H$124:O$124,$C130)</f>
        <v>23</v>
      </c>
      <c r="P130" s="22">
        <f>$G130+COUNTIF($H$124:P$124,$C130)</f>
        <v>23</v>
      </c>
      <c r="Q130" s="22">
        <f>$G130+COUNTIF($H$124:Q$124,$C130)</f>
        <v>23</v>
      </c>
      <c r="R130" s="22">
        <f>$G130+COUNTIF($H$124:R$124,$C130)</f>
        <v>23</v>
      </c>
      <c r="S130" s="22">
        <f>$G130+COUNTIF($H$124:S$124,$C130)</f>
        <v>23</v>
      </c>
      <c r="T130" s="22">
        <f>$G130+COUNTIF($H$124:T$124,$C130)</f>
        <v>23</v>
      </c>
      <c r="U130" s="22">
        <f>$G130+COUNTIF($H$124:U$124,$C130)</f>
        <v>23</v>
      </c>
      <c r="V130" s="22">
        <f>$G130+COUNTIF($H$124:V$124,$C130)</f>
        <v>23</v>
      </c>
      <c r="W130" s="22">
        <f>$G130+COUNTIF($H$124:W$124,$C130)</f>
        <v>23</v>
      </c>
      <c r="X130" s="22">
        <f>$G130+COUNTIF($H$124:X$124,$C130)</f>
        <v>23</v>
      </c>
      <c r="Y130" s="22">
        <f>$G130+COUNTIF($H$124:Y$124,$C130)</f>
        <v>23</v>
      </c>
      <c r="Z130" s="22">
        <f>$G130+COUNTIF($H$124:Z$124,$C130)</f>
        <v>23</v>
      </c>
      <c r="AA130" s="22">
        <f>$G130+COUNTIF($H$124:AA$124,$C130)</f>
        <v>23</v>
      </c>
      <c r="AB130" s="22">
        <f>$G130+COUNTIF($H$124:AB$124,$C130)</f>
        <v>23</v>
      </c>
      <c r="AC130" s="22">
        <f>$G130+COUNTIF($H$124:AC$124,$C130)</f>
        <v>23</v>
      </c>
      <c r="AD130" s="22">
        <f>$G130+COUNTIF($H$124:AD$124,$C130)</f>
        <v>23</v>
      </c>
      <c r="AE130" s="22">
        <f>$G130+COUNTIF($H$124:AE$124,$C130)</f>
        <v>23</v>
      </c>
      <c r="AF130" s="22">
        <f>$G130+COUNTIF($H$124:AF$124,$C130)</f>
        <v>23</v>
      </c>
      <c r="AG130" s="22">
        <f>$G130+COUNTIF($H$124:AG$124,$C130)</f>
        <v>23</v>
      </c>
      <c r="AH130" s="22">
        <f>$G130+COUNTIF($H$124:AH$124,$C130)</f>
        <v>23</v>
      </c>
      <c r="AI130" s="22">
        <f>$G130+COUNTIF($H$124:AI$124,$C130)</f>
        <v>23</v>
      </c>
      <c r="AJ130" s="22">
        <f>$G130+COUNTIF($H$124:AJ$124,$C130)</f>
        <v>23</v>
      </c>
      <c r="AK130" s="22">
        <f>$G130+COUNTIF($H$124:AK$124,$C130)</f>
        <v>24</v>
      </c>
      <c r="AL130" s="22">
        <f>$G130+COUNTIF($H$124:AL$124,$C130)</f>
        <v>24</v>
      </c>
      <c r="AM130" s="22">
        <f>$G130+COUNTIF($H$124:AM$124,$C130)</f>
        <v>24</v>
      </c>
      <c r="AN130" s="22">
        <f>$G130+COUNTIF($H$124:AN$124,$C130)</f>
        <v>24</v>
      </c>
      <c r="AO130" s="22">
        <f>$G130+COUNTIF($H$124:AO$124,$C130)</f>
        <v>24</v>
      </c>
      <c r="AP130" s="22">
        <f>$G130+COUNTIF($H$124:AP$124,$C130)</f>
        <v>24</v>
      </c>
      <c r="AQ130" s="22">
        <f>$G130+COUNTIF($H$124:AQ$124,$C130)</f>
        <v>24</v>
      </c>
      <c r="AR130" s="22">
        <f>$G130+COUNTIF($H$124:AR$124,$C130)</f>
        <v>24</v>
      </c>
      <c r="AS130" s="22">
        <f>$G130+COUNTIF($H$124:AS$124,$C130)</f>
        <v>24</v>
      </c>
      <c r="AT130" s="22">
        <f>$G130+COUNTIF($H$124:AT$124,$C130)</f>
        <v>24</v>
      </c>
      <c r="AU130" s="22">
        <f>$G130+COUNTIF($H$124:AU$124,$C130)</f>
        <v>24</v>
      </c>
      <c r="AV130" s="22">
        <f>$G130+COUNTIF($H$124:AV$124,$C130)</f>
        <v>24</v>
      </c>
      <c r="AW130" s="22">
        <f>$G130+COUNTIF($H$124:AW$124,$C130)</f>
        <v>24</v>
      </c>
      <c r="AX130" s="22">
        <f>$G130+COUNTIF($H$124:AX$124,$C130)</f>
        <v>24</v>
      </c>
      <c r="AY130" s="22">
        <f>$G130+COUNTIF($H$124:AY$124,$C130)</f>
        <v>24</v>
      </c>
      <c r="AZ130" s="22">
        <f>$G130+COUNTIF($H$124:AZ$124,$C130)</f>
        <v>24</v>
      </c>
      <c r="BA130" s="22">
        <f>$G130+COUNTIF($H$124:BA$124,$C130)</f>
        <v>24</v>
      </c>
      <c r="BB130" s="22">
        <f>$G130+COUNTIF($H$124:BB$124,$C130)</f>
        <v>24</v>
      </c>
      <c r="BC130" s="22">
        <f>$G130+COUNTIF($H$124:BC$124,$C130)</f>
        <v>24</v>
      </c>
      <c r="BD130" s="22">
        <f>$G130+COUNTIF($H$124:BD$124,$C130)</f>
        <v>24</v>
      </c>
      <c r="BE130" s="22">
        <f>$G130+COUNTIF($H$124:BE$124,$C130)</f>
        <v>24</v>
      </c>
      <c r="BF130" s="22">
        <f>$G130+COUNTIF($H$124:BF$124,$C130)</f>
        <v>24</v>
      </c>
      <c r="BG130" s="22">
        <f>$G130+COUNTIF($H$124:BG$124,$C130)</f>
        <v>24</v>
      </c>
      <c r="BH130" s="22">
        <f>$G130+COUNTIF($H$124:BH$124,$C130)</f>
        <v>24</v>
      </c>
      <c r="BI130" s="22">
        <f>$G130+COUNTIF($H$124:BI$124,$C130)</f>
        <v>24</v>
      </c>
      <c r="BJ130" s="22">
        <f>$G130+COUNTIF($H$124:BJ$124,$C130)</f>
        <v>24</v>
      </c>
      <c r="BK130" s="22">
        <f>$G130+COUNTIF($H$124:BK$124,$C130)</f>
        <v>25</v>
      </c>
      <c r="BL130" s="22">
        <f>$G130+COUNTIF($H$124:BL$124,$C130)</f>
        <v>25</v>
      </c>
      <c r="BM130" s="22">
        <f>$G130+COUNTIF($H$124:BM$124,$C130)</f>
        <v>25</v>
      </c>
      <c r="BN130" s="22">
        <f>$G130+COUNTIF($H$124:BN$124,$C130)</f>
        <v>25</v>
      </c>
      <c r="BO130" s="22">
        <f>$G130+COUNTIF($H$124:BO$124,$C130)</f>
        <v>25</v>
      </c>
    </row>
    <row r="131" spans="3:67" s="22" customFormat="1" outlineLevel="2">
      <c r="C131" s="22" t="str">
        <v>Etherport</v>
      </c>
      <c r="D131" s="146"/>
      <c r="E131" s="147"/>
      <c r="F131" s="29" t="s">
        <v>1230</v>
      </c>
      <c r="G131" s="66">
        <v>3</v>
      </c>
      <c r="H131" s="22">
        <f>$G131+COUNTIF($H$124:H$124,$C131)</f>
        <v>3</v>
      </c>
      <c r="I131" s="22">
        <f>$G131+COUNTIF($H$124:I$124,$C131)</f>
        <v>3</v>
      </c>
      <c r="J131" s="22">
        <f>$G131+COUNTIF($H$124:J$124,$C131)</f>
        <v>3</v>
      </c>
      <c r="K131" s="22">
        <f>$G131+COUNTIF($H$124:K$124,$C131)</f>
        <v>3</v>
      </c>
      <c r="L131" s="22">
        <f>$G131+COUNTIF($H$124:L$124,$C131)</f>
        <v>4</v>
      </c>
      <c r="M131" s="22">
        <f>$G131+COUNTIF($H$124:M$124,$C131)</f>
        <v>4</v>
      </c>
      <c r="N131" s="22">
        <f>$G131+COUNTIF($H$124:N$124,$C131)</f>
        <v>4</v>
      </c>
      <c r="O131" s="22">
        <f>$G131+COUNTIF($H$124:O$124,$C131)</f>
        <v>4</v>
      </c>
      <c r="P131" s="22">
        <f>$G131+COUNTIF($H$124:P$124,$C131)</f>
        <v>4</v>
      </c>
      <c r="Q131" s="22">
        <f>$G131+COUNTIF($H$124:Q$124,$C131)</f>
        <v>4</v>
      </c>
      <c r="R131" s="22">
        <f>$G131+COUNTIF($H$124:R$124,$C131)</f>
        <v>4</v>
      </c>
      <c r="S131" s="22">
        <f>$G131+COUNTIF($H$124:S$124,$C131)</f>
        <v>4</v>
      </c>
      <c r="T131" s="22">
        <f>$G131+COUNTIF($H$124:T$124,$C131)</f>
        <v>4</v>
      </c>
      <c r="U131" s="22">
        <f>$G131+COUNTIF($H$124:U$124,$C131)</f>
        <v>4</v>
      </c>
      <c r="V131" s="22">
        <f>$G131+COUNTIF($H$124:V$124,$C131)</f>
        <v>4</v>
      </c>
      <c r="W131" s="22">
        <f>$G131+COUNTIF($H$124:W$124,$C131)</f>
        <v>4</v>
      </c>
      <c r="X131" s="22">
        <f>$G131+COUNTIF($H$124:X$124,$C131)</f>
        <v>4</v>
      </c>
      <c r="Y131" s="22">
        <f>$G131+COUNTIF($H$124:Y$124,$C131)</f>
        <v>4</v>
      </c>
      <c r="Z131" s="22">
        <f>$G131+COUNTIF($H$124:Z$124,$C131)</f>
        <v>4</v>
      </c>
      <c r="AA131" s="22">
        <f>$G131+COUNTIF($H$124:AA$124,$C131)</f>
        <v>4</v>
      </c>
      <c r="AB131" s="22">
        <f>$G131+COUNTIF($H$124:AB$124,$C131)</f>
        <v>4</v>
      </c>
      <c r="AC131" s="22">
        <f>$G131+COUNTIF($H$124:AC$124,$C131)</f>
        <v>4</v>
      </c>
      <c r="AD131" s="22">
        <f>$G131+COUNTIF($H$124:AD$124,$C131)</f>
        <v>4</v>
      </c>
      <c r="AE131" s="22">
        <f>$G131+COUNTIF($H$124:AE$124,$C131)</f>
        <v>4</v>
      </c>
      <c r="AF131" s="22">
        <f>$G131+COUNTIF($H$124:AF$124,$C131)</f>
        <v>4</v>
      </c>
      <c r="AG131" s="22">
        <f>$G131+COUNTIF($H$124:AG$124,$C131)</f>
        <v>4</v>
      </c>
      <c r="AH131" s="22">
        <f>$G131+COUNTIF($H$124:AH$124,$C131)</f>
        <v>4</v>
      </c>
      <c r="AI131" s="22">
        <f>$G131+COUNTIF($H$124:AI$124,$C131)</f>
        <v>4</v>
      </c>
      <c r="AJ131" s="22">
        <f>$G131+COUNTIF($H$124:AJ$124,$C131)</f>
        <v>4</v>
      </c>
      <c r="AK131" s="22">
        <f>$G131+COUNTIF($H$124:AK$124,$C131)</f>
        <v>4</v>
      </c>
      <c r="AL131" s="22">
        <f>$G131+COUNTIF($H$124:AL$124,$C131)</f>
        <v>5</v>
      </c>
      <c r="AM131" s="22">
        <f>$G131+COUNTIF($H$124:AM$124,$C131)</f>
        <v>5</v>
      </c>
      <c r="AN131" s="22">
        <f>$G131+COUNTIF($H$124:AN$124,$C131)</f>
        <v>5</v>
      </c>
      <c r="AO131" s="22">
        <f>$G131+COUNTIF($H$124:AO$124,$C131)</f>
        <v>5</v>
      </c>
      <c r="AP131" s="22">
        <f>$G131+COUNTIF($H$124:AP$124,$C131)</f>
        <v>5</v>
      </c>
      <c r="AQ131" s="22">
        <f>$G131+COUNTIF($H$124:AQ$124,$C131)</f>
        <v>5</v>
      </c>
      <c r="AR131" s="22">
        <f>$G131+COUNTIF($H$124:AR$124,$C131)</f>
        <v>5</v>
      </c>
      <c r="AS131" s="22">
        <f>$G131+COUNTIF($H$124:AS$124,$C131)</f>
        <v>5</v>
      </c>
      <c r="AT131" s="22">
        <f>$G131+COUNTIF($H$124:AT$124,$C131)</f>
        <v>5</v>
      </c>
      <c r="AU131" s="22">
        <f>$G131+COUNTIF($H$124:AU$124,$C131)</f>
        <v>5</v>
      </c>
      <c r="AV131" s="22">
        <f>$G131+COUNTIF($H$124:AV$124,$C131)</f>
        <v>5</v>
      </c>
      <c r="AW131" s="22">
        <f>$G131+COUNTIF($H$124:AW$124,$C131)</f>
        <v>5</v>
      </c>
      <c r="AX131" s="22">
        <f>$G131+COUNTIF($H$124:AX$124,$C131)</f>
        <v>5</v>
      </c>
      <c r="AY131" s="22">
        <f>$G131+COUNTIF($H$124:AY$124,$C131)</f>
        <v>5</v>
      </c>
      <c r="AZ131" s="22">
        <f>$G131+COUNTIF($H$124:AZ$124,$C131)</f>
        <v>5</v>
      </c>
      <c r="BA131" s="22">
        <f>$G131+COUNTIF($H$124:BA$124,$C131)</f>
        <v>5</v>
      </c>
      <c r="BB131" s="22">
        <f>$G131+COUNTIF($H$124:BB$124,$C131)</f>
        <v>5</v>
      </c>
      <c r="BC131" s="22">
        <f>$G131+COUNTIF($H$124:BC$124,$C131)</f>
        <v>5</v>
      </c>
      <c r="BD131" s="22">
        <f>$G131+COUNTIF($H$124:BD$124,$C131)</f>
        <v>5</v>
      </c>
      <c r="BE131" s="22">
        <f>$G131+COUNTIF($H$124:BE$124,$C131)</f>
        <v>5</v>
      </c>
      <c r="BF131" s="22">
        <f>$G131+COUNTIF($H$124:BF$124,$C131)</f>
        <v>5</v>
      </c>
      <c r="BG131" s="22">
        <f>$G131+COUNTIF($H$124:BG$124,$C131)</f>
        <v>5</v>
      </c>
      <c r="BH131" s="22">
        <f>$G131+COUNTIF($H$124:BH$124,$C131)</f>
        <v>5</v>
      </c>
      <c r="BI131" s="22">
        <f>$G131+COUNTIF($H$124:BI$124,$C131)</f>
        <v>5</v>
      </c>
      <c r="BJ131" s="22">
        <f>$G131+COUNTIF($H$124:BJ$124,$C131)</f>
        <v>5</v>
      </c>
      <c r="BK131" s="22">
        <f>$G131+COUNTIF($H$124:BK$124,$C131)</f>
        <v>5</v>
      </c>
      <c r="BL131" s="22">
        <f>$G131+COUNTIF($H$124:BL$124,$C131)</f>
        <v>6</v>
      </c>
      <c r="BM131" s="22">
        <f>$G131+COUNTIF($H$124:BM$124,$C131)</f>
        <v>6</v>
      </c>
      <c r="BN131" s="22">
        <f>$G131+COUNTIF($H$124:BN$124,$C131)</f>
        <v>6</v>
      </c>
      <c r="BO131" s="22">
        <f>$G131+COUNTIF($H$124:BO$124,$C131)</f>
        <v>6</v>
      </c>
    </row>
    <row r="132" spans="3:67" s="22" customFormat="1" outlineLevel="2">
      <c r="C132" s="22" t="str">
        <v>Fiberfall</v>
      </c>
      <c r="D132" s="146"/>
      <c r="E132" s="147"/>
      <c r="F132" s="29" t="s">
        <v>1230</v>
      </c>
      <c r="G132" s="66">
        <v>3</v>
      </c>
      <c r="H132" s="22">
        <f>$G132+COUNTIF($H$124:H$124,$C132)</f>
        <v>3</v>
      </c>
      <c r="I132" s="22">
        <f>$G132+COUNTIF($H$124:I$124,$C132)</f>
        <v>3</v>
      </c>
      <c r="J132" s="22">
        <f>$G132+COUNTIF($H$124:J$124,$C132)</f>
        <v>3</v>
      </c>
      <c r="K132" s="22">
        <f>$G132+COUNTIF($H$124:K$124,$C132)</f>
        <v>3</v>
      </c>
      <c r="L132" s="22">
        <f>$G132+COUNTIF($H$124:L$124,$C132)</f>
        <v>3</v>
      </c>
      <c r="M132" s="22">
        <f>$G132+COUNTIF($H$124:M$124,$C132)</f>
        <v>4</v>
      </c>
      <c r="N132" s="22">
        <f>$G132+COUNTIF($H$124:N$124,$C132)</f>
        <v>4</v>
      </c>
      <c r="O132" s="22">
        <f>$G132+COUNTIF($H$124:O$124,$C132)</f>
        <v>4</v>
      </c>
      <c r="P132" s="22">
        <f>$G132+COUNTIF($H$124:P$124,$C132)</f>
        <v>4</v>
      </c>
      <c r="Q132" s="22">
        <f>$G132+COUNTIF($H$124:Q$124,$C132)</f>
        <v>4</v>
      </c>
      <c r="R132" s="22">
        <f>$G132+COUNTIF($H$124:R$124,$C132)</f>
        <v>4</v>
      </c>
      <c r="S132" s="22">
        <f>$G132+COUNTIF($H$124:S$124,$C132)</f>
        <v>4</v>
      </c>
      <c r="T132" s="22">
        <f>$G132+COUNTIF($H$124:T$124,$C132)</f>
        <v>4</v>
      </c>
      <c r="U132" s="22">
        <f>$G132+COUNTIF($H$124:U$124,$C132)</f>
        <v>4</v>
      </c>
      <c r="V132" s="22">
        <f>$G132+COUNTIF($H$124:V$124,$C132)</f>
        <v>4</v>
      </c>
      <c r="W132" s="22">
        <f>$G132+COUNTIF($H$124:W$124,$C132)</f>
        <v>4</v>
      </c>
      <c r="X132" s="22">
        <f>$G132+COUNTIF($H$124:X$124,$C132)</f>
        <v>4</v>
      </c>
      <c r="Y132" s="22">
        <f>$G132+COUNTIF($H$124:Y$124,$C132)</f>
        <v>4</v>
      </c>
      <c r="Z132" s="22">
        <f>$G132+COUNTIF($H$124:Z$124,$C132)</f>
        <v>4</v>
      </c>
      <c r="AA132" s="22">
        <f>$G132+COUNTIF($H$124:AA$124,$C132)</f>
        <v>4</v>
      </c>
      <c r="AB132" s="22">
        <f>$G132+COUNTIF($H$124:AB$124,$C132)</f>
        <v>4</v>
      </c>
      <c r="AC132" s="22">
        <f>$G132+COUNTIF($H$124:AC$124,$C132)</f>
        <v>4</v>
      </c>
      <c r="AD132" s="22">
        <f>$G132+COUNTIF($H$124:AD$124,$C132)</f>
        <v>4</v>
      </c>
      <c r="AE132" s="22">
        <f>$G132+COUNTIF($H$124:AE$124,$C132)</f>
        <v>4</v>
      </c>
      <c r="AF132" s="22">
        <f>$G132+COUNTIF($H$124:AF$124,$C132)</f>
        <v>4</v>
      </c>
      <c r="AG132" s="22">
        <f>$G132+COUNTIF($H$124:AG$124,$C132)</f>
        <v>4</v>
      </c>
      <c r="AH132" s="22">
        <f>$G132+COUNTIF($H$124:AH$124,$C132)</f>
        <v>4</v>
      </c>
      <c r="AI132" s="22">
        <f>$G132+COUNTIF($H$124:AI$124,$C132)</f>
        <v>4</v>
      </c>
      <c r="AJ132" s="22">
        <f>$G132+COUNTIF($H$124:AJ$124,$C132)</f>
        <v>4</v>
      </c>
      <c r="AK132" s="22">
        <f>$G132+COUNTIF($H$124:AK$124,$C132)</f>
        <v>4</v>
      </c>
      <c r="AL132" s="22">
        <f>$G132+COUNTIF($H$124:AL$124,$C132)</f>
        <v>4</v>
      </c>
      <c r="AM132" s="22">
        <f>$G132+COUNTIF($H$124:AM$124,$C132)</f>
        <v>5</v>
      </c>
      <c r="AN132" s="22">
        <f>$G132+COUNTIF($H$124:AN$124,$C132)</f>
        <v>5</v>
      </c>
      <c r="AO132" s="22">
        <f>$G132+COUNTIF($H$124:AO$124,$C132)</f>
        <v>5</v>
      </c>
      <c r="AP132" s="22">
        <f>$G132+COUNTIF($H$124:AP$124,$C132)</f>
        <v>5</v>
      </c>
      <c r="AQ132" s="22">
        <f>$G132+COUNTIF($H$124:AQ$124,$C132)</f>
        <v>5</v>
      </c>
      <c r="AR132" s="22">
        <f>$G132+COUNTIF($H$124:AR$124,$C132)</f>
        <v>5</v>
      </c>
      <c r="AS132" s="22">
        <f>$G132+COUNTIF($H$124:AS$124,$C132)</f>
        <v>5</v>
      </c>
      <c r="AT132" s="22">
        <f>$G132+COUNTIF($H$124:AT$124,$C132)</f>
        <v>5</v>
      </c>
      <c r="AU132" s="22">
        <f>$G132+COUNTIF($H$124:AU$124,$C132)</f>
        <v>5</v>
      </c>
      <c r="AV132" s="22">
        <f>$G132+COUNTIF($H$124:AV$124,$C132)</f>
        <v>5</v>
      </c>
      <c r="AW132" s="22">
        <f>$G132+COUNTIF($H$124:AW$124,$C132)</f>
        <v>5</v>
      </c>
      <c r="AX132" s="22">
        <f>$G132+COUNTIF($H$124:AX$124,$C132)</f>
        <v>5</v>
      </c>
      <c r="AY132" s="22">
        <f>$G132+COUNTIF($H$124:AY$124,$C132)</f>
        <v>5</v>
      </c>
      <c r="AZ132" s="22">
        <f>$G132+COUNTIF($H$124:AZ$124,$C132)</f>
        <v>5</v>
      </c>
      <c r="BA132" s="22">
        <f>$G132+COUNTIF($H$124:BA$124,$C132)</f>
        <v>5</v>
      </c>
      <c r="BB132" s="22">
        <f>$G132+COUNTIF($H$124:BB$124,$C132)</f>
        <v>5</v>
      </c>
      <c r="BC132" s="22">
        <f>$G132+COUNTIF($H$124:BC$124,$C132)</f>
        <v>5</v>
      </c>
      <c r="BD132" s="22">
        <f>$G132+COUNTIF($H$124:BD$124,$C132)</f>
        <v>5</v>
      </c>
      <c r="BE132" s="22">
        <f>$G132+COUNTIF($H$124:BE$124,$C132)</f>
        <v>5</v>
      </c>
      <c r="BF132" s="22">
        <f>$G132+COUNTIF($H$124:BF$124,$C132)</f>
        <v>5</v>
      </c>
      <c r="BG132" s="22">
        <f>$G132+COUNTIF($H$124:BG$124,$C132)</f>
        <v>5</v>
      </c>
      <c r="BH132" s="22">
        <f>$G132+COUNTIF($H$124:BH$124,$C132)</f>
        <v>5</v>
      </c>
      <c r="BI132" s="22">
        <f>$G132+COUNTIF($H$124:BI$124,$C132)</f>
        <v>5</v>
      </c>
      <c r="BJ132" s="22">
        <f>$G132+COUNTIF($H$124:BJ$124,$C132)</f>
        <v>5</v>
      </c>
      <c r="BK132" s="22">
        <f>$G132+COUNTIF($H$124:BK$124,$C132)</f>
        <v>5</v>
      </c>
      <c r="BL132" s="22">
        <f>$G132+COUNTIF($H$124:BL$124,$C132)</f>
        <v>5</v>
      </c>
      <c r="BM132" s="22">
        <f>$G132+COUNTIF($H$124:BM$124,$C132)</f>
        <v>6</v>
      </c>
      <c r="BN132" s="22">
        <f>$G132+COUNTIF($H$124:BN$124,$C132)</f>
        <v>6</v>
      </c>
      <c r="BO132" s="22">
        <f>$G132+COUNTIF($H$124:BO$124,$C132)</f>
        <v>6</v>
      </c>
    </row>
    <row r="133" spans="3:67" s="22" customFormat="1" outlineLevel="2">
      <c r="C133" s="22" t="str">
        <v>Gigatown</v>
      </c>
      <c r="D133" s="146"/>
      <c r="E133" s="147"/>
      <c r="F133" s="29" t="s">
        <v>1230</v>
      </c>
      <c r="G133" s="66">
        <v>65</v>
      </c>
      <c r="H133" s="22">
        <f>$G133+COUNTIF($H$124:H$124,$C133)</f>
        <v>65</v>
      </c>
      <c r="I133" s="22">
        <f>$G133+COUNTIF($H$124:I$124,$C133)</f>
        <v>65</v>
      </c>
      <c r="J133" s="22">
        <f>$G133+COUNTIF($H$124:J$124,$C133)</f>
        <v>65</v>
      </c>
      <c r="K133" s="22">
        <f>$G133+COUNTIF($H$124:K$124,$C133)</f>
        <v>65</v>
      </c>
      <c r="L133" s="22">
        <f>$G133+COUNTIF($H$124:L$124,$C133)</f>
        <v>65</v>
      </c>
      <c r="M133" s="22">
        <f>$G133+COUNTIF($H$124:M$124,$C133)</f>
        <v>65</v>
      </c>
      <c r="N133" s="22">
        <f>$G133+COUNTIF($H$124:N$124,$C133)</f>
        <v>66</v>
      </c>
      <c r="O133" s="22">
        <f>$G133+COUNTIF($H$124:O$124,$C133)</f>
        <v>66</v>
      </c>
      <c r="P133" s="22">
        <f>$G133+COUNTIF($H$124:P$124,$C133)</f>
        <v>66</v>
      </c>
      <c r="Q133" s="22">
        <f>$G133+COUNTIF($H$124:Q$124,$C133)</f>
        <v>66</v>
      </c>
      <c r="R133" s="22">
        <f>$G133+COUNTIF($H$124:R$124,$C133)</f>
        <v>66</v>
      </c>
      <c r="S133" s="22">
        <f>$G133+COUNTIF($H$124:S$124,$C133)</f>
        <v>66</v>
      </c>
      <c r="T133" s="22">
        <f>$G133+COUNTIF($H$124:T$124,$C133)</f>
        <v>66</v>
      </c>
      <c r="U133" s="22">
        <f>$G133+COUNTIF($H$124:U$124,$C133)</f>
        <v>66</v>
      </c>
      <c r="V133" s="22">
        <f>$G133+COUNTIF($H$124:V$124,$C133)</f>
        <v>66</v>
      </c>
      <c r="W133" s="22">
        <f>$G133+COUNTIF($H$124:W$124,$C133)</f>
        <v>66</v>
      </c>
      <c r="X133" s="22">
        <f>$G133+COUNTIF($H$124:X$124,$C133)</f>
        <v>66</v>
      </c>
      <c r="Y133" s="22">
        <f>$G133+COUNTIF($H$124:Y$124,$C133)</f>
        <v>66</v>
      </c>
      <c r="Z133" s="22">
        <f>$G133+COUNTIF($H$124:Z$124,$C133)</f>
        <v>66</v>
      </c>
      <c r="AA133" s="22">
        <f>$G133+COUNTIF($H$124:AA$124,$C133)</f>
        <v>66</v>
      </c>
      <c r="AB133" s="22">
        <f>$G133+COUNTIF($H$124:AB$124,$C133)</f>
        <v>66</v>
      </c>
      <c r="AC133" s="22">
        <f>$G133+COUNTIF($H$124:AC$124,$C133)</f>
        <v>66</v>
      </c>
      <c r="AD133" s="22">
        <f>$G133+COUNTIF($H$124:AD$124,$C133)</f>
        <v>66</v>
      </c>
      <c r="AE133" s="22">
        <f>$G133+COUNTIF($H$124:AE$124,$C133)</f>
        <v>66</v>
      </c>
      <c r="AF133" s="22">
        <f>$G133+COUNTIF($H$124:AF$124,$C133)</f>
        <v>66</v>
      </c>
      <c r="AG133" s="22">
        <f>$G133+COUNTIF($H$124:AG$124,$C133)</f>
        <v>66</v>
      </c>
      <c r="AH133" s="22">
        <f>$G133+COUNTIF($H$124:AH$124,$C133)</f>
        <v>66</v>
      </c>
      <c r="AI133" s="22">
        <f>$G133+COUNTIF($H$124:AI$124,$C133)</f>
        <v>66</v>
      </c>
      <c r="AJ133" s="22">
        <f>$G133+COUNTIF($H$124:AJ$124,$C133)</f>
        <v>66</v>
      </c>
      <c r="AK133" s="22">
        <f>$G133+COUNTIF($H$124:AK$124,$C133)</f>
        <v>66</v>
      </c>
      <c r="AL133" s="22">
        <f>$G133+COUNTIF($H$124:AL$124,$C133)</f>
        <v>66</v>
      </c>
      <c r="AM133" s="22">
        <f>$G133+COUNTIF($H$124:AM$124,$C133)</f>
        <v>66</v>
      </c>
      <c r="AN133" s="22">
        <f>$G133+COUNTIF($H$124:AN$124,$C133)</f>
        <v>67</v>
      </c>
      <c r="AO133" s="22">
        <f>$G133+COUNTIF($H$124:AO$124,$C133)</f>
        <v>67</v>
      </c>
      <c r="AP133" s="22">
        <f>$G133+COUNTIF($H$124:AP$124,$C133)</f>
        <v>67</v>
      </c>
      <c r="AQ133" s="22">
        <f>$G133+COUNTIF($H$124:AQ$124,$C133)</f>
        <v>67</v>
      </c>
      <c r="AR133" s="22">
        <f>$G133+COUNTIF($H$124:AR$124,$C133)</f>
        <v>67</v>
      </c>
      <c r="AS133" s="22">
        <f>$G133+COUNTIF($H$124:AS$124,$C133)</f>
        <v>67</v>
      </c>
      <c r="AT133" s="22">
        <f>$G133+COUNTIF($H$124:AT$124,$C133)</f>
        <v>67</v>
      </c>
      <c r="AU133" s="22">
        <f>$G133+COUNTIF($H$124:AU$124,$C133)</f>
        <v>67</v>
      </c>
      <c r="AV133" s="22">
        <f>$G133+COUNTIF($H$124:AV$124,$C133)</f>
        <v>67</v>
      </c>
      <c r="AW133" s="22">
        <f>$G133+COUNTIF($H$124:AW$124,$C133)</f>
        <v>67</v>
      </c>
      <c r="AX133" s="22">
        <f>$G133+COUNTIF($H$124:AX$124,$C133)</f>
        <v>67</v>
      </c>
      <c r="AY133" s="22">
        <f>$G133+COUNTIF($H$124:AY$124,$C133)</f>
        <v>67</v>
      </c>
      <c r="AZ133" s="22">
        <f>$G133+COUNTIF($H$124:AZ$124,$C133)</f>
        <v>67</v>
      </c>
      <c r="BA133" s="22">
        <f>$G133+COUNTIF($H$124:BA$124,$C133)</f>
        <v>67</v>
      </c>
      <c r="BB133" s="22">
        <f>$G133+COUNTIF($H$124:BB$124,$C133)</f>
        <v>67</v>
      </c>
      <c r="BC133" s="22">
        <f>$G133+COUNTIF($H$124:BC$124,$C133)</f>
        <v>67</v>
      </c>
      <c r="BD133" s="22">
        <f>$G133+COUNTIF($H$124:BD$124,$C133)</f>
        <v>67</v>
      </c>
      <c r="BE133" s="22">
        <f>$G133+COUNTIF($H$124:BE$124,$C133)</f>
        <v>67</v>
      </c>
      <c r="BF133" s="22">
        <f>$G133+COUNTIF($H$124:BF$124,$C133)</f>
        <v>67</v>
      </c>
      <c r="BG133" s="22">
        <f>$G133+COUNTIF($H$124:BG$124,$C133)</f>
        <v>67</v>
      </c>
      <c r="BH133" s="22">
        <f>$G133+COUNTIF($H$124:BH$124,$C133)</f>
        <v>67</v>
      </c>
      <c r="BI133" s="22">
        <f>$G133+COUNTIF($H$124:BI$124,$C133)</f>
        <v>67</v>
      </c>
      <c r="BJ133" s="22">
        <f>$G133+COUNTIF($H$124:BJ$124,$C133)</f>
        <v>67</v>
      </c>
      <c r="BK133" s="22">
        <f>$G133+COUNTIF($H$124:BK$124,$C133)</f>
        <v>67</v>
      </c>
      <c r="BL133" s="22">
        <f>$G133+COUNTIF($H$124:BL$124,$C133)</f>
        <v>67</v>
      </c>
      <c r="BM133" s="22">
        <f>$G133+COUNTIF($H$124:BM$124,$C133)</f>
        <v>67</v>
      </c>
      <c r="BN133" s="22">
        <f>$G133+COUNTIF($H$124:BN$124,$C133)</f>
        <v>68</v>
      </c>
      <c r="BO133" s="22">
        <f>$G133+COUNTIF($H$124:BO$124,$C133)</f>
        <v>68</v>
      </c>
    </row>
    <row r="134" spans="3:67" s="22" customFormat="1" outlineLevel="2">
      <c r="C134" s="22" t="str">
        <v>Hexavale</v>
      </c>
      <c r="D134" s="146"/>
      <c r="E134" s="147"/>
      <c r="F134" s="29" t="s">
        <v>1230</v>
      </c>
      <c r="G134" s="66">
        <v>311</v>
      </c>
      <c r="H134" s="22">
        <f>$G134+COUNTIF($H$124:H$124,$C134)</f>
        <v>311</v>
      </c>
      <c r="I134" s="22">
        <f>$G134+COUNTIF($H$124:I$124,$C134)</f>
        <v>311</v>
      </c>
      <c r="J134" s="22">
        <f>$G134+COUNTIF($H$124:J$124,$C134)</f>
        <v>311</v>
      </c>
      <c r="K134" s="22">
        <f>$G134+COUNTIF($H$124:K$124,$C134)</f>
        <v>311</v>
      </c>
      <c r="L134" s="22">
        <f>$G134+COUNTIF($H$124:L$124,$C134)</f>
        <v>311</v>
      </c>
      <c r="M134" s="22">
        <f>$G134+COUNTIF($H$124:M$124,$C134)</f>
        <v>311</v>
      </c>
      <c r="N134" s="22">
        <f>$G134+COUNTIF($H$124:N$124,$C134)</f>
        <v>311</v>
      </c>
      <c r="O134" s="22">
        <f>$G134+COUNTIF($H$124:O$124,$C134)</f>
        <v>312</v>
      </c>
      <c r="P134" s="22">
        <f>$G134+COUNTIF($H$124:P$124,$C134)</f>
        <v>312</v>
      </c>
      <c r="Q134" s="22">
        <f>$G134+COUNTIF($H$124:Q$124,$C134)</f>
        <v>312</v>
      </c>
      <c r="R134" s="22">
        <f>$G134+COUNTIF($H$124:R$124,$C134)</f>
        <v>312</v>
      </c>
      <c r="S134" s="22">
        <f>$G134+COUNTIF($H$124:S$124,$C134)</f>
        <v>312</v>
      </c>
      <c r="T134" s="22">
        <f>$G134+COUNTIF($H$124:T$124,$C134)</f>
        <v>312</v>
      </c>
      <c r="U134" s="22">
        <f>$G134+COUNTIF($H$124:U$124,$C134)</f>
        <v>312</v>
      </c>
      <c r="V134" s="22">
        <f>$G134+COUNTIF($H$124:V$124,$C134)</f>
        <v>312</v>
      </c>
      <c r="W134" s="22">
        <f>$G134+COUNTIF($H$124:W$124,$C134)</f>
        <v>312</v>
      </c>
      <c r="X134" s="22">
        <f>$G134+COUNTIF($H$124:X$124,$C134)</f>
        <v>312</v>
      </c>
      <c r="Y134" s="22">
        <f>$G134+COUNTIF($H$124:Y$124,$C134)</f>
        <v>312</v>
      </c>
      <c r="Z134" s="22">
        <f>$G134+COUNTIF($H$124:Z$124,$C134)</f>
        <v>312</v>
      </c>
      <c r="AA134" s="22">
        <f>$G134+COUNTIF($H$124:AA$124,$C134)</f>
        <v>312</v>
      </c>
      <c r="AB134" s="22">
        <f>$G134+COUNTIF($H$124:AB$124,$C134)</f>
        <v>312</v>
      </c>
      <c r="AC134" s="22">
        <f>$G134+COUNTIF($H$124:AC$124,$C134)</f>
        <v>312</v>
      </c>
      <c r="AD134" s="22">
        <f>$G134+COUNTIF($H$124:AD$124,$C134)</f>
        <v>312</v>
      </c>
      <c r="AE134" s="22">
        <f>$G134+COUNTIF($H$124:AE$124,$C134)</f>
        <v>312</v>
      </c>
      <c r="AF134" s="22">
        <f>$G134+COUNTIF($H$124:AF$124,$C134)</f>
        <v>312</v>
      </c>
      <c r="AG134" s="22">
        <f>$G134+COUNTIF($H$124:AG$124,$C134)</f>
        <v>312</v>
      </c>
      <c r="AH134" s="22">
        <f>$G134+COUNTIF($H$124:AH$124,$C134)</f>
        <v>312</v>
      </c>
      <c r="AI134" s="22">
        <f>$G134+COUNTIF($H$124:AI$124,$C134)</f>
        <v>312</v>
      </c>
      <c r="AJ134" s="22">
        <f>$G134+COUNTIF($H$124:AJ$124,$C134)</f>
        <v>312</v>
      </c>
      <c r="AK134" s="22">
        <f>$G134+COUNTIF($H$124:AK$124,$C134)</f>
        <v>312</v>
      </c>
      <c r="AL134" s="22">
        <f>$G134+COUNTIF($H$124:AL$124,$C134)</f>
        <v>312</v>
      </c>
      <c r="AM134" s="22">
        <f>$G134+COUNTIF($H$124:AM$124,$C134)</f>
        <v>312</v>
      </c>
      <c r="AN134" s="22">
        <f>$G134+COUNTIF($H$124:AN$124,$C134)</f>
        <v>312</v>
      </c>
      <c r="AO134" s="22">
        <f>$G134+COUNTIF($H$124:AO$124,$C134)</f>
        <v>313</v>
      </c>
      <c r="AP134" s="22">
        <f>$G134+COUNTIF($H$124:AP$124,$C134)</f>
        <v>313</v>
      </c>
      <c r="AQ134" s="22">
        <f>$G134+COUNTIF($H$124:AQ$124,$C134)</f>
        <v>313</v>
      </c>
      <c r="AR134" s="22">
        <f>$G134+COUNTIF($H$124:AR$124,$C134)</f>
        <v>313</v>
      </c>
      <c r="AS134" s="22">
        <f>$G134+COUNTIF($H$124:AS$124,$C134)</f>
        <v>313</v>
      </c>
      <c r="AT134" s="22">
        <f>$G134+COUNTIF($H$124:AT$124,$C134)</f>
        <v>313</v>
      </c>
      <c r="AU134" s="22">
        <f>$G134+COUNTIF($H$124:AU$124,$C134)</f>
        <v>313</v>
      </c>
      <c r="AV134" s="22">
        <f>$G134+COUNTIF($H$124:AV$124,$C134)</f>
        <v>313</v>
      </c>
      <c r="AW134" s="22">
        <f>$G134+COUNTIF($H$124:AW$124,$C134)</f>
        <v>313</v>
      </c>
      <c r="AX134" s="22">
        <f>$G134+COUNTIF($H$124:AX$124,$C134)</f>
        <v>313</v>
      </c>
      <c r="AY134" s="22">
        <f>$G134+COUNTIF($H$124:AY$124,$C134)</f>
        <v>313</v>
      </c>
      <c r="AZ134" s="22">
        <f>$G134+COUNTIF($H$124:AZ$124,$C134)</f>
        <v>313</v>
      </c>
      <c r="BA134" s="22">
        <f>$G134+COUNTIF($H$124:BA$124,$C134)</f>
        <v>313</v>
      </c>
      <c r="BB134" s="22">
        <f>$G134+COUNTIF($H$124:BB$124,$C134)</f>
        <v>313</v>
      </c>
      <c r="BC134" s="22">
        <f>$G134+COUNTIF($H$124:BC$124,$C134)</f>
        <v>313</v>
      </c>
      <c r="BD134" s="22">
        <f>$G134+COUNTIF($H$124:BD$124,$C134)</f>
        <v>313</v>
      </c>
      <c r="BE134" s="22">
        <f>$G134+COUNTIF($H$124:BE$124,$C134)</f>
        <v>313</v>
      </c>
      <c r="BF134" s="22">
        <f>$G134+COUNTIF($H$124:BF$124,$C134)</f>
        <v>313</v>
      </c>
      <c r="BG134" s="22">
        <f>$G134+COUNTIF($H$124:BG$124,$C134)</f>
        <v>313</v>
      </c>
      <c r="BH134" s="22">
        <f>$G134+COUNTIF($H$124:BH$124,$C134)</f>
        <v>313</v>
      </c>
      <c r="BI134" s="22">
        <f>$G134+COUNTIF($H$124:BI$124,$C134)</f>
        <v>313</v>
      </c>
      <c r="BJ134" s="22">
        <f>$G134+COUNTIF($H$124:BJ$124,$C134)</f>
        <v>313</v>
      </c>
      <c r="BK134" s="22">
        <f>$G134+COUNTIF($H$124:BK$124,$C134)</f>
        <v>313</v>
      </c>
      <c r="BL134" s="22">
        <f>$G134+COUNTIF($H$124:BL$124,$C134)</f>
        <v>313</v>
      </c>
      <c r="BM134" s="22">
        <f>$G134+COUNTIF($H$124:BM$124,$C134)</f>
        <v>313</v>
      </c>
      <c r="BN134" s="22">
        <f>$G134+COUNTIF($H$124:BN$124,$C134)</f>
        <v>313</v>
      </c>
      <c r="BO134" s="22">
        <f>$G134+COUNTIF($H$124:BO$124,$C134)</f>
        <v>314</v>
      </c>
    </row>
    <row r="135" spans="3:67" s="22" customFormat="1" outlineLevel="2">
      <c r="C135" s="22" t="str">
        <v>Input City</v>
      </c>
      <c r="D135" s="146"/>
      <c r="E135" s="147"/>
      <c r="F135" s="29" t="s">
        <v>1230</v>
      </c>
      <c r="G135" s="66">
        <v>17</v>
      </c>
      <c r="H135" s="22">
        <f>$G135+COUNTIF($H$124:H$124,$C135)</f>
        <v>17</v>
      </c>
      <c r="I135" s="22">
        <f>$G135+COUNTIF($H$124:I$124,$C135)</f>
        <v>17</v>
      </c>
      <c r="J135" s="22">
        <f>$G135+COUNTIF($H$124:J$124,$C135)</f>
        <v>17</v>
      </c>
      <c r="K135" s="22">
        <f>$G135+COUNTIF($H$124:K$124,$C135)</f>
        <v>17</v>
      </c>
      <c r="L135" s="22">
        <f>$G135+COUNTIF($H$124:L$124,$C135)</f>
        <v>17</v>
      </c>
      <c r="M135" s="22">
        <f>$G135+COUNTIF($H$124:M$124,$C135)</f>
        <v>17</v>
      </c>
      <c r="N135" s="22">
        <f>$G135+COUNTIF($H$124:N$124,$C135)</f>
        <v>17</v>
      </c>
      <c r="O135" s="22">
        <f>$G135+COUNTIF($H$124:O$124,$C135)</f>
        <v>17</v>
      </c>
      <c r="P135" s="22">
        <f>$G135+COUNTIF($H$124:P$124,$C135)</f>
        <v>18</v>
      </c>
      <c r="Q135" s="22">
        <f>$G135+COUNTIF($H$124:Q$124,$C135)</f>
        <v>18</v>
      </c>
      <c r="R135" s="22">
        <f>$G135+COUNTIF($H$124:R$124,$C135)</f>
        <v>18</v>
      </c>
      <c r="S135" s="22">
        <f>$G135+COUNTIF($H$124:S$124,$C135)</f>
        <v>18</v>
      </c>
      <c r="T135" s="22">
        <f>$G135+COUNTIF($H$124:T$124,$C135)</f>
        <v>18</v>
      </c>
      <c r="U135" s="22">
        <f>$G135+COUNTIF($H$124:U$124,$C135)</f>
        <v>18</v>
      </c>
      <c r="V135" s="22">
        <f>$G135+COUNTIF($H$124:V$124,$C135)</f>
        <v>18</v>
      </c>
      <c r="W135" s="22">
        <f>$G135+COUNTIF($H$124:W$124,$C135)</f>
        <v>18</v>
      </c>
      <c r="X135" s="22">
        <f>$G135+COUNTIF($H$124:X$124,$C135)</f>
        <v>18</v>
      </c>
      <c r="Y135" s="22">
        <f>$G135+COUNTIF($H$124:Y$124,$C135)</f>
        <v>18</v>
      </c>
      <c r="Z135" s="22">
        <f>$G135+COUNTIF($H$124:Z$124,$C135)</f>
        <v>18</v>
      </c>
      <c r="AA135" s="22">
        <f>$G135+COUNTIF($H$124:AA$124,$C135)</f>
        <v>18</v>
      </c>
      <c r="AB135" s="22">
        <f>$G135+COUNTIF($H$124:AB$124,$C135)</f>
        <v>18</v>
      </c>
      <c r="AC135" s="22">
        <f>$G135+COUNTIF($H$124:AC$124,$C135)</f>
        <v>18</v>
      </c>
      <c r="AD135" s="22">
        <f>$G135+COUNTIF($H$124:AD$124,$C135)</f>
        <v>18</v>
      </c>
      <c r="AE135" s="22">
        <f>$G135+COUNTIF($H$124:AE$124,$C135)</f>
        <v>18</v>
      </c>
      <c r="AF135" s="22">
        <f>$G135+COUNTIF($H$124:AF$124,$C135)</f>
        <v>18</v>
      </c>
      <c r="AG135" s="22">
        <f>$G135+COUNTIF($H$124:AG$124,$C135)</f>
        <v>18</v>
      </c>
      <c r="AH135" s="22">
        <f>$G135+COUNTIF($H$124:AH$124,$C135)</f>
        <v>18</v>
      </c>
      <c r="AI135" s="22">
        <f>$G135+COUNTIF($H$124:AI$124,$C135)</f>
        <v>18</v>
      </c>
      <c r="AJ135" s="22">
        <f>$G135+COUNTIF($H$124:AJ$124,$C135)</f>
        <v>18</v>
      </c>
      <c r="AK135" s="22">
        <f>$G135+COUNTIF($H$124:AK$124,$C135)</f>
        <v>18</v>
      </c>
      <c r="AL135" s="22">
        <f>$G135+COUNTIF($H$124:AL$124,$C135)</f>
        <v>18</v>
      </c>
      <c r="AM135" s="22">
        <f>$G135+COUNTIF($H$124:AM$124,$C135)</f>
        <v>18</v>
      </c>
      <c r="AN135" s="22">
        <f>$G135+COUNTIF($H$124:AN$124,$C135)</f>
        <v>18</v>
      </c>
      <c r="AO135" s="22">
        <f>$G135+COUNTIF($H$124:AO$124,$C135)</f>
        <v>18</v>
      </c>
      <c r="AP135" s="22">
        <f>$G135+COUNTIF($H$124:AP$124,$C135)</f>
        <v>19</v>
      </c>
      <c r="AQ135" s="22">
        <f>$G135+COUNTIF($H$124:AQ$124,$C135)</f>
        <v>19</v>
      </c>
      <c r="AR135" s="22">
        <f>$G135+COUNTIF($H$124:AR$124,$C135)</f>
        <v>19</v>
      </c>
      <c r="AS135" s="22">
        <f>$G135+COUNTIF($H$124:AS$124,$C135)</f>
        <v>19</v>
      </c>
      <c r="AT135" s="22">
        <f>$G135+COUNTIF($H$124:AT$124,$C135)</f>
        <v>19</v>
      </c>
      <c r="AU135" s="22">
        <f>$G135+COUNTIF($H$124:AU$124,$C135)</f>
        <v>19</v>
      </c>
      <c r="AV135" s="22">
        <f>$G135+COUNTIF($H$124:AV$124,$C135)</f>
        <v>19</v>
      </c>
      <c r="AW135" s="22">
        <f>$G135+COUNTIF($H$124:AW$124,$C135)</f>
        <v>19</v>
      </c>
      <c r="AX135" s="22">
        <f>$G135+COUNTIF($H$124:AX$124,$C135)</f>
        <v>19</v>
      </c>
      <c r="AY135" s="22">
        <f>$G135+COUNTIF($H$124:AY$124,$C135)</f>
        <v>19</v>
      </c>
      <c r="AZ135" s="22">
        <f>$G135+COUNTIF($H$124:AZ$124,$C135)</f>
        <v>19</v>
      </c>
      <c r="BA135" s="22">
        <f>$G135+COUNTIF($H$124:BA$124,$C135)</f>
        <v>19</v>
      </c>
      <c r="BB135" s="22">
        <f>$G135+COUNTIF($H$124:BB$124,$C135)</f>
        <v>19</v>
      </c>
      <c r="BC135" s="22">
        <f>$G135+COUNTIF($H$124:BC$124,$C135)</f>
        <v>19</v>
      </c>
      <c r="BD135" s="22">
        <f>$G135+COUNTIF($H$124:BD$124,$C135)</f>
        <v>19</v>
      </c>
      <c r="BE135" s="22">
        <f>$G135+COUNTIF($H$124:BE$124,$C135)</f>
        <v>19</v>
      </c>
      <c r="BF135" s="22">
        <f>$G135+COUNTIF($H$124:BF$124,$C135)</f>
        <v>19</v>
      </c>
      <c r="BG135" s="22">
        <f>$G135+COUNTIF($H$124:BG$124,$C135)</f>
        <v>19</v>
      </c>
      <c r="BH135" s="22">
        <f>$G135+COUNTIF($H$124:BH$124,$C135)</f>
        <v>19</v>
      </c>
      <c r="BI135" s="22">
        <f>$G135+COUNTIF($H$124:BI$124,$C135)</f>
        <v>19</v>
      </c>
      <c r="BJ135" s="22">
        <f>$G135+COUNTIF($H$124:BJ$124,$C135)</f>
        <v>19</v>
      </c>
      <c r="BK135" s="22">
        <f>$G135+COUNTIF($H$124:BK$124,$C135)</f>
        <v>19</v>
      </c>
      <c r="BL135" s="22">
        <f>$G135+COUNTIF($H$124:BL$124,$C135)</f>
        <v>19</v>
      </c>
      <c r="BM135" s="22">
        <f>$G135+COUNTIF($H$124:BM$124,$C135)</f>
        <v>19</v>
      </c>
      <c r="BN135" s="22">
        <f>$G135+COUNTIF($H$124:BN$124,$C135)</f>
        <v>19</v>
      </c>
      <c r="BO135" s="22">
        <f>$G135+COUNTIF($H$124:BO$124,$C135)</f>
        <v>19</v>
      </c>
    </row>
    <row r="136" spans="3:67" s="22" customFormat="1" outlineLevel="2">
      <c r="C136" s="22" t="str">
        <v>Junction Core</v>
      </c>
      <c r="D136" s="146"/>
      <c r="E136" s="147"/>
      <c r="F136" s="29" t="s">
        <v>1230</v>
      </c>
      <c r="G136" s="66">
        <v>8</v>
      </c>
      <c r="H136" s="22">
        <f>$G136+COUNTIF($H$124:H$124,$C136)</f>
        <v>8</v>
      </c>
      <c r="I136" s="22">
        <f>$G136+COUNTIF($H$124:I$124,$C136)</f>
        <v>8</v>
      </c>
      <c r="J136" s="22">
        <f>$G136+COUNTIF($H$124:J$124,$C136)</f>
        <v>8</v>
      </c>
      <c r="K136" s="22">
        <f>$G136+COUNTIF($H$124:K$124,$C136)</f>
        <v>8</v>
      </c>
      <c r="L136" s="22">
        <f>$G136+COUNTIF($H$124:L$124,$C136)</f>
        <v>8</v>
      </c>
      <c r="M136" s="22">
        <f>$G136+COUNTIF($H$124:M$124,$C136)</f>
        <v>8</v>
      </c>
      <c r="N136" s="22">
        <f>$G136+COUNTIF($H$124:N$124,$C136)</f>
        <v>8</v>
      </c>
      <c r="O136" s="22">
        <f>$G136+COUNTIF($H$124:O$124,$C136)</f>
        <v>8</v>
      </c>
      <c r="P136" s="22">
        <f>$G136+COUNTIF($H$124:P$124,$C136)</f>
        <v>8</v>
      </c>
      <c r="Q136" s="22">
        <f>$G136+COUNTIF($H$124:Q$124,$C136)</f>
        <v>9</v>
      </c>
      <c r="R136" s="22">
        <f>$G136+COUNTIF($H$124:R$124,$C136)</f>
        <v>9</v>
      </c>
      <c r="S136" s="22">
        <f>$G136+COUNTIF($H$124:S$124,$C136)</f>
        <v>9</v>
      </c>
      <c r="T136" s="22">
        <f>$G136+COUNTIF($H$124:T$124,$C136)</f>
        <v>9</v>
      </c>
      <c r="U136" s="22">
        <f>$G136+COUNTIF($H$124:U$124,$C136)</f>
        <v>9</v>
      </c>
      <c r="V136" s="22">
        <f>$G136+COUNTIF($H$124:V$124,$C136)</f>
        <v>9</v>
      </c>
      <c r="W136" s="22">
        <f>$G136+COUNTIF($H$124:W$124,$C136)</f>
        <v>9</v>
      </c>
      <c r="X136" s="22">
        <f>$G136+COUNTIF($H$124:X$124,$C136)</f>
        <v>9</v>
      </c>
      <c r="Y136" s="22">
        <f>$G136+COUNTIF($H$124:Y$124,$C136)</f>
        <v>9</v>
      </c>
      <c r="Z136" s="22">
        <f>$G136+COUNTIF($H$124:Z$124,$C136)</f>
        <v>9</v>
      </c>
      <c r="AA136" s="22">
        <f>$G136+COUNTIF($H$124:AA$124,$C136)</f>
        <v>9</v>
      </c>
      <c r="AB136" s="22">
        <f>$G136+COUNTIF($H$124:AB$124,$C136)</f>
        <v>9</v>
      </c>
      <c r="AC136" s="22">
        <f>$G136+COUNTIF($H$124:AC$124,$C136)</f>
        <v>9</v>
      </c>
      <c r="AD136" s="22">
        <f>$G136+COUNTIF($H$124:AD$124,$C136)</f>
        <v>9</v>
      </c>
      <c r="AE136" s="22">
        <f>$G136+COUNTIF($H$124:AE$124,$C136)</f>
        <v>9</v>
      </c>
      <c r="AF136" s="22">
        <f>$G136+COUNTIF($H$124:AF$124,$C136)</f>
        <v>9</v>
      </c>
      <c r="AG136" s="22">
        <f>$G136+COUNTIF($H$124:AG$124,$C136)</f>
        <v>9</v>
      </c>
      <c r="AH136" s="22">
        <f>$G136+COUNTIF($H$124:AH$124,$C136)</f>
        <v>9</v>
      </c>
      <c r="AI136" s="22">
        <f>$G136+COUNTIF($H$124:AI$124,$C136)</f>
        <v>9</v>
      </c>
      <c r="AJ136" s="22">
        <f>$G136+COUNTIF($H$124:AJ$124,$C136)</f>
        <v>9</v>
      </c>
      <c r="AK136" s="22">
        <f>$G136+COUNTIF($H$124:AK$124,$C136)</f>
        <v>9</v>
      </c>
      <c r="AL136" s="22">
        <f>$G136+COUNTIF($H$124:AL$124,$C136)</f>
        <v>9</v>
      </c>
      <c r="AM136" s="22">
        <f>$G136+COUNTIF($H$124:AM$124,$C136)</f>
        <v>9</v>
      </c>
      <c r="AN136" s="22">
        <f>$G136+COUNTIF($H$124:AN$124,$C136)</f>
        <v>9</v>
      </c>
      <c r="AO136" s="22">
        <f>$G136+COUNTIF($H$124:AO$124,$C136)</f>
        <v>9</v>
      </c>
      <c r="AP136" s="22">
        <f>$G136+COUNTIF($H$124:AP$124,$C136)</f>
        <v>9</v>
      </c>
      <c r="AQ136" s="22">
        <f>$G136+COUNTIF($H$124:AQ$124,$C136)</f>
        <v>10</v>
      </c>
      <c r="AR136" s="22">
        <f>$G136+COUNTIF($H$124:AR$124,$C136)</f>
        <v>10</v>
      </c>
      <c r="AS136" s="22">
        <f>$G136+COUNTIF($H$124:AS$124,$C136)</f>
        <v>10</v>
      </c>
      <c r="AT136" s="22">
        <f>$G136+COUNTIF($H$124:AT$124,$C136)</f>
        <v>10</v>
      </c>
      <c r="AU136" s="22">
        <f>$G136+COUNTIF($H$124:AU$124,$C136)</f>
        <v>10</v>
      </c>
      <c r="AV136" s="22">
        <f>$G136+COUNTIF($H$124:AV$124,$C136)</f>
        <v>10</v>
      </c>
      <c r="AW136" s="22">
        <f>$G136+COUNTIF($H$124:AW$124,$C136)</f>
        <v>10</v>
      </c>
      <c r="AX136" s="22">
        <f>$G136+COUNTIF($H$124:AX$124,$C136)</f>
        <v>10</v>
      </c>
      <c r="AY136" s="22">
        <f>$G136+COUNTIF($H$124:AY$124,$C136)</f>
        <v>10</v>
      </c>
      <c r="AZ136" s="22">
        <f>$G136+COUNTIF($H$124:AZ$124,$C136)</f>
        <v>10</v>
      </c>
      <c r="BA136" s="22">
        <f>$G136+COUNTIF($H$124:BA$124,$C136)</f>
        <v>10</v>
      </c>
      <c r="BB136" s="22">
        <f>$G136+COUNTIF($H$124:BB$124,$C136)</f>
        <v>10</v>
      </c>
      <c r="BC136" s="22">
        <f>$G136+COUNTIF($H$124:BC$124,$C136)</f>
        <v>10</v>
      </c>
      <c r="BD136" s="22">
        <f>$G136+COUNTIF($H$124:BD$124,$C136)</f>
        <v>10</v>
      </c>
      <c r="BE136" s="22">
        <f>$G136+COUNTIF($H$124:BE$124,$C136)</f>
        <v>10</v>
      </c>
      <c r="BF136" s="22">
        <f>$G136+COUNTIF($H$124:BF$124,$C136)</f>
        <v>10</v>
      </c>
      <c r="BG136" s="22">
        <f>$G136+COUNTIF($H$124:BG$124,$C136)</f>
        <v>10</v>
      </c>
      <c r="BH136" s="22">
        <f>$G136+COUNTIF($H$124:BH$124,$C136)</f>
        <v>10</v>
      </c>
      <c r="BI136" s="22">
        <f>$G136+COUNTIF($H$124:BI$124,$C136)</f>
        <v>10</v>
      </c>
      <c r="BJ136" s="22">
        <f>$G136+COUNTIF($H$124:BJ$124,$C136)</f>
        <v>10</v>
      </c>
      <c r="BK136" s="22">
        <f>$G136+COUNTIF($H$124:BK$124,$C136)</f>
        <v>10</v>
      </c>
      <c r="BL136" s="22">
        <f>$G136+COUNTIF($H$124:BL$124,$C136)</f>
        <v>10</v>
      </c>
      <c r="BM136" s="22">
        <f>$G136+COUNTIF($H$124:BM$124,$C136)</f>
        <v>10</v>
      </c>
      <c r="BN136" s="22">
        <f>$G136+COUNTIF($H$124:BN$124,$C136)</f>
        <v>10</v>
      </c>
      <c r="BO136" s="22">
        <f>$G136+COUNTIF($H$124:BO$124,$C136)</f>
        <v>10</v>
      </c>
    </row>
    <row r="137" spans="3:67" s="22" customFormat="1" outlineLevel="2">
      <c r="C137" s="22" t="str">
        <v>Kernel Heights</v>
      </c>
      <c r="D137" s="146"/>
      <c r="E137" s="147"/>
      <c r="F137" s="29" t="s">
        <v>1230</v>
      </c>
      <c r="G137" s="66">
        <v>3</v>
      </c>
      <c r="H137" s="22">
        <f>$G137+COUNTIF($H$124:H$124,$C137)</f>
        <v>3</v>
      </c>
      <c r="I137" s="22">
        <f>$G137+COUNTIF($H$124:I$124,$C137)</f>
        <v>3</v>
      </c>
      <c r="J137" s="22">
        <f>$G137+COUNTIF($H$124:J$124,$C137)</f>
        <v>3</v>
      </c>
      <c r="K137" s="22">
        <f>$G137+COUNTIF($H$124:K$124,$C137)</f>
        <v>3</v>
      </c>
      <c r="L137" s="22">
        <f>$G137+COUNTIF($H$124:L$124,$C137)</f>
        <v>3</v>
      </c>
      <c r="M137" s="22">
        <f>$G137+COUNTIF($H$124:M$124,$C137)</f>
        <v>3</v>
      </c>
      <c r="N137" s="22">
        <f>$G137+COUNTIF($H$124:N$124,$C137)</f>
        <v>3</v>
      </c>
      <c r="O137" s="22">
        <f>$G137+COUNTIF($H$124:O$124,$C137)</f>
        <v>3</v>
      </c>
      <c r="P137" s="22">
        <f>$G137+COUNTIF($H$124:P$124,$C137)</f>
        <v>3</v>
      </c>
      <c r="Q137" s="22">
        <f>$G137+COUNTIF($H$124:Q$124,$C137)</f>
        <v>3</v>
      </c>
      <c r="R137" s="22">
        <f>$G137+COUNTIF($H$124:R$124,$C137)</f>
        <v>4</v>
      </c>
      <c r="S137" s="22">
        <f>$G137+COUNTIF($H$124:S$124,$C137)</f>
        <v>4</v>
      </c>
      <c r="T137" s="22">
        <f>$G137+COUNTIF($H$124:T$124,$C137)</f>
        <v>4</v>
      </c>
      <c r="U137" s="22">
        <f>$G137+COUNTIF($H$124:U$124,$C137)</f>
        <v>4</v>
      </c>
      <c r="V137" s="22">
        <f>$G137+COUNTIF($H$124:V$124,$C137)</f>
        <v>4</v>
      </c>
      <c r="W137" s="22">
        <f>$G137+COUNTIF($H$124:W$124,$C137)</f>
        <v>4</v>
      </c>
      <c r="X137" s="22">
        <f>$G137+COUNTIF($H$124:X$124,$C137)</f>
        <v>4</v>
      </c>
      <c r="Y137" s="22">
        <f>$G137+COUNTIF($H$124:Y$124,$C137)</f>
        <v>4</v>
      </c>
      <c r="Z137" s="22">
        <f>$G137+COUNTIF($H$124:Z$124,$C137)</f>
        <v>4</v>
      </c>
      <c r="AA137" s="22">
        <f>$G137+COUNTIF($H$124:AA$124,$C137)</f>
        <v>4</v>
      </c>
      <c r="AB137" s="22">
        <f>$G137+COUNTIF($H$124:AB$124,$C137)</f>
        <v>4</v>
      </c>
      <c r="AC137" s="22">
        <f>$G137+COUNTIF($H$124:AC$124,$C137)</f>
        <v>4</v>
      </c>
      <c r="AD137" s="22">
        <f>$G137+COUNTIF($H$124:AD$124,$C137)</f>
        <v>4</v>
      </c>
      <c r="AE137" s="22">
        <f>$G137+COUNTIF($H$124:AE$124,$C137)</f>
        <v>4</v>
      </c>
      <c r="AF137" s="22">
        <f>$G137+COUNTIF($H$124:AF$124,$C137)</f>
        <v>4</v>
      </c>
      <c r="AG137" s="22">
        <f>$G137+COUNTIF($H$124:AG$124,$C137)</f>
        <v>4</v>
      </c>
      <c r="AH137" s="22">
        <f>$G137+COUNTIF($H$124:AH$124,$C137)</f>
        <v>4</v>
      </c>
      <c r="AI137" s="22">
        <f>$G137+COUNTIF($H$124:AI$124,$C137)</f>
        <v>4</v>
      </c>
      <c r="AJ137" s="22">
        <f>$G137+COUNTIF($H$124:AJ$124,$C137)</f>
        <v>4</v>
      </c>
      <c r="AK137" s="22">
        <f>$G137+COUNTIF($H$124:AK$124,$C137)</f>
        <v>4</v>
      </c>
      <c r="AL137" s="22">
        <f>$G137+COUNTIF($H$124:AL$124,$C137)</f>
        <v>4</v>
      </c>
      <c r="AM137" s="22">
        <f>$G137+COUNTIF($H$124:AM$124,$C137)</f>
        <v>4</v>
      </c>
      <c r="AN137" s="22">
        <f>$G137+COUNTIF($H$124:AN$124,$C137)</f>
        <v>4</v>
      </c>
      <c r="AO137" s="22">
        <f>$G137+COUNTIF($H$124:AO$124,$C137)</f>
        <v>4</v>
      </c>
      <c r="AP137" s="22">
        <f>$G137+COUNTIF($H$124:AP$124,$C137)</f>
        <v>4</v>
      </c>
      <c r="AQ137" s="22">
        <f>$G137+COUNTIF($H$124:AQ$124,$C137)</f>
        <v>4</v>
      </c>
      <c r="AR137" s="22">
        <f>$G137+COUNTIF($H$124:AR$124,$C137)</f>
        <v>5</v>
      </c>
      <c r="AS137" s="22">
        <f>$G137+COUNTIF($H$124:AS$124,$C137)</f>
        <v>5</v>
      </c>
      <c r="AT137" s="22">
        <f>$G137+COUNTIF($H$124:AT$124,$C137)</f>
        <v>5</v>
      </c>
      <c r="AU137" s="22">
        <f>$G137+COUNTIF($H$124:AU$124,$C137)</f>
        <v>5</v>
      </c>
      <c r="AV137" s="22">
        <f>$G137+COUNTIF($H$124:AV$124,$C137)</f>
        <v>5</v>
      </c>
      <c r="AW137" s="22">
        <f>$G137+COUNTIF($H$124:AW$124,$C137)</f>
        <v>5</v>
      </c>
      <c r="AX137" s="22">
        <f>$G137+COUNTIF($H$124:AX$124,$C137)</f>
        <v>5</v>
      </c>
      <c r="AY137" s="22">
        <f>$G137+COUNTIF($H$124:AY$124,$C137)</f>
        <v>5</v>
      </c>
      <c r="AZ137" s="22">
        <f>$G137+COUNTIF($H$124:AZ$124,$C137)</f>
        <v>5</v>
      </c>
      <c r="BA137" s="22">
        <f>$G137+COUNTIF($H$124:BA$124,$C137)</f>
        <v>5</v>
      </c>
      <c r="BB137" s="22">
        <f>$G137+COUNTIF($H$124:BB$124,$C137)</f>
        <v>5</v>
      </c>
      <c r="BC137" s="22">
        <f>$G137+COUNTIF($H$124:BC$124,$C137)</f>
        <v>5</v>
      </c>
      <c r="BD137" s="22">
        <f>$G137+COUNTIF($H$124:BD$124,$C137)</f>
        <v>5</v>
      </c>
      <c r="BE137" s="22">
        <f>$G137+COUNTIF($H$124:BE$124,$C137)</f>
        <v>5</v>
      </c>
      <c r="BF137" s="22">
        <f>$G137+COUNTIF($H$124:BF$124,$C137)</f>
        <v>5</v>
      </c>
      <c r="BG137" s="22">
        <f>$G137+COUNTIF($H$124:BG$124,$C137)</f>
        <v>5</v>
      </c>
      <c r="BH137" s="22">
        <f>$G137+COUNTIF($H$124:BH$124,$C137)</f>
        <v>5</v>
      </c>
      <c r="BI137" s="22">
        <f>$G137+COUNTIF($H$124:BI$124,$C137)</f>
        <v>5</v>
      </c>
      <c r="BJ137" s="22">
        <f>$G137+COUNTIF($H$124:BJ$124,$C137)</f>
        <v>5</v>
      </c>
      <c r="BK137" s="22">
        <f>$G137+COUNTIF($H$124:BK$124,$C137)</f>
        <v>5</v>
      </c>
      <c r="BL137" s="22">
        <f>$G137+COUNTIF($H$124:BL$124,$C137)</f>
        <v>5</v>
      </c>
      <c r="BM137" s="22">
        <f>$G137+COUNTIF($H$124:BM$124,$C137)</f>
        <v>5</v>
      </c>
      <c r="BN137" s="22">
        <f>$G137+COUNTIF($H$124:BN$124,$C137)</f>
        <v>5</v>
      </c>
      <c r="BO137" s="22">
        <f>$G137+COUNTIF($H$124:BO$124,$C137)</f>
        <v>5</v>
      </c>
    </row>
    <row r="138" spans="3:67" s="22" customFormat="1" outlineLevel="2">
      <c r="C138" s="22" t="str">
        <v>Logicridge</v>
      </c>
      <c r="D138" s="146"/>
      <c r="E138" s="147"/>
      <c r="F138" s="29" t="s">
        <v>1230</v>
      </c>
      <c r="G138" s="66">
        <v>5</v>
      </c>
      <c r="H138" s="22">
        <f>$G138+COUNTIF($H$124:H$124,$C138)</f>
        <v>5</v>
      </c>
      <c r="I138" s="22">
        <f>$G138+COUNTIF($H$124:I$124,$C138)</f>
        <v>5</v>
      </c>
      <c r="J138" s="22">
        <f>$G138+COUNTIF($H$124:J$124,$C138)</f>
        <v>5</v>
      </c>
      <c r="K138" s="22">
        <f>$G138+COUNTIF($H$124:K$124,$C138)</f>
        <v>5</v>
      </c>
      <c r="L138" s="22">
        <f>$G138+COUNTIF($H$124:L$124,$C138)</f>
        <v>5</v>
      </c>
      <c r="M138" s="22">
        <f>$G138+COUNTIF($H$124:M$124,$C138)</f>
        <v>5</v>
      </c>
      <c r="N138" s="22">
        <f>$G138+COUNTIF($H$124:N$124,$C138)</f>
        <v>5</v>
      </c>
      <c r="O138" s="22">
        <f>$G138+COUNTIF($H$124:O$124,$C138)</f>
        <v>5</v>
      </c>
      <c r="P138" s="22">
        <f>$G138+COUNTIF($H$124:P$124,$C138)</f>
        <v>5</v>
      </c>
      <c r="Q138" s="22">
        <f>$G138+COUNTIF($H$124:Q$124,$C138)</f>
        <v>5</v>
      </c>
      <c r="R138" s="22">
        <f>$G138+COUNTIF($H$124:R$124,$C138)</f>
        <v>5</v>
      </c>
      <c r="S138" s="22">
        <f>$G138+COUNTIF($H$124:S$124,$C138)</f>
        <v>6</v>
      </c>
      <c r="T138" s="22">
        <f>$G138+COUNTIF($H$124:T$124,$C138)</f>
        <v>6</v>
      </c>
      <c r="U138" s="22">
        <f>$G138+COUNTIF($H$124:U$124,$C138)</f>
        <v>6</v>
      </c>
      <c r="V138" s="22">
        <f>$G138+COUNTIF($H$124:V$124,$C138)</f>
        <v>6</v>
      </c>
      <c r="W138" s="22">
        <f>$G138+COUNTIF($H$124:W$124,$C138)</f>
        <v>6</v>
      </c>
      <c r="X138" s="22">
        <f>$G138+COUNTIF($H$124:X$124,$C138)</f>
        <v>6</v>
      </c>
      <c r="Y138" s="22">
        <f>$G138+COUNTIF($H$124:Y$124,$C138)</f>
        <v>6</v>
      </c>
      <c r="Z138" s="22">
        <f>$G138+COUNTIF($H$124:Z$124,$C138)</f>
        <v>6</v>
      </c>
      <c r="AA138" s="22">
        <f>$G138+COUNTIF($H$124:AA$124,$C138)</f>
        <v>6</v>
      </c>
      <c r="AB138" s="22">
        <f>$G138+COUNTIF($H$124:AB$124,$C138)</f>
        <v>6</v>
      </c>
      <c r="AC138" s="22">
        <f>$G138+COUNTIF($H$124:AC$124,$C138)</f>
        <v>6</v>
      </c>
      <c r="AD138" s="22">
        <f>$G138+COUNTIF($H$124:AD$124,$C138)</f>
        <v>6</v>
      </c>
      <c r="AE138" s="22">
        <f>$G138+COUNTIF($H$124:AE$124,$C138)</f>
        <v>6</v>
      </c>
      <c r="AF138" s="22">
        <f>$G138+COUNTIF($H$124:AF$124,$C138)</f>
        <v>6</v>
      </c>
      <c r="AG138" s="22">
        <f>$G138+COUNTIF($H$124:AG$124,$C138)</f>
        <v>6</v>
      </c>
      <c r="AH138" s="22">
        <f>$G138+COUNTIF($H$124:AH$124,$C138)</f>
        <v>6</v>
      </c>
      <c r="AI138" s="22">
        <f>$G138+COUNTIF($H$124:AI$124,$C138)</f>
        <v>6</v>
      </c>
      <c r="AJ138" s="22">
        <f>$G138+COUNTIF($H$124:AJ$124,$C138)</f>
        <v>6</v>
      </c>
      <c r="AK138" s="22">
        <f>$G138+COUNTIF($H$124:AK$124,$C138)</f>
        <v>6</v>
      </c>
      <c r="AL138" s="22">
        <f>$G138+COUNTIF($H$124:AL$124,$C138)</f>
        <v>6</v>
      </c>
      <c r="AM138" s="22">
        <f>$G138+COUNTIF($H$124:AM$124,$C138)</f>
        <v>6</v>
      </c>
      <c r="AN138" s="22">
        <f>$G138+COUNTIF($H$124:AN$124,$C138)</f>
        <v>6</v>
      </c>
      <c r="AO138" s="22">
        <f>$G138+COUNTIF($H$124:AO$124,$C138)</f>
        <v>6</v>
      </c>
      <c r="AP138" s="22">
        <f>$G138+COUNTIF($H$124:AP$124,$C138)</f>
        <v>6</v>
      </c>
      <c r="AQ138" s="22">
        <f>$G138+COUNTIF($H$124:AQ$124,$C138)</f>
        <v>6</v>
      </c>
      <c r="AR138" s="22">
        <f>$G138+COUNTIF($H$124:AR$124,$C138)</f>
        <v>6</v>
      </c>
      <c r="AS138" s="22">
        <f>$G138+COUNTIF($H$124:AS$124,$C138)</f>
        <v>7</v>
      </c>
      <c r="AT138" s="22">
        <f>$G138+COUNTIF($H$124:AT$124,$C138)</f>
        <v>7</v>
      </c>
      <c r="AU138" s="22">
        <f>$G138+COUNTIF($H$124:AU$124,$C138)</f>
        <v>7</v>
      </c>
      <c r="AV138" s="22">
        <f>$G138+COUNTIF($H$124:AV$124,$C138)</f>
        <v>7</v>
      </c>
      <c r="AW138" s="22">
        <f>$G138+COUNTIF($H$124:AW$124,$C138)</f>
        <v>7</v>
      </c>
      <c r="AX138" s="22">
        <f>$G138+COUNTIF($H$124:AX$124,$C138)</f>
        <v>7</v>
      </c>
      <c r="AY138" s="22">
        <f>$G138+COUNTIF($H$124:AY$124,$C138)</f>
        <v>7</v>
      </c>
      <c r="AZ138" s="22">
        <f>$G138+COUNTIF($H$124:AZ$124,$C138)</f>
        <v>7</v>
      </c>
      <c r="BA138" s="22">
        <f>$G138+COUNTIF($H$124:BA$124,$C138)</f>
        <v>7</v>
      </c>
      <c r="BB138" s="22">
        <f>$G138+COUNTIF($H$124:BB$124,$C138)</f>
        <v>7</v>
      </c>
      <c r="BC138" s="22">
        <f>$G138+COUNTIF($H$124:BC$124,$C138)</f>
        <v>7</v>
      </c>
      <c r="BD138" s="22">
        <f>$G138+COUNTIF($H$124:BD$124,$C138)</f>
        <v>7</v>
      </c>
      <c r="BE138" s="22">
        <f>$G138+COUNTIF($H$124:BE$124,$C138)</f>
        <v>7</v>
      </c>
      <c r="BF138" s="22">
        <f>$G138+COUNTIF($H$124:BF$124,$C138)</f>
        <v>7</v>
      </c>
      <c r="BG138" s="22">
        <f>$G138+COUNTIF($H$124:BG$124,$C138)</f>
        <v>7</v>
      </c>
      <c r="BH138" s="22">
        <f>$G138+COUNTIF($H$124:BH$124,$C138)</f>
        <v>7</v>
      </c>
      <c r="BI138" s="22">
        <f>$G138+COUNTIF($H$124:BI$124,$C138)</f>
        <v>7</v>
      </c>
      <c r="BJ138" s="22">
        <f>$G138+COUNTIF($H$124:BJ$124,$C138)</f>
        <v>7</v>
      </c>
      <c r="BK138" s="22">
        <f>$G138+COUNTIF($H$124:BK$124,$C138)</f>
        <v>7</v>
      </c>
      <c r="BL138" s="22">
        <f>$G138+COUNTIF($H$124:BL$124,$C138)</f>
        <v>7</v>
      </c>
      <c r="BM138" s="22">
        <f>$G138+COUNTIF($H$124:BM$124,$C138)</f>
        <v>7</v>
      </c>
      <c r="BN138" s="22">
        <f>$G138+COUNTIF($H$124:BN$124,$C138)</f>
        <v>7</v>
      </c>
      <c r="BO138" s="22">
        <f>$G138+COUNTIF($H$124:BO$124,$C138)</f>
        <v>7</v>
      </c>
    </row>
    <row r="139" spans="3:67" s="22" customFormat="1" outlineLevel="2">
      <c r="C139" s="22" t="str">
        <v>Megahub</v>
      </c>
      <c r="D139" s="146"/>
      <c r="E139" s="147"/>
      <c r="F139" s="29" t="s">
        <v>1230</v>
      </c>
      <c r="G139" s="66">
        <v>1</v>
      </c>
      <c r="H139" s="22">
        <f>$G139+COUNTIF($H$124:H$124,$C139)</f>
        <v>1</v>
      </c>
      <c r="I139" s="22">
        <f>$G139+COUNTIF($H$124:I$124,$C139)</f>
        <v>1</v>
      </c>
      <c r="J139" s="22">
        <f>$G139+COUNTIF($H$124:J$124,$C139)</f>
        <v>1</v>
      </c>
      <c r="K139" s="22">
        <f>$G139+COUNTIF($H$124:K$124,$C139)</f>
        <v>1</v>
      </c>
      <c r="L139" s="22">
        <f>$G139+COUNTIF($H$124:L$124,$C139)</f>
        <v>1</v>
      </c>
      <c r="M139" s="22">
        <f>$G139+COUNTIF($H$124:M$124,$C139)</f>
        <v>1</v>
      </c>
      <c r="N139" s="22">
        <f>$G139+COUNTIF($H$124:N$124,$C139)</f>
        <v>1</v>
      </c>
      <c r="O139" s="22">
        <f>$G139+COUNTIF($H$124:O$124,$C139)</f>
        <v>1</v>
      </c>
      <c r="P139" s="22">
        <f>$G139+COUNTIF($H$124:P$124,$C139)</f>
        <v>1</v>
      </c>
      <c r="Q139" s="22">
        <f>$G139+COUNTIF($H$124:Q$124,$C139)</f>
        <v>1</v>
      </c>
      <c r="R139" s="22">
        <f>$G139+COUNTIF($H$124:R$124,$C139)</f>
        <v>1</v>
      </c>
      <c r="S139" s="22">
        <f>$G139+COUNTIF($H$124:S$124,$C139)</f>
        <v>1</v>
      </c>
      <c r="T139" s="22">
        <f>$G139+COUNTIF($H$124:T$124,$C139)</f>
        <v>2</v>
      </c>
      <c r="U139" s="22">
        <f>$G139+COUNTIF($H$124:U$124,$C139)</f>
        <v>2</v>
      </c>
      <c r="V139" s="22">
        <f>$G139+COUNTIF($H$124:V$124,$C139)</f>
        <v>2</v>
      </c>
      <c r="W139" s="22">
        <f>$G139+COUNTIF($H$124:W$124,$C139)</f>
        <v>2</v>
      </c>
      <c r="X139" s="22">
        <f>$G139+COUNTIF($H$124:X$124,$C139)</f>
        <v>2</v>
      </c>
      <c r="Y139" s="22">
        <f>$G139+COUNTIF($H$124:Y$124,$C139)</f>
        <v>2</v>
      </c>
      <c r="Z139" s="22">
        <f>$G139+COUNTIF($H$124:Z$124,$C139)</f>
        <v>2</v>
      </c>
      <c r="AA139" s="22">
        <f>$G139+COUNTIF($H$124:AA$124,$C139)</f>
        <v>2</v>
      </c>
      <c r="AB139" s="22">
        <f>$G139+COUNTIF($H$124:AB$124,$C139)</f>
        <v>2</v>
      </c>
      <c r="AC139" s="22">
        <f>$G139+COUNTIF($H$124:AC$124,$C139)</f>
        <v>2</v>
      </c>
      <c r="AD139" s="22">
        <f>$G139+COUNTIF($H$124:AD$124,$C139)</f>
        <v>2</v>
      </c>
      <c r="AE139" s="22">
        <f>$G139+COUNTIF($H$124:AE$124,$C139)</f>
        <v>2</v>
      </c>
      <c r="AF139" s="22">
        <f>$G139+COUNTIF($H$124:AF$124,$C139)</f>
        <v>2</v>
      </c>
      <c r="AG139" s="22">
        <f>$G139+COUNTIF($H$124:AG$124,$C139)</f>
        <v>2</v>
      </c>
      <c r="AH139" s="22">
        <f>$G139+COUNTIF($H$124:AH$124,$C139)</f>
        <v>2</v>
      </c>
      <c r="AI139" s="22">
        <f>$G139+COUNTIF($H$124:AI$124,$C139)</f>
        <v>2</v>
      </c>
      <c r="AJ139" s="22">
        <f>$G139+COUNTIF($H$124:AJ$124,$C139)</f>
        <v>2</v>
      </c>
      <c r="AK139" s="22">
        <f>$G139+COUNTIF($H$124:AK$124,$C139)</f>
        <v>2</v>
      </c>
      <c r="AL139" s="22">
        <f>$G139+COUNTIF($H$124:AL$124,$C139)</f>
        <v>2</v>
      </c>
      <c r="AM139" s="22">
        <f>$G139+COUNTIF($H$124:AM$124,$C139)</f>
        <v>2</v>
      </c>
      <c r="AN139" s="22">
        <f>$G139+COUNTIF($H$124:AN$124,$C139)</f>
        <v>2</v>
      </c>
      <c r="AO139" s="22">
        <f>$G139+COUNTIF($H$124:AO$124,$C139)</f>
        <v>2</v>
      </c>
      <c r="AP139" s="22">
        <f>$G139+COUNTIF($H$124:AP$124,$C139)</f>
        <v>2</v>
      </c>
      <c r="AQ139" s="22">
        <f>$G139+COUNTIF($H$124:AQ$124,$C139)</f>
        <v>2</v>
      </c>
      <c r="AR139" s="22">
        <f>$G139+COUNTIF($H$124:AR$124,$C139)</f>
        <v>2</v>
      </c>
      <c r="AS139" s="22">
        <f>$G139+COUNTIF($H$124:AS$124,$C139)</f>
        <v>2</v>
      </c>
      <c r="AT139" s="22">
        <f>$G139+COUNTIF($H$124:AT$124,$C139)</f>
        <v>3</v>
      </c>
      <c r="AU139" s="22">
        <f>$G139+COUNTIF($H$124:AU$124,$C139)</f>
        <v>3</v>
      </c>
      <c r="AV139" s="22">
        <f>$G139+COUNTIF($H$124:AV$124,$C139)</f>
        <v>3</v>
      </c>
      <c r="AW139" s="22">
        <f>$G139+COUNTIF($H$124:AW$124,$C139)</f>
        <v>3</v>
      </c>
      <c r="AX139" s="22">
        <f>$G139+COUNTIF($H$124:AX$124,$C139)</f>
        <v>3</v>
      </c>
      <c r="AY139" s="22">
        <f>$G139+COUNTIF($H$124:AY$124,$C139)</f>
        <v>3</v>
      </c>
      <c r="AZ139" s="22">
        <f>$G139+COUNTIF($H$124:AZ$124,$C139)</f>
        <v>3</v>
      </c>
      <c r="BA139" s="22">
        <f>$G139+COUNTIF($H$124:BA$124,$C139)</f>
        <v>3</v>
      </c>
      <c r="BB139" s="22">
        <f>$G139+COUNTIF($H$124:BB$124,$C139)</f>
        <v>3</v>
      </c>
      <c r="BC139" s="22">
        <f>$G139+COUNTIF($H$124:BC$124,$C139)</f>
        <v>3</v>
      </c>
      <c r="BD139" s="22">
        <f>$G139+COUNTIF($H$124:BD$124,$C139)</f>
        <v>3</v>
      </c>
      <c r="BE139" s="22">
        <f>$G139+COUNTIF($H$124:BE$124,$C139)</f>
        <v>3</v>
      </c>
      <c r="BF139" s="22">
        <f>$G139+COUNTIF($H$124:BF$124,$C139)</f>
        <v>3</v>
      </c>
      <c r="BG139" s="22">
        <f>$G139+COUNTIF($H$124:BG$124,$C139)</f>
        <v>3</v>
      </c>
      <c r="BH139" s="22">
        <f>$G139+COUNTIF($H$124:BH$124,$C139)</f>
        <v>3</v>
      </c>
      <c r="BI139" s="22">
        <f>$G139+COUNTIF($H$124:BI$124,$C139)</f>
        <v>3</v>
      </c>
      <c r="BJ139" s="22">
        <f>$G139+COUNTIF($H$124:BJ$124,$C139)</f>
        <v>3</v>
      </c>
      <c r="BK139" s="22">
        <f>$G139+COUNTIF($H$124:BK$124,$C139)</f>
        <v>3</v>
      </c>
      <c r="BL139" s="22">
        <f>$G139+COUNTIF($H$124:BL$124,$C139)</f>
        <v>3</v>
      </c>
      <c r="BM139" s="22">
        <f>$G139+COUNTIF($H$124:BM$124,$C139)</f>
        <v>3</v>
      </c>
      <c r="BN139" s="22">
        <f>$G139+COUNTIF($H$124:BN$124,$C139)</f>
        <v>3</v>
      </c>
      <c r="BO139" s="22">
        <f>$G139+COUNTIF($H$124:BO$124,$C139)</f>
        <v>3</v>
      </c>
    </row>
    <row r="140" spans="3:67" s="22" customFormat="1" outlineLevel="2">
      <c r="C140" s="22" t="str">
        <v>Nodeline</v>
      </c>
      <c r="D140" s="146"/>
      <c r="E140" s="147"/>
      <c r="F140" s="29" t="s">
        <v>1230</v>
      </c>
      <c r="G140" s="66">
        <v>7</v>
      </c>
      <c r="H140" s="22">
        <f>$G140+COUNTIF($H$124:H$124,$C140)</f>
        <v>7</v>
      </c>
      <c r="I140" s="22">
        <f>$G140+COUNTIF($H$124:I$124,$C140)</f>
        <v>7</v>
      </c>
      <c r="J140" s="22">
        <f>$G140+COUNTIF($H$124:J$124,$C140)</f>
        <v>7</v>
      </c>
      <c r="K140" s="22">
        <f>$G140+COUNTIF($H$124:K$124,$C140)</f>
        <v>7</v>
      </c>
      <c r="L140" s="22">
        <f>$G140+COUNTIF($H$124:L$124,$C140)</f>
        <v>7</v>
      </c>
      <c r="M140" s="22">
        <f>$G140+COUNTIF($H$124:M$124,$C140)</f>
        <v>7</v>
      </c>
      <c r="N140" s="22">
        <f>$G140+COUNTIF($H$124:N$124,$C140)</f>
        <v>7</v>
      </c>
      <c r="O140" s="22">
        <f>$G140+COUNTIF($H$124:O$124,$C140)</f>
        <v>7</v>
      </c>
      <c r="P140" s="22">
        <f>$G140+COUNTIF($H$124:P$124,$C140)</f>
        <v>7</v>
      </c>
      <c r="Q140" s="22">
        <f>$G140+COUNTIF($H$124:Q$124,$C140)</f>
        <v>7</v>
      </c>
      <c r="R140" s="22">
        <f>$G140+COUNTIF($H$124:R$124,$C140)</f>
        <v>7</v>
      </c>
      <c r="S140" s="22">
        <f>$G140+COUNTIF($H$124:S$124,$C140)</f>
        <v>7</v>
      </c>
      <c r="T140" s="22">
        <f>$G140+COUNTIF($H$124:T$124,$C140)</f>
        <v>7</v>
      </c>
      <c r="U140" s="22">
        <f>$G140+COUNTIF($H$124:U$124,$C140)</f>
        <v>8</v>
      </c>
      <c r="V140" s="22">
        <f>$G140+COUNTIF($H$124:V$124,$C140)</f>
        <v>8</v>
      </c>
      <c r="W140" s="22">
        <f>$G140+COUNTIF($H$124:W$124,$C140)</f>
        <v>8</v>
      </c>
      <c r="X140" s="22">
        <f>$G140+COUNTIF($H$124:X$124,$C140)</f>
        <v>8</v>
      </c>
      <c r="Y140" s="22">
        <f>$G140+COUNTIF($H$124:Y$124,$C140)</f>
        <v>8</v>
      </c>
      <c r="Z140" s="22">
        <f>$G140+COUNTIF($H$124:Z$124,$C140)</f>
        <v>8</v>
      </c>
      <c r="AA140" s="22">
        <f>$G140+COUNTIF($H$124:AA$124,$C140)</f>
        <v>8</v>
      </c>
      <c r="AB140" s="22">
        <f>$G140+COUNTIF($H$124:AB$124,$C140)</f>
        <v>8</v>
      </c>
      <c r="AC140" s="22">
        <f>$G140+COUNTIF($H$124:AC$124,$C140)</f>
        <v>8</v>
      </c>
      <c r="AD140" s="22">
        <f>$G140+COUNTIF($H$124:AD$124,$C140)</f>
        <v>8</v>
      </c>
      <c r="AE140" s="22">
        <f>$G140+COUNTIF($H$124:AE$124,$C140)</f>
        <v>8</v>
      </c>
      <c r="AF140" s="22">
        <f>$G140+COUNTIF($H$124:AF$124,$C140)</f>
        <v>8</v>
      </c>
      <c r="AG140" s="22">
        <f>$G140+COUNTIF($H$124:AG$124,$C140)</f>
        <v>8</v>
      </c>
      <c r="AH140" s="22">
        <f>$G140+COUNTIF($H$124:AH$124,$C140)</f>
        <v>8</v>
      </c>
      <c r="AI140" s="22">
        <f>$G140+COUNTIF($H$124:AI$124,$C140)</f>
        <v>8</v>
      </c>
      <c r="AJ140" s="22">
        <f>$G140+COUNTIF($H$124:AJ$124,$C140)</f>
        <v>8</v>
      </c>
      <c r="AK140" s="22">
        <f>$G140+COUNTIF($H$124:AK$124,$C140)</f>
        <v>8</v>
      </c>
      <c r="AL140" s="22">
        <f>$G140+COUNTIF($H$124:AL$124,$C140)</f>
        <v>8</v>
      </c>
      <c r="AM140" s="22">
        <f>$G140+COUNTIF($H$124:AM$124,$C140)</f>
        <v>8</v>
      </c>
      <c r="AN140" s="22">
        <f>$G140+COUNTIF($H$124:AN$124,$C140)</f>
        <v>8</v>
      </c>
      <c r="AO140" s="22">
        <f>$G140+COUNTIF($H$124:AO$124,$C140)</f>
        <v>8</v>
      </c>
      <c r="AP140" s="22">
        <f>$G140+COUNTIF($H$124:AP$124,$C140)</f>
        <v>8</v>
      </c>
      <c r="AQ140" s="22">
        <f>$G140+COUNTIF($H$124:AQ$124,$C140)</f>
        <v>8</v>
      </c>
      <c r="AR140" s="22">
        <f>$G140+COUNTIF($H$124:AR$124,$C140)</f>
        <v>8</v>
      </c>
      <c r="AS140" s="22">
        <f>$G140+COUNTIF($H$124:AS$124,$C140)</f>
        <v>8</v>
      </c>
      <c r="AT140" s="22">
        <f>$G140+COUNTIF($H$124:AT$124,$C140)</f>
        <v>8</v>
      </c>
      <c r="AU140" s="22">
        <f>$G140+COUNTIF($H$124:AU$124,$C140)</f>
        <v>9</v>
      </c>
      <c r="AV140" s="22">
        <f>$G140+COUNTIF($H$124:AV$124,$C140)</f>
        <v>9</v>
      </c>
      <c r="AW140" s="22">
        <f>$G140+COUNTIF($H$124:AW$124,$C140)</f>
        <v>9</v>
      </c>
      <c r="AX140" s="22">
        <f>$G140+COUNTIF($H$124:AX$124,$C140)</f>
        <v>9</v>
      </c>
      <c r="AY140" s="22">
        <f>$G140+COUNTIF($H$124:AY$124,$C140)</f>
        <v>9</v>
      </c>
      <c r="AZ140" s="22">
        <f>$G140+COUNTIF($H$124:AZ$124,$C140)</f>
        <v>9</v>
      </c>
      <c r="BA140" s="22">
        <f>$G140+COUNTIF($H$124:BA$124,$C140)</f>
        <v>9</v>
      </c>
      <c r="BB140" s="22">
        <f>$G140+COUNTIF($H$124:BB$124,$C140)</f>
        <v>9</v>
      </c>
      <c r="BC140" s="22">
        <f>$G140+COUNTIF($H$124:BC$124,$C140)</f>
        <v>9</v>
      </c>
      <c r="BD140" s="22">
        <f>$G140+COUNTIF($H$124:BD$124,$C140)</f>
        <v>9</v>
      </c>
      <c r="BE140" s="22">
        <f>$G140+COUNTIF($H$124:BE$124,$C140)</f>
        <v>9</v>
      </c>
      <c r="BF140" s="22">
        <f>$G140+COUNTIF($H$124:BF$124,$C140)</f>
        <v>9</v>
      </c>
      <c r="BG140" s="22">
        <f>$G140+COUNTIF($H$124:BG$124,$C140)</f>
        <v>9</v>
      </c>
      <c r="BH140" s="22">
        <f>$G140+COUNTIF($H$124:BH$124,$C140)</f>
        <v>9</v>
      </c>
      <c r="BI140" s="22">
        <f>$G140+COUNTIF($H$124:BI$124,$C140)</f>
        <v>9</v>
      </c>
      <c r="BJ140" s="22">
        <f>$G140+COUNTIF($H$124:BJ$124,$C140)</f>
        <v>9</v>
      </c>
      <c r="BK140" s="22">
        <f>$G140+COUNTIF($H$124:BK$124,$C140)</f>
        <v>9</v>
      </c>
      <c r="BL140" s="22">
        <f>$G140+COUNTIF($H$124:BL$124,$C140)</f>
        <v>9</v>
      </c>
      <c r="BM140" s="22">
        <f>$G140+COUNTIF($H$124:BM$124,$C140)</f>
        <v>9</v>
      </c>
      <c r="BN140" s="22">
        <f>$G140+COUNTIF($H$124:BN$124,$C140)</f>
        <v>9</v>
      </c>
      <c r="BO140" s="22">
        <f>$G140+COUNTIF($H$124:BO$124,$C140)</f>
        <v>9</v>
      </c>
    </row>
    <row r="141" spans="3:67" s="22" customFormat="1" outlineLevel="2">
      <c r="C141" s="22" t="str">
        <v>Overclock Oasis</v>
      </c>
      <c r="D141" s="146"/>
      <c r="E141" s="147"/>
      <c r="F141" s="29" t="s">
        <v>1230</v>
      </c>
      <c r="G141" s="66">
        <v>51</v>
      </c>
      <c r="H141" s="22">
        <f>$G141+COUNTIF($H$124:H$124,$C141)</f>
        <v>51</v>
      </c>
      <c r="I141" s="22">
        <f>$G141+COUNTIF($H$124:I$124,$C141)</f>
        <v>51</v>
      </c>
      <c r="J141" s="22">
        <f>$G141+COUNTIF($H$124:J$124,$C141)</f>
        <v>51</v>
      </c>
      <c r="K141" s="22">
        <f>$G141+COUNTIF($H$124:K$124,$C141)</f>
        <v>51</v>
      </c>
      <c r="L141" s="22">
        <f>$G141+COUNTIF($H$124:L$124,$C141)</f>
        <v>51</v>
      </c>
      <c r="M141" s="22">
        <f>$G141+COUNTIF($H$124:M$124,$C141)</f>
        <v>51</v>
      </c>
      <c r="N141" s="22">
        <f>$G141+COUNTIF($H$124:N$124,$C141)</f>
        <v>51</v>
      </c>
      <c r="O141" s="22">
        <f>$G141+COUNTIF($H$124:O$124,$C141)</f>
        <v>51</v>
      </c>
      <c r="P141" s="22">
        <f>$G141+COUNTIF($H$124:P$124,$C141)</f>
        <v>51</v>
      </c>
      <c r="Q141" s="22">
        <f>$G141+COUNTIF($H$124:Q$124,$C141)</f>
        <v>51</v>
      </c>
      <c r="R141" s="22">
        <f>$G141+COUNTIF($H$124:R$124,$C141)</f>
        <v>51</v>
      </c>
      <c r="S141" s="22">
        <f>$G141+COUNTIF($H$124:S$124,$C141)</f>
        <v>51</v>
      </c>
      <c r="T141" s="22">
        <f>$G141+COUNTIF($H$124:T$124,$C141)</f>
        <v>51</v>
      </c>
      <c r="U141" s="22">
        <f>$G141+COUNTIF($H$124:U$124,$C141)</f>
        <v>51</v>
      </c>
      <c r="V141" s="22">
        <f>$G141+COUNTIF($H$124:V$124,$C141)</f>
        <v>52</v>
      </c>
      <c r="W141" s="22">
        <f>$G141+COUNTIF($H$124:W$124,$C141)</f>
        <v>52</v>
      </c>
      <c r="X141" s="22">
        <f>$G141+COUNTIF($H$124:X$124,$C141)</f>
        <v>52</v>
      </c>
      <c r="Y141" s="22">
        <f>$G141+COUNTIF($H$124:Y$124,$C141)</f>
        <v>52</v>
      </c>
      <c r="Z141" s="22">
        <f>$G141+COUNTIF($H$124:Z$124,$C141)</f>
        <v>52</v>
      </c>
      <c r="AA141" s="22">
        <f>$G141+COUNTIF($H$124:AA$124,$C141)</f>
        <v>52</v>
      </c>
      <c r="AB141" s="22">
        <f>$G141+COUNTIF($H$124:AB$124,$C141)</f>
        <v>52</v>
      </c>
      <c r="AC141" s="22">
        <f>$G141+COUNTIF($H$124:AC$124,$C141)</f>
        <v>52</v>
      </c>
      <c r="AD141" s="22">
        <f>$G141+COUNTIF($H$124:AD$124,$C141)</f>
        <v>52</v>
      </c>
      <c r="AE141" s="22">
        <f>$G141+COUNTIF($H$124:AE$124,$C141)</f>
        <v>52</v>
      </c>
      <c r="AF141" s="22">
        <f>$G141+COUNTIF($H$124:AF$124,$C141)</f>
        <v>52</v>
      </c>
      <c r="AG141" s="22">
        <f>$G141+COUNTIF($H$124:AG$124,$C141)</f>
        <v>52</v>
      </c>
      <c r="AH141" s="22">
        <f>$G141+COUNTIF($H$124:AH$124,$C141)</f>
        <v>52</v>
      </c>
      <c r="AI141" s="22">
        <f>$G141+COUNTIF($H$124:AI$124,$C141)</f>
        <v>52</v>
      </c>
      <c r="AJ141" s="22">
        <f>$G141+COUNTIF($H$124:AJ$124,$C141)</f>
        <v>52</v>
      </c>
      <c r="AK141" s="22">
        <f>$G141+COUNTIF($H$124:AK$124,$C141)</f>
        <v>52</v>
      </c>
      <c r="AL141" s="22">
        <f>$G141+COUNTIF($H$124:AL$124,$C141)</f>
        <v>52</v>
      </c>
      <c r="AM141" s="22">
        <f>$G141+COUNTIF($H$124:AM$124,$C141)</f>
        <v>52</v>
      </c>
      <c r="AN141" s="22">
        <f>$G141+COUNTIF($H$124:AN$124,$C141)</f>
        <v>52</v>
      </c>
      <c r="AO141" s="22">
        <f>$G141+COUNTIF($H$124:AO$124,$C141)</f>
        <v>52</v>
      </c>
      <c r="AP141" s="22">
        <f>$G141+COUNTIF($H$124:AP$124,$C141)</f>
        <v>52</v>
      </c>
      <c r="AQ141" s="22">
        <f>$G141+COUNTIF($H$124:AQ$124,$C141)</f>
        <v>52</v>
      </c>
      <c r="AR141" s="22">
        <f>$G141+COUNTIF($H$124:AR$124,$C141)</f>
        <v>52</v>
      </c>
      <c r="AS141" s="22">
        <f>$G141+COUNTIF($H$124:AS$124,$C141)</f>
        <v>52</v>
      </c>
      <c r="AT141" s="22">
        <f>$G141+COUNTIF($H$124:AT$124,$C141)</f>
        <v>52</v>
      </c>
      <c r="AU141" s="22">
        <f>$G141+COUNTIF($H$124:AU$124,$C141)</f>
        <v>52</v>
      </c>
      <c r="AV141" s="22">
        <f>$G141+COUNTIF($H$124:AV$124,$C141)</f>
        <v>53</v>
      </c>
      <c r="AW141" s="22">
        <f>$G141+COUNTIF($H$124:AW$124,$C141)</f>
        <v>53</v>
      </c>
      <c r="AX141" s="22">
        <f>$G141+COUNTIF($H$124:AX$124,$C141)</f>
        <v>53</v>
      </c>
      <c r="AY141" s="22">
        <f>$G141+COUNTIF($H$124:AY$124,$C141)</f>
        <v>53</v>
      </c>
      <c r="AZ141" s="22">
        <f>$G141+COUNTIF($H$124:AZ$124,$C141)</f>
        <v>53</v>
      </c>
      <c r="BA141" s="22">
        <f>$G141+COUNTIF($H$124:BA$124,$C141)</f>
        <v>53</v>
      </c>
      <c r="BB141" s="22">
        <f>$G141+COUNTIF($H$124:BB$124,$C141)</f>
        <v>53</v>
      </c>
      <c r="BC141" s="22">
        <f>$G141+COUNTIF($H$124:BC$124,$C141)</f>
        <v>53</v>
      </c>
      <c r="BD141" s="22">
        <f>$G141+COUNTIF($H$124:BD$124,$C141)</f>
        <v>53</v>
      </c>
      <c r="BE141" s="22">
        <f>$G141+COUNTIF($H$124:BE$124,$C141)</f>
        <v>53</v>
      </c>
      <c r="BF141" s="22">
        <f>$G141+COUNTIF($H$124:BF$124,$C141)</f>
        <v>53</v>
      </c>
      <c r="BG141" s="22">
        <f>$G141+COUNTIF($H$124:BG$124,$C141)</f>
        <v>53</v>
      </c>
      <c r="BH141" s="22">
        <f>$G141+COUNTIF($H$124:BH$124,$C141)</f>
        <v>53</v>
      </c>
      <c r="BI141" s="22">
        <f>$G141+COUNTIF($H$124:BI$124,$C141)</f>
        <v>53</v>
      </c>
      <c r="BJ141" s="22">
        <f>$G141+COUNTIF($H$124:BJ$124,$C141)</f>
        <v>53</v>
      </c>
      <c r="BK141" s="22">
        <f>$G141+COUNTIF($H$124:BK$124,$C141)</f>
        <v>53</v>
      </c>
      <c r="BL141" s="22">
        <f>$G141+COUNTIF($H$124:BL$124,$C141)</f>
        <v>53</v>
      </c>
      <c r="BM141" s="22">
        <f>$G141+COUNTIF($H$124:BM$124,$C141)</f>
        <v>53</v>
      </c>
      <c r="BN141" s="22">
        <f>$G141+COUNTIF($H$124:BN$124,$C141)</f>
        <v>53</v>
      </c>
      <c r="BO141" s="22">
        <f>$G141+COUNTIF($H$124:BO$124,$C141)</f>
        <v>53</v>
      </c>
    </row>
    <row r="142" spans="3:67" s="22" customFormat="1" outlineLevel="2">
      <c r="C142" s="22" t="str">
        <v>Pingborough</v>
      </c>
      <c r="D142" s="146"/>
      <c r="E142" s="147"/>
      <c r="F142" s="29" t="s">
        <v>1230</v>
      </c>
      <c r="G142" s="66">
        <v>3</v>
      </c>
      <c r="H142" s="22">
        <f>$G142+COUNTIF($H$124:H$124,$C142)</f>
        <v>3</v>
      </c>
      <c r="I142" s="22">
        <f>$G142+COUNTIF($H$124:I$124,$C142)</f>
        <v>3</v>
      </c>
      <c r="J142" s="22">
        <f>$G142+COUNTIF($H$124:J$124,$C142)</f>
        <v>3</v>
      </c>
      <c r="K142" s="22">
        <f>$G142+COUNTIF($H$124:K$124,$C142)</f>
        <v>3</v>
      </c>
      <c r="L142" s="22">
        <f>$G142+COUNTIF($H$124:L$124,$C142)</f>
        <v>3</v>
      </c>
      <c r="M142" s="22">
        <f>$G142+COUNTIF($H$124:M$124,$C142)</f>
        <v>3</v>
      </c>
      <c r="N142" s="22">
        <f>$G142+COUNTIF($H$124:N$124,$C142)</f>
        <v>3</v>
      </c>
      <c r="O142" s="22">
        <f>$G142+COUNTIF($H$124:O$124,$C142)</f>
        <v>3</v>
      </c>
      <c r="P142" s="22">
        <f>$G142+COUNTIF($H$124:P$124,$C142)</f>
        <v>3</v>
      </c>
      <c r="Q142" s="22">
        <f>$G142+COUNTIF($H$124:Q$124,$C142)</f>
        <v>3</v>
      </c>
      <c r="R142" s="22">
        <f>$G142+COUNTIF($H$124:R$124,$C142)</f>
        <v>3</v>
      </c>
      <c r="S142" s="22">
        <f>$G142+COUNTIF($H$124:S$124,$C142)</f>
        <v>3</v>
      </c>
      <c r="T142" s="22">
        <f>$G142+COUNTIF($H$124:T$124,$C142)</f>
        <v>3</v>
      </c>
      <c r="U142" s="22">
        <f>$G142+COUNTIF($H$124:U$124,$C142)</f>
        <v>3</v>
      </c>
      <c r="V142" s="22">
        <f>$G142+COUNTIF($H$124:V$124,$C142)</f>
        <v>3</v>
      </c>
      <c r="W142" s="22">
        <f>$G142+COUNTIF($H$124:W$124,$C142)</f>
        <v>4</v>
      </c>
      <c r="X142" s="22">
        <f>$G142+COUNTIF($H$124:X$124,$C142)</f>
        <v>4</v>
      </c>
      <c r="Y142" s="22">
        <f>$G142+COUNTIF($H$124:Y$124,$C142)</f>
        <v>4</v>
      </c>
      <c r="Z142" s="22">
        <f>$G142+COUNTIF($H$124:Z$124,$C142)</f>
        <v>4</v>
      </c>
      <c r="AA142" s="22">
        <f>$G142+COUNTIF($H$124:AA$124,$C142)</f>
        <v>4</v>
      </c>
      <c r="AB142" s="22">
        <f>$G142+COUNTIF($H$124:AB$124,$C142)</f>
        <v>4</v>
      </c>
      <c r="AC142" s="22">
        <f>$G142+COUNTIF($H$124:AC$124,$C142)</f>
        <v>4</v>
      </c>
      <c r="AD142" s="22">
        <f>$G142+COUNTIF($H$124:AD$124,$C142)</f>
        <v>4</v>
      </c>
      <c r="AE142" s="22">
        <f>$G142+COUNTIF($H$124:AE$124,$C142)</f>
        <v>4</v>
      </c>
      <c r="AF142" s="22">
        <f>$G142+COUNTIF($H$124:AF$124,$C142)</f>
        <v>4</v>
      </c>
      <c r="AG142" s="22">
        <f>$G142+COUNTIF($H$124:AG$124,$C142)</f>
        <v>4</v>
      </c>
      <c r="AH142" s="22">
        <f>$G142+COUNTIF($H$124:AH$124,$C142)</f>
        <v>4</v>
      </c>
      <c r="AI142" s="22">
        <f>$G142+COUNTIF($H$124:AI$124,$C142)</f>
        <v>4</v>
      </c>
      <c r="AJ142" s="22">
        <f>$G142+COUNTIF($H$124:AJ$124,$C142)</f>
        <v>4</v>
      </c>
      <c r="AK142" s="22">
        <f>$G142+COUNTIF($H$124:AK$124,$C142)</f>
        <v>4</v>
      </c>
      <c r="AL142" s="22">
        <f>$G142+COUNTIF($H$124:AL$124,$C142)</f>
        <v>4</v>
      </c>
      <c r="AM142" s="22">
        <f>$G142+COUNTIF($H$124:AM$124,$C142)</f>
        <v>4</v>
      </c>
      <c r="AN142" s="22">
        <f>$G142+COUNTIF($H$124:AN$124,$C142)</f>
        <v>4</v>
      </c>
      <c r="AO142" s="22">
        <f>$G142+COUNTIF($H$124:AO$124,$C142)</f>
        <v>4</v>
      </c>
      <c r="AP142" s="22">
        <f>$G142+COUNTIF($H$124:AP$124,$C142)</f>
        <v>4</v>
      </c>
      <c r="AQ142" s="22">
        <f>$G142+COUNTIF($H$124:AQ$124,$C142)</f>
        <v>4</v>
      </c>
      <c r="AR142" s="22">
        <f>$G142+COUNTIF($H$124:AR$124,$C142)</f>
        <v>4</v>
      </c>
      <c r="AS142" s="22">
        <f>$G142+COUNTIF($H$124:AS$124,$C142)</f>
        <v>4</v>
      </c>
      <c r="AT142" s="22">
        <f>$G142+COUNTIF($H$124:AT$124,$C142)</f>
        <v>4</v>
      </c>
      <c r="AU142" s="22">
        <f>$G142+COUNTIF($H$124:AU$124,$C142)</f>
        <v>4</v>
      </c>
      <c r="AV142" s="22">
        <f>$G142+COUNTIF($H$124:AV$124,$C142)</f>
        <v>4</v>
      </c>
      <c r="AW142" s="22">
        <f>$G142+COUNTIF($H$124:AW$124,$C142)</f>
        <v>5</v>
      </c>
      <c r="AX142" s="22">
        <f>$G142+COUNTIF($H$124:AX$124,$C142)</f>
        <v>5</v>
      </c>
      <c r="AY142" s="22">
        <f>$G142+COUNTIF($H$124:AY$124,$C142)</f>
        <v>5</v>
      </c>
      <c r="AZ142" s="22">
        <f>$G142+COUNTIF($H$124:AZ$124,$C142)</f>
        <v>5</v>
      </c>
      <c r="BA142" s="22">
        <f>$G142+COUNTIF($H$124:BA$124,$C142)</f>
        <v>5</v>
      </c>
      <c r="BB142" s="22">
        <f>$G142+COUNTIF($H$124:BB$124,$C142)</f>
        <v>5</v>
      </c>
      <c r="BC142" s="22">
        <f>$G142+COUNTIF($H$124:BC$124,$C142)</f>
        <v>5</v>
      </c>
      <c r="BD142" s="22">
        <f>$G142+COUNTIF($H$124:BD$124,$C142)</f>
        <v>5</v>
      </c>
      <c r="BE142" s="22">
        <f>$G142+COUNTIF($H$124:BE$124,$C142)</f>
        <v>5</v>
      </c>
      <c r="BF142" s="22">
        <f>$G142+COUNTIF($H$124:BF$124,$C142)</f>
        <v>5</v>
      </c>
      <c r="BG142" s="22">
        <f>$G142+COUNTIF($H$124:BG$124,$C142)</f>
        <v>5</v>
      </c>
      <c r="BH142" s="22">
        <f>$G142+COUNTIF($H$124:BH$124,$C142)</f>
        <v>5</v>
      </c>
      <c r="BI142" s="22">
        <f>$G142+COUNTIF($H$124:BI$124,$C142)</f>
        <v>5</v>
      </c>
      <c r="BJ142" s="22">
        <f>$G142+COUNTIF($H$124:BJ$124,$C142)</f>
        <v>5</v>
      </c>
      <c r="BK142" s="22">
        <f>$G142+COUNTIF($H$124:BK$124,$C142)</f>
        <v>5</v>
      </c>
      <c r="BL142" s="22">
        <f>$G142+COUNTIF($H$124:BL$124,$C142)</f>
        <v>5</v>
      </c>
      <c r="BM142" s="22">
        <f>$G142+COUNTIF($H$124:BM$124,$C142)</f>
        <v>5</v>
      </c>
      <c r="BN142" s="22">
        <f>$G142+COUNTIF($H$124:BN$124,$C142)</f>
        <v>5</v>
      </c>
      <c r="BO142" s="22">
        <f>$G142+COUNTIF($H$124:BO$124,$C142)</f>
        <v>5</v>
      </c>
    </row>
    <row r="143" spans="3:67" s="22" customFormat="1" outlineLevel="2">
      <c r="C143" s="22" t="str">
        <v>Quantum Quay</v>
      </c>
      <c r="D143" s="146"/>
      <c r="E143" s="147"/>
      <c r="F143" s="29" t="s">
        <v>1230</v>
      </c>
      <c r="G143" s="66">
        <v>8</v>
      </c>
      <c r="H143" s="22">
        <f>$G143+COUNTIF($H$124:H$124,$C143)</f>
        <v>8</v>
      </c>
      <c r="I143" s="22">
        <f>$G143+COUNTIF($H$124:I$124,$C143)</f>
        <v>8</v>
      </c>
      <c r="J143" s="22">
        <f>$G143+COUNTIF($H$124:J$124,$C143)</f>
        <v>8</v>
      </c>
      <c r="K143" s="22">
        <f>$G143+COUNTIF($H$124:K$124,$C143)</f>
        <v>8</v>
      </c>
      <c r="L143" s="22">
        <f>$G143+COUNTIF($H$124:L$124,$C143)</f>
        <v>8</v>
      </c>
      <c r="M143" s="22">
        <f>$G143+COUNTIF($H$124:M$124,$C143)</f>
        <v>8</v>
      </c>
      <c r="N143" s="22">
        <f>$G143+COUNTIF($H$124:N$124,$C143)</f>
        <v>8</v>
      </c>
      <c r="O143" s="22">
        <f>$G143+COUNTIF($H$124:O$124,$C143)</f>
        <v>8</v>
      </c>
      <c r="P143" s="22">
        <f>$G143+COUNTIF($H$124:P$124,$C143)</f>
        <v>8</v>
      </c>
      <c r="Q143" s="22">
        <f>$G143+COUNTIF($H$124:Q$124,$C143)</f>
        <v>8</v>
      </c>
      <c r="R143" s="22">
        <f>$G143+COUNTIF($H$124:R$124,$C143)</f>
        <v>8</v>
      </c>
      <c r="S143" s="22">
        <f>$G143+COUNTIF($H$124:S$124,$C143)</f>
        <v>8</v>
      </c>
      <c r="T143" s="22">
        <f>$G143+COUNTIF($H$124:T$124,$C143)</f>
        <v>8</v>
      </c>
      <c r="U143" s="22">
        <f>$G143+COUNTIF($H$124:U$124,$C143)</f>
        <v>8</v>
      </c>
      <c r="V143" s="22">
        <f>$G143+COUNTIF($H$124:V$124,$C143)</f>
        <v>8</v>
      </c>
      <c r="W143" s="22">
        <f>$G143+COUNTIF($H$124:W$124,$C143)</f>
        <v>8</v>
      </c>
      <c r="X143" s="22">
        <f>$G143+COUNTIF($H$124:X$124,$C143)</f>
        <v>9</v>
      </c>
      <c r="Y143" s="22">
        <f>$G143+COUNTIF($H$124:Y$124,$C143)</f>
        <v>9</v>
      </c>
      <c r="Z143" s="22">
        <f>$G143+COUNTIF($H$124:Z$124,$C143)</f>
        <v>9</v>
      </c>
      <c r="AA143" s="22">
        <f>$G143+COUNTIF($H$124:AA$124,$C143)</f>
        <v>9</v>
      </c>
      <c r="AB143" s="22">
        <f>$G143+COUNTIF($H$124:AB$124,$C143)</f>
        <v>9</v>
      </c>
      <c r="AC143" s="22">
        <f>$G143+COUNTIF($H$124:AC$124,$C143)</f>
        <v>9</v>
      </c>
      <c r="AD143" s="22">
        <f>$G143+COUNTIF($H$124:AD$124,$C143)</f>
        <v>9</v>
      </c>
      <c r="AE143" s="22">
        <f>$G143+COUNTIF($H$124:AE$124,$C143)</f>
        <v>9</v>
      </c>
      <c r="AF143" s="22">
        <f>$G143+COUNTIF($H$124:AF$124,$C143)</f>
        <v>9</v>
      </c>
      <c r="AG143" s="22">
        <f>$G143+COUNTIF($H$124:AG$124,$C143)</f>
        <v>9</v>
      </c>
      <c r="AH143" s="22">
        <f>$G143+COUNTIF($H$124:AH$124,$C143)</f>
        <v>9</v>
      </c>
      <c r="AI143" s="22">
        <f>$G143+COUNTIF($H$124:AI$124,$C143)</f>
        <v>9</v>
      </c>
      <c r="AJ143" s="22">
        <f>$G143+COUNTIF($H$124:AJ$124,$C143)</f>
        <v>9</v>
      </c>
      <c r="AK143" s="22">
        <f>$G143+COUNTIF($H$124:AK$124,$C143)</f>
        <v>9</v>
      </c>
      <c r="AL143" s="22">
        <f>$G143+COUNTIF($H$124:AL$124,$C143)</f>
        <v>9</v>
      </c>
      <c r="AM143" s="22">
        <f>$G143+COUNTIF($H$124:AM$124,$C143)</f>
        <v>9</v>
      </c>
      <c r="AN143" s="22">
        <f>$G143+COUNTIF($H$124:AN$124,$C143)</f>
        <v>9</v>
      </c>
      <c r="AO143" s="22">
        <f>$G143+COUNTIF($H$124:AO$124,$C143)</f>
        <v>9</v>
      </c>
      <c r="AP143" s="22">
        <f>$G143+COUNTIF($H$124:AP$124,$C143)</f>
        <v>9</v>
      </c>
      <c r="AQ143" s="22">
        <f>$G143+COUNTIF($H$124:AQ$124,$C143)</f>
        <v>9</v>
      </c>
      <c r="AR143" s="22">
        <f>$G143+COUNTIF($H$124:AR$124,$C143)</f>
        <v>9</v>
      </c>
      <c r="AS143" s="22">
        <f>$G143+COUNTIF($H$124:AS$124,$C143)</f>
        <v>9</v>
      </c>
      <c r="AT143" s="22">
        <f>$G143+COUNTIF($H$124:AT$124,$C143)</f>
        <v>9</v>
      </c>
      <c r="AU143" s="22">
        <f>$G143+COUNTIF($H$124:AU$124,$C143)</f>
        <v>9</v>
      </c>
      <c r="AV143" s="22">
        <f>$G143+COUNTIF($H$124:AV$124,$C143)</f>
        <v>9</v>
      </c>
      <c r="AW143" s="22">
        <f>$G143+COUNTIF($H$124:AW$124,$C143)</f>
        <v>9</v>
      </c>
      <c r="AX143" s="22">
        <f>$G143+COUNTIF($H$124:AX$124,$C143)</f>
        <v>10</v>
      </c>
      <c r="AY143" s="22">
        <f>$G143+COUNTIF($H$124:AY$124,$C143)</f>
        <v>10</v>
      </c>
      <c r="AZ143" s="22">
        <f>$G143+COUNTIF($H$124:AZ$124,$C143)</f>
        <v>10</v>
      </c>
      <c r="BA143" s="22">
        <f>$G143+COUNTIF($H$124:BA$124,$C143)</f>
        <v>10</v>
      </c>
      <c r="BB143" s="22">
        <f>$G143+COUNTIF($H$124:BB$124,$C143)</f>
        <v>10</v>
      </c>
      <c r="BC143" s="22">
        <f>$G143+COUNTIF($H$124:BC$124,$C143)</f>
        <v>10</v>
      </c>
      <c r="BD143" s="22">
        <f>$G143+COUNTIF($H$124:BD$124,$C143)</f>
        <v>10</v>
      </c>
      <c r="BE143" s="22">
        <f>$G143+COUNTIF($H$124:BE$124,$C143)</f>
        <v>10</v>
      </c>
      <c r="BF143" s="22">
        <f>$G143+COUNTIF($H$124:BF$124,$C143)</f>
        <v>10</v>
      </c>
      <c r="BG143" s="22">
        <f>$G143+COUNTIF($H$124:BG$124,$C143)</f>
        <v>10</v>
      </c>
      <c r="BH143" s="22">
        <f>$G143+COUNTIF($H$124:BH$124,$C143)</f>
        <v>10</v>
      </c>
      <c r="BI143" s="22">
        <f>$G143+COUNTIF($H$124:BI$124,$C143)</f>
        <v>10</v>
      </c>
      <c r="BJ143" s="22">
        <f>$G143+COUNTIF($H$124:BJ$124,$C143)</f>
        <v>10</v>
      </c>
      <c r="BK143" s="22">
        <f>$G143+COUNTIF($H$124:BK$124,$C143)</f>
        <v>10</v>
      </c>
      <c r="BL143" s="22">
        <f>$G143+COUNTIF($H$124:BL$124,$C143)</f>
        <v>10</v>
      </c>
      <c r="BM143" s="22">
        <f>$G143+COUNTIF($H$124:BM$124,$C143)</f>
        <v>10</v>
      </c>
      <c r="BN143" s="22">
        <f>$G143+COUNTIF($H$124:BN$124,$C143)</f>
        <v>10</v>
      </c>
      <c r="BO143" s="22">
        <f>$G143+COUNTIF($H$124:BO$124,$C143)</f>
        <v>10</v>
      </c>
    </row>
    <row r="144" spans="3:67" s="22" customFormat="1" outlineLevel="2">
      <c r="C144" s="22" t="str">
        <v>Renderburg</v>
      </c>
      <c r="D144" s="146"/>
      <c r="E144" s="147"/>
      <c r="F144" s="29" t="s">
        <v>1230</v>
      </c>
      <c r="G144" s="66">
        <v>187</v>
      </c>
      <c r="H144" s="22">
        <f>$G144+COUNTIF($H$124:H$124,$C144)</f>
        <v>187</v>
      </c>
      <c r="I144" s="22">
        <f>$G144+COUNTIF($H$124:I$124,$C144)</f>
        <v>187</v>
      </c>
      <c r="J144" s="22">
        <f>$G144+COUNTIF($H$124:J$124,$C144)</f>
        <v>187</v>
      </c>
      <c r="K144" s="22">
        <f>$G144+COUNTIF($H$124:K$124,$C144)</f>
        <v>187</v>
      </c>
      <c r="L144" s="22">
        <f>$G144+COUNTIF($H$124:L$124,$C144)</f>
        <v>187</v>
      </c>
      <c r="M144" s="22">
        <f>$G144+COUNTIF($H$124:M$124,$C144)</f>
        <v>187</v>
      </c>
      <c r="N144" s="22">
        <f>$G144+COUNTIF($H$124:N$124,$C144)</f>
        <v>187</v>
      </c>
      <c r="O144" s="22">
        <f>$G144+COUNTIF($H$124:O$124,$C144)</f>
        <v>187</v>
      </c>
      <c r="P144" s="22">
        <f>$G144+COUNTIF($H$124:P$124,$C144)</f>
        <v>187</v>
      </c>
      <c r="Q144" s="22">
        <f>$G144+COUNTIF($H$124:Q$124,$C144)</f>
        <v>187</v>
      </c>
      <c r="R144" s="22">
        <f>$G144+COUNTIF($H$124:R$124,$C144)</f>
        <v>187</v>
      </c>
      <c r="S144" s="22">
        <f>$G144+COUNTIF($H$124:S$124,$C144)</f>
        <v>187</v>
      </c>
      <c r="T144" s="22">
        <f>$G144+COUNTIF($H$124:T$124,$C144)</f>
        <v>187</v>
      </c>
      <c r="U144" s="22">
        <f>$G144+COUNTIF($H$124:U$124,$C144)</f>
        <v>187</v>
      </c>
      <c r="V144" s="22">
        <f>$G144+COUNTIF($H$124:V$124,$C144)</f>
        <v>187</v>
      </c>
      <c r="W144" s="22">
        <f>$G144+COUNTIF($H$124:W$124,$C144)</f>
        <v>187</v>
      </c>
      <c r="X144" s="22">
        <f>$G144+COUNTIF($H$124:X$124,$C144)</f>
        <v>187</v>
      </c>
      <c r="Y144" s="22">
        <f>$G144+COUNTIF($H$124:Y$124,$C144)</f>
        <v>188</v>
      </c>
      <c r="Z144" s="22">
        <f>$G144+COUNTIF($H$124:Z$124,$C144)</f>
        <v>188</v>
      </c>
      <c r="AA144" s="22">
        <f>$G144+COUNTIF($H$124:AA$124,$C144)</f>
        <v>188</v>
      </c>
      <c r="AB144" s="22">
        <f>$G144+COUNTIF($H$124:AB$124,$C144)</f>
        <v>188</v>
      </c>
      <c r="AC144" s="22">
        <f>$G144+COUNTIF($H$124:AC$124,$C144)</f>
        <v>188</v>
      </c>
      <c r="AD144" s="22">
        <f>$G144+COUNTIF($H$124:AD$124,$C144)</f>
        <v>188</v>
      </c>
      <c r="AE144" s="22">
        <f>$G144+COUNTIF($H$124:AE$124,$C144)</f>
        <v>188</v>
      </c>
      <c r="AF144" s="22">
        <f>$G144+COUNTIF($H$124:AF$124,$C144)</f>
        <v>188</v>
      </c>
      <c r="AG144" s="22">
        <f>$G144+COUNTIF($H$124:AG$124,$C144)</f>
        <v>188</v>
      </c>
      <c r="AH144" s="22">
        <f>$G144+COUNTIF($H$124:AH$124,$C144)</f>
        <v>188</v>
      </c>
      <c r="AI144" s="22">
        <f>$G144+COUNTIF($H$124:AI$124,$C144)</f>
        <v>188</v>
      </c>
      <c r="AJ144" s="22">
        <f>$G144+COUNTIF($H$124:AJ$124,$C144)</f>
        <v>188</v>
      </c>
      <c r="AK144" s="22">
        <f>$G144+COUNTIF($H$124:AK$124,$C144)</f>
        <v>188</v>
      </c>
      <c r="AL144" s="22">
        <f>$G144+COUNTIF($H$124:AL$124,$C144)</f>
        <v>188</v>
      </c>
      <c r="AM144" s="22">
        <f>$G144+COUNTIF($H$124:AM$124,$C144)</f>
        <v>188</v>
      </c>
      <c r="AN144" s="22">
        <f>$G144+COUNTIF($H$124:AN$124,$C144)</f>
        <v>188</v>
      </c>
      <c r="AO144" s="22">
        <f>$G144+COUNTIF($H$124:AO$124,$C144)</f>
        <v>188</v>
      </c>
      <c r="AP144" s="22">
        <f>$G144+COUNTIF($H$124:AP$124,$C144)</f>
        <v>188</v>
      </c>
      <c r="AQ144" s="22">
        <f>$G144+COUNTIF($H$124:AQ$124,$C144)</f>
        <v>188</v>
      </c>
      <c r="AR144" s="22">
        <f>$G144+COUNTIF($H$124:AR$124,$C144)</f>
        <v>188</v>
      </c>
      <c r="AS144" s="22">
        <f>$G144+COUNTIF($H$124:AS$124,$C144)</f>
        <v>188</v>
      </c>
      <c r="AT144" s="22">
        <f>$G144+COUNTIF($H$124:AT$124,$C144)</f>
        <v>188</v>
      </c>
      <c r="AU144" s="22">
        <f>$G144+COUNTIF($H$124:AU$124,$C144)</f>
        <v>188</v>
      </c>
      <c r="AV144" s="22">
        <f>$G144+COUNTIF($H$124:AV$124,$C144)</f>
        <v>188</v>
      </c>
      <c r="AW144" s="22">
        <f>$G144+COUNTIF($H$124:AW$124,$C144)</f>
        <v>188</v>
      </c>
      <c r="AX144" s="22">
        <f>$G144+COUNTIF($H$124:AX$124,$C144)</f>
        <v>188</v>
      </c>
      <c r="AY144" s="22">
        <f>$G144+COUNTIF($H$124:AY$124,$C144)</f>
        <v>189</v>
      </c>
      <c r="AZ144" s="22">
        <f>$G144+COUNTIF($H$124:AZ$124,$C144)</f>
        <v>189</v>
      </c>
      <c r="BA144" s="22">
        <f>$G144+COUNTIF($H$124:BA$124,$C144)</f>
        <v>189</v>
      </c>
      <c r="BB144" s="22">
        <f>$G144+COUNTIF($H$124:BB$124,$C144)</f>
        <v>189</v>
      </c>
      <c r="BC144" s="22">
        <f>$G144+COUNTIF($H$124:BC$124,$C144)</f>
        <v>189</v>
      </c>
      <c r="BD144" s="22">
        <f>$G144+COUNTIF($H$124:BD$124,$C144)</f>
        <v>189</v>
      </c>
      <c r="BE144" s="22">
        <f>$G144+COUNTIF($H$124:BE$124,$C144)</f>
        <v>189</v>
      </c>
      <c r="BF144" s="22">
        <f>$G144+COUNTIF($H$124:BF$124,$C144)</f>
        <v>189</v>
      </c>
      <c r="BG144" s="22">
        <f>$G144+COUNTIF($H$124:BG$124,$C144)</f>
        <v>189</v>
      </c>
      <c r="BH144" s="22">
        <f>$G144+COUNTIF($H$124:BH$124,$C144)</f>
        <v>189</v>
      </c>
      <c r="BI144" s="22">
        <f>$G144+COUNTIF($H$124:BI$124,$C144)</f>
        <v>189</v>
      </c>
      <c r="BJ144" s="22">
        <f>$G144+COUNTIF($H$124:BJ$124,$C144)</f>
        <v>189</v>
      </c>
      <c r="BK144" s="22">
        <f>$G144+COUNTIF($H$124:BK$124,$C144)</f>
        <v>189</v>
      </c>
      <c r="BL144" s="22">
        <f>$G144+COUNTIF($H$124:BL$124,$C144)</f>
        <v>189</v>
      </c>
      <c r="BM144" s="22">
        <f>$G144+COUNTIF($H$124:BM$124,$C144)</f>
        <v>189</v>
      </c>
      <c r="BN144" s="22">
        <f>$G144+COUNTIF($H$124:BN$124,$C144)</f>
        <v>189</v>
      </c>
      <c r="BO144" s="22">
        <f>$G144+COUNTIF($H$124:BO$124,$C144)</f>
        <v>189</v>
      </c>
    </row>
    <row r="145" spans="2:69" s="22" customFormat="1" outlineLevel="2">
      <c r="C145" s="22" t="str">
        <v>Socket Springs</v>
      </c>
      <c r="D145" s="146"/>
      <c r="E145" s="147"/>
      <c r="F145" s="29" t="s">
        <v>1230</v>
      </c>
      <c r="G145" s="66">
        <v>168</v>
      </c>
      <c r="H145" s="22">
        <f>$G145+COUNTIF($H$124:H$124,$C145)</f>
        <v>168</v>
      </c>
      <c r="I145" s="22">
        <f>$G145+COUNTIF($H$124:I$124,$C145)</f>
        <v>168</v>
      </c>
      <c r="J145" s="22">
        <f>$G145+COUNTIF($H$124:J$124,$C145)</f>
        <v>168</v>
      </c>
      <c r="K145" s="22">
        <f>$G145+COUNTIF($H$124:K$124,$C145)</f>
        <v>168</v>
      </c>
      <c r="L145" s="22">
        <f>$G145+COUNTIF($H$124:L$124,$C145)</f>
        <v>168</v>
      </c>
      <c r="M145" s="22">
        <f>$G145+COUNTIF($H$124:M$124,$C145)</f>
        <v>168</v>
      </c>
      <c r="N145" s="22">
        <f>$G145+COUNTIF($H$124:N$124,$C145)</f>
        <v>168</v>
      </c>
      <c r="O145" s="22">
        <f>$G145+COUNTIF($H$124:O$124,$C145)</f>
        <v>168</v>
      </c>
      <c r="P145" s="22">
        <f>$G145+COUNTIF($H$124:P$124,$C145)</f>
        <v>168</v>
      </c>
      <c r="Q145" s="22">
        <f>$G145+COUNTIF($H$124:Q$124,$C145)</f>
        <v>168</v>
      </c>
      <c r="R145" s="22">
        <f>$G145+COUNTIF($H$124:R$124,$C145)</f>
        <v>168</v>
      </c>
      <c r="S145" s="22">
        <f>$G145+COUNTIF($H$124:S$124,$C145)</f>
        <v>168</v>
      </c>
      <c r="T145" s="22">
        <f>$G145+COUNTIF($H$124:T$124,$C145)</f>
        <v>168</v>
      </c>
      <c r="U145" s="22">
        <f>$G145+COUNTIF($H$124:U$124,$C145)</f>
        <v>168</v>
      </c>
      <c r="V145" s="22">
        <f>$G145+COUNTIF($H$124:V$124,$C145)</f>
        <v>168</v>
      </c>
      <c r="W145" s="22">
        <f>$G145+COUNTIF($H$124:W$124,$C145)</f>
        <v>168</v>
      </c>
      <c r="X145" s="22">
        <f>$G145+COUNTIF($H$124:X$124,$C145)</f>
        <v>168</v>
      </c>
      <c r="Y145" s="22">
        <f>$G145+COUNTIF($H$124:Y$124,$C145)</f>
        <v>168</v>
      </c>
      <c r="Z145" s="22">
        <f>$G145+COUNTIF($H$124:Z$124,$C145)</f>
        <v>169</v>
      </c>
      <c r="AA145" s="22">
        <f>$G145+COUNTIF($H$124:AA$124,$C145)</f>
        <v>169</v>
      </c>
      <c r="AB145" s="22">
        <f>$G145+COUNTIF($H$124:AB$124,$C145)</f>
        <v>169</v>
      </c>
      <c r="AC145" s="22">
        <f>$G145+COUNTIF($H$124:AC$124,$C145)</f>
        <v>169</v>
      </c>
      <c r="AD145" s="22">
        <f>$G145+COUNTIF($H$124:AD$124,$C145)</f>
        <v>169</v>
      </c>
      <c r="AE145" s="22">
        <f>$G145+COUNTIF($H$124:AE$124,$C145)</f>
        <v>169</v>
      </c>
      <c r="AF145" s="22">
        <f>$G145+COUNTIF($H$124:AF$124,$C145)</f>
        <v>169</v>
      </c>
      <c r="AG145" s="22">
        <f>$G145+COUNTIF($H$124:AG$124,$C145)</f>
        <v>169</v>
      </c>
      <c r="AH145" s="22">
        <f>$G145+COUNTIF($H$124:AH$124,$C145)</f>
        <v>169</v>
      </c>
      <c r="AI145" s="22">
        <f>$G145+COUNTIF($H$124:AI$124,$C145)</f>
        <v>169</v>
      </c>
      <c r="AJ145" s="22">
        <f>$G145+COUNTIF($H$124:AJ$124,$C145)</f>
        <v>169</v>
      </c>
      <c r="AK145" s="22">
        <f>$G145+COUNTIF($H$124:AK$124,$C145)</f>
        <v>169</v>
      </c>
      <c r="AL145" s="22">
        <f>$G145+COUNTIF($H$124:AL$124,$C145)</f>
        <v>169</v>
      </c>
      <c r="AM145" s="22">
        <f>$G145+COUNTIF($H$124:AM$124,$C145)</f>
        <v>169</v>
      </c>
      <c r="AN145" s="22">
        <f>$G145+COUNTIF($H$124:AN$124,$C145)</f>
        <v>169</v>
      </c>
      <c r="AO145" s="22">
        <f>$G145+COUNTIF($H$124:AO$124,$C145)</f>
        <v>169</v>
      </c>
      <c r="AP145" s="22">
        <f>$G145+COUNTIF($H$124:AP$124,$C145)</f>
        <v>169</v>
      </c>
      <c r="AQ145" s="22">
        <f>$G145+COUNTIF($H$124:AQ$124,$C145)</f>
        <v>169</v>
      </c>
      <c r="AR145" s="22">
        <f>$G145+COUNTIF($H$124:AR$124,$C145)</f>
        <v>169</v>
      </c>
      <c r="AS145" s="22">
        <f>$G145+COUNTIF($H$124:AS$124,$C145)</f>
        <v>169</v>
      </c>
      <c r="AT145" s="22">
        <f>$G145+COUNTIF($H$124:AT$124,$C145)</f>
        <v>169</v>
      </c>
      <c r="AU145" s="22">
        <f>$G145+COUNTIF($H$124:AU$124,$C145)</f>
        <v>169</v>
      </c>
      <c r="AV145" s="22">
        <f>$G145+COUNTIF($H$124:AV$124,$C145)</f>
        <v>169</v>
      </c>
      <c r="AW145" s="22">
        <f>$G145+COUNTIF($H$124:AW$124,$C145)</f>
        <v>169</v>
      </c>
      <c r="AX145" s="22">
        <f>$G145+COUNTIF($H$124:AX$124,$C145)</f>
        <v>169</v>
      </c>
      <c r="AY145" s="22">
        <f>$G145+COUNTIF($H$124:AY$124,$C145)</f>
        <v>169</v>
      </c>
      <c r="AZ145" s="22">
        <f>$G145+COUNTIF($H$124:AZ$124,$C145)</f>
        <v>170</v>
      </c>
      <c r="BA145" s="22">
        <f>$G145+COUNTIF($H$124:BA$124,$C145)</f>
        <v>170</v>
      </c>
      <c r="BB145" s="22">
        <f>$G145+COUNTIF($H$124:BB$124,$C145)</f>
        <v>170</v>
      </c>
      <c r="BC145" s="22">
        <f>$G145+COUNTIF($H$124:BC$124,$C145)</f>
        <v>170</v>
      </c>
      <c r="BD145" s="22">
        <f>$G145+COUNTIF($H$124:BD$124,$C145)</f>
        <v>170</v>
      </c>
      <c r="BE145" s="22">
        <f>$G145+COUNTIF($H$124:BE$124,$C145)</f>
        <v>170</v>
      </c>
      <c r="BF145" s="22">
        <f>$G145+COUNTIF($H$124:BF$124,$C145)</f>
        <v>170</v>
      </c>
      <c r="BG145" s="22">
        <f>$G145+COUNTIF($H$124:BG$124,$C145)</f>
        <v>170</v>
      </c>
      <c r="BH145" s="22">
        <f>$G145+COUNTIF($H$124:BH$124,$C145)</f>
        <v>170</v>
      </c>
      <c r="BI145" s="22">
        <f>$G145+COUNTIF($H$124:BI$124,$C145)</f>
        <v>170</v>
      </c>
      <c r="BJ145" s="22">
        <f>$G145+COUNTIF($H$124:BJ$124,$C145)</f>
        <v>170</v>
      </c>
      <c r="BK145" s="22">
        <f>$G145+COUNTIF($H$124:BK$124,$C145)</f>
        <v>170</v>
      </c>
      <c r="BL145" s="22">
        <f>$G145+COUNTIF($H$124:BL$124,$C145)</f>
        <v>170</v>
      </c>
      <c r="BM145" s="22">
        <f>$G145+COUNTIF($H$124:BM$124,$C145)</f>
        <v>170</v>
      </c>
      <c r="BN145" s="22">
        <f>$G145+COUNTIF($H$124:BN$124,$C145)</f>
        <v>170</v>
      </c>
      <c r="BO145" s="22">
        <f>$G145+COUNTIF($H$124:BO$124,$C145)</f>
        <v>170</v>
      </c>
    </row>
    <row r="146" spans="2:69" s="22" customFormat="1" outlineLevel="2">
      <c r="C146" s="22" t="str">
        <v>TerraTask</v>
      </c>
      <c r="D146" s="146"/>
      <c r="E146" s="147"/>
      <c r="F146" s="29" t="s">
        <v>1230</v>
      </c>
      <c r="G146" s="66">
        <v>55</v>
      </c>
      <c r="H146" s="22">
        <f>$G146+COUNTIF($H$124:H$124,$C146)</f>
        <v>55</v>
      </c>
      <c r="I146" s="22">
        <f>$G146+COUNTIF($H$124:I$124,$C146)</f>
        <v>55</v>
      </c>
      <c r="J146" s="22">
        <f>$G146+COUNTIF($H$124:J$124,$C146)</f>
        <v>55</v>
      </c>
      <c r="K146" s="22">
        <f>$G146+COUNTIF($H$124:K$124,$C146)</f>
        <v>55</v>
      </c>
      <c r="L146" s="22">
        <f>$G146+COUNTIF($H$124:L$124,$C146)</f>
        <v>55</v>
      </c>
      <c r="M146" s="22">
        <f>$G146+COUNTIF($H$124:M$124,$C146)</f>
        <v>55</v>
      </c>
      <c r="N146" s="22">
        <f>$G146+COUNTIF($H$124:N$124,$C146)</f>
        <v>55</v>
      </c>
      <c r="O146" s="22">
        <f>$G146+COUNTIF($H$124:O$124,$C146)</f>
        <v>55</v>
      </c>
      <c r="P146" s="22">
        <f>$G146+COUNTIF($H$124:P$124,$C146)</f>
        <v>55</v>
      </c>
      <c r="Q146" s="22">
        <f>$G146+COUNTIF($H$124:Q$124,$C146)</f>
        <v>55</v>
      </c>
      <c r="R146" s="22">
        <f>$G146+COUNTIF($H$124:R$124,$C146)</f>
        <v>55</v>
      </c>
      <c r="S146" s="22">
        <f>$G146+COUNTIF($H$124:S$124,$C146)</f>
        <v>55</v>
      </c>
      <c r="T146" s="22">
        <f>$G146+COUNTIF($H$124:T$124,$C146)</f>
        <v>55</v>
      </c>
      <c r="U146" s="22">
        <f>$G146+COUNTIF($H$124:U$124,$C146)</f>
        <v>55</v>
      </c>
      <c r="V146" s="22">
        <f>$G146+COUNTIF($H$124:V$124,$C146)</f>
        <v>55</v>
      </c>
      <c r="W146" s="22">
        <f>$G146+COUNTIF($H$124:W$124,$C146)</f>
        <v>55</v>
      </c>
      <c r="X146" s="22">
        <f>$G146+COUNTIF($H$124:X$124,$C146)</f>
        <v>55</v>
      </c>
      <c r="Y146" s="22">
        <f>$G146+COUNTIF($H$124:Y$124,$C146)</f>
        <v>55</v>
      </c>
      <c r="Z146" s="22">
        <f>$G146+COUNTIF($H$124:Z$124,$C146)</f>
        <v>55</v>
      </c>
      <c r="AA146" s="22">
        <f>$G146+COUNTIF($H$124:AA$124,$C146)</f>
        <v>56</v>
      </c>
      <c r="AB146" s="22">
        <f>$G146+COUNTIF($H$124:AB$124,$C146)</f>
        <v>56</v>
      </c>
      <c r="AC146" s="22">
        <f>$G146+COUNTIF($H$124:AC$124,$C146)</f>
        <v>56</v>
      </c>
      <c r="AD146" s="22">
        <f>$G146+COUNTIF($H$124:AD$124,$C146)</f>
        <v>56</v>
      </c>
      <c r="AE146" s="22">
        <f>$G146+COUNTIF($H$124:AE$124,$C146)</f>
        <v>56</v>
      </c>
      <c r="AF146" s="22">
        <f>$G146+COUNTIF($H$124:AF$124,$C146)</f>
        <v>56</v>
      </c>
      <c r="AG146" s="22">
        <f>$G146+COUNTIF($H$124:AG$124,$C146)</f>
        <v>56</v>
      </c>
      <c r="AH146" s="22">
        <f>$G146+COUNTIF($H$124:AH$124,$C146)</f>
        <v>56</v>
      </c>
      <c r="AI146" s="22">
        <f>$G146+COUNTIF($H$124:AI$124,$C146)</f>
        <v>56</v>
      </c>
      <c r="AJ146" s="22">
        <f>$G146+COUNTIF($H$124:AJ$124,$C146)</f>
        <v>56</v>
      </c>
      <c r="AK146" s="22">
        <f>$G146+COUNTIF($H$124:AK$124,$C146)</f>
        <v>56</v>
      </c>
      <c r="AL146" s="22">
        <f>$G146+COUNTIF($H$124:AL$124,$C146)</f>
        <v>56</v>
      </c>
      <c r="AM146" s="22">
        <f>$G146+COUNTIF($H$124:AM$124,$C146)</f>
        <v>56</v>
      </c>
      <c r="AN146" s="22">
        <f>$G146+COUNTIF($H$124:AN$124,$C146)</f>
        <v>56</v>
      </c>
      <c r="AO146" s="22">
        <f>$G146+COUNTIF($H$124:AO$124,$C146)</f>
        <v>56</v>
      </c>
      <c r="AP146" s="22">
        <f>$G146+COUNTIF($H$124:AP$124,$C146)</f>
        <v>56</v>
      </c>
      <c r="AQ146" s="22">
        <f>$G146+COUNTIF($H$124:AQ$124,$C146)</f>
        <v>56</v>
      </c>
      <c r="AR146" s="22">
        <f>$G146+COUNTIF($H$124:AR$124,$C146)</f>
        <v>56</v>
      </c>
      <c r="AS146" s="22">
        <f>$G146+COUNTIF($H$124:AS$124,$C146)</f>
        <v>56</v>
      </c>
      <c r="AT146" s="22">
        <f>$G146+COUNTIF($H$124:AT$124,$C146)</f>
        <v>56</v>
      </c>
      <c r="AU146" s="22">
        <f>$G146+COUNTIF($H$124:AU$124,$C146)</f>
        <v>56</v>
      </c>
      <c r="AV146" s="22">
        <f>$G146+COUNTIF($H$124:AV$124,$C146)</f>
        <v>56</v>
      </c>
      <c r="AW146" s="22">
        <f>$G146+COUNTIF($H$124:AW$124,$C146)</f>
        <v>56</v>
      </c>
      <c r="AX146" s="22">
        <f>$G146+COUNTIF($H$124:AX$124,$C146)</f>
        <v>56</v>
      </c>
      <c r="AY146" s="22">
        <f>$G146+COUNTIF($H$124:AY$124,$C146)</f>
        <v>56</v>
      </c>
      <c r="AZ146" s="22">
        <f>$G146+COUNTIF($H$124:AZ$124,$C146)</f>
        <v>56</v>
      </c>
      <c r="BA146" s="22">
        <f>$G146+COUNTIF($H$124:BA$124,$C146)</f>
        <v>57</v>
      </c>
      <c r="BB146" s="22">
        <f>$G146+COUNTIF($H$124:BB$124,$C146)</f>
        <v>57</v>
      </c>
      <c r="BC146" s="22">
        <f>$G146+COUNTIF($H$124:BC$124,$C146)</f>
        <v>57</v>
      </c>
      <c r="BD146" s="22">
        <f>$G146+COUNTIF($H$124:BD$124,$C146)</f>
        <v>57</v>
      </c>
      <c r="BE146" s="22">
        <f>$G146+COUNTIF($H$124:BE$124,$C146)</f>
        <v>57</v>
      </c>
      <c r="BF146" s="22">
        <f>$G146+COUNTIF($H$124:BF$124,$C146)</f>
        <v>57</v>
      </c>
      <c r="BG146" s="22">
        <f>$G146+COUNTIF($H$124:BG$124,$C146)</f>
        <v>57</v>
      </c>
      <c r="BH146" s="22">
        <f>$G146+COUNTIF($H$124:BH$124,$C146)</f>
        <v>57</v>
      </c>
      <c r="BI146" s="22">
        <f>$G146+COUNTIF($H$124:BI$124,$C146)</f>
        <v>57</v>
      </c>
      <c r="BJ146" s="22">
        <f>$G146+COUNTIF($H$124:BJ$124,$C146)</f>
        <v>57</v>
      </c>
      <c r="BK146" s="22">
        <f>$G146+COUNTIF($H$124:BK$124,$C146)</f>
        <v>57</v>
      </c>
      <c r="BL146" s="22">
        <f>$G146+COUNTIF($H$124:BL$124,$C146)</f>
        <v>57</v>
      </c>
      <c r="BM146" s="22">
        <f>$G146+COUNTIF($H$124:BM$124,$C146)</f>
        <v>57</v>
      </c>
      <c r="BN146" s="22">
        <f>$G146+COUNTIF($H$124:BN$124,$C146)</f>
        <v>57</v>
      </c>
      <c r="BO146" s="22">
        <f>$G146+COUNTIF($H$124:BO$124,$C146)</f>
        <v>57</v>
      </c>
    </row>
    <row r="147" spans="2:69" s="22" customFormat="1" outlineLevel="2">
      <c r="C147" s="22" t="str">
        <v>Uploadia</v>
      </c>
      <c r="D147" s="146"/>
      <c r="E147" s="147"/>
      <c r="F147" s="29" t="s">
        <v>1230</v>
      </c>
      <c r="G147" s="66">
        <v>1</v>
      </c>
      <c r="H147" s="22">
        <f>$G147+COUNTIF($H$124:H$124,$C147)</f>
        <v>1</v>
      </c>
      <c r="I147" s="22">
        <f>$G147+COUNTIF($H$124:I$124,$C147)</f>
        <v>1</v>
      </c>
      <c r="J147" s="22">
        <f>$G147+COUNTIF($H$124:J$124,$C147)</f>
        <v>1</v>
      </c>
      <c r="K147" s="22">
        <f>$G147+COUNTIF($H$124:K$124,$C147)</f>
        <v>1</v>
      </c>
      <c r="L147" s="22">
        <f>$G147+COUNTIF($H$124:L$124,$C147)</f>
        <v>1</v>
      </c>
      <c r="M147" s="22">
        <f>$G147+COUNTIF($H$124:M$124,$C147)</f>
        <v>1</v>
      </c>
      <c r="N147" s="22">
        <f>$G147+COUNTIF($H$124:N$124,$C147)</f>
        <v>1</v>
      </c>
      <c r="O147" s="22">
        <f>$G147+COUNTIF($H$124:O$124,$C147)</f>
        <v>1</v>
      </c>
      <c r="P147" s="22">
        <f>$G147+COUNTIF($H$124:P$124,$C147)</f>
        <v>1</v>
      </c>
      <c r="Q147" s="22">
        <f>$G147+COUNTIF($H$124:Q$124,$C147)</f>
        <v>1</v>
      </c>
      <c r="R147" s="22">
        <f>$G147+COUNTIF($H$124:R$124,$C147)</f>
        <v>1</v>
      </c>
      <c r="S147" s="22">
        <f>$G147+COUNTIF($H$124:S$124,$C147)</f>
        <v>1</v>
      </c>
      <c r="T147" s="22">
        <f>$G147+COUNTIF($H$124:T$124,$C147)</f>
        <v>1</v>
      </c>
      <c r="U147" s="22">
        <f>$G147+COUNTIF($H$124:U$124,$C147)</f>
        <v>1</v>
      </c>
      <c r="V147" s="22">
        <f>$G147+COUNTIF($H$124:V$124,$C147)</f>
        <v>1</v>
      </c>
      <c r="W147" s="22">
        <f>$G147+COUNTIF($H$124:W$124,$C147)</f>
        <v>1</v>
      </c>
      <c r="X147" s="22">
        <f>$G147+COUNTIF($H$124:X$124,$C147)</f>
        <v>1</v>
      </c>
      <c r="Y147" s="22">
        <f>$G147+COUNTIF($H$124:Y$124,$C147)</f>
        <v>1</v>
      </c>
      <c r="Z147" s="22">
        <f>$G147+COUNTIF($H$124:Z$124,$C147)</f>
        <v>1</v>
      </c>
      <c r="AA147" s="22">
        <f>$G147+COUNTIF($H$124:AA$124,$C147)</f>
        <v>1</v>
      </c>
      <c r="AB147" s="22">
        <f>$G147+COUNTIF($H$124:AB$124,$C147)</f>
        <v>2</v>
      </c>
      <c r="AC147" s="22">
        <f>$G147+COUNTIF($H$124:AC$124,$C147)</f>
        <v>2</v>
      </c>
      <c r="AD147" s="22">
        <f>$G147+COUNTIF($H$124:AD$124,$C147)</f>
        <v>2</v>
      </c>
      <c r="AE147" s="22">
        <f>$G147+COUNTIF($H$124:AE$124,$C147)</f>
        <v>2</v>
      </c>
      <c r="AF147" s="22">
        <f>$G147+COUNTIF($H$124:AF$124,$C147)</f>
        <v>2</v>
      </c>
      <c r="AG147" s="22">
        <f>$G147+COUNTIF($H$124:AG$124,$C147)</f>
        <v>2</v>
      </c>
      <c r="AH147" s="22">
        <f>$G147+COUNTIF($H$124:AH$124,$C147)</f>
        <v>2</v>
      </c>
      <c r="AI147" s="22">
        <f>$G147+COUNTIF($H$124:AI$124,$C147)</f>
        <v>2</v>
      </c>
      <c r="AJ147" s="22">
        <f>$G147+COUNTIF($H$124:AJ$124,$C147)</f>
        <v>2</v>
      </c>
      <c r="AK147" s="22">
        <f>$G147+COUNTIF($H$124:AK$124,$C147)</f>
        <v>2</v>
      </c>
      <c r="AL147" s="22">
        <f>$G147+COUNTIF($H$124:AL$124,$C147)</f>
        <v>2</v>
      </c>
      <c r="AM147" s="22">
        <f>$G147+COUNTIF($H$124:AM$124,$C147)</f>
        <v>2</v>
      </c>
      <c r="AN147" s="22">
        <f>$G147+COUNTIF($H$124:AN$124,$C147)</f>
        <v>2</v>
      </c>
      <c r="AO147" s="22">
        <f>$G147+COUNTIF($H$124:AO$124,$C147)</f>
        <v>2</v>
      </c>
      <c r="AP147" s="22">
        <f>$G147+COUNTIF($H$124:AP$124,$C147)</f>
        <v>2</v>
      </c>
      <c r="AQ147" s="22">
        <f>$G147+COUNTIF($H$124:AQ$124,$C147)</f>
        <v>2</v>
      </c>
      <c r="AR147" s="22">
        <f>$G147+COUNTIF($H$124:AR$124,$C147)</f>
        <v>2</v>
      </c>
      <c r="AS147" s="22">
        <f>$G147+COUNTIF($H$124:AS$124,$C147)</f>
        <v>2</v>
      </c>
      <c r="AT147" s="22">
        <f>$G147+COUNTIF($H$124:AT$124,$C147)</f>
        <v>2</v>
      </c>
      <c r="AU147" s="22">
        <f>$G147+COUNTIF($H$124:AU$124,$C147)</f>
        <v>2</v>
      </c>
      <c r="AV147" s="22">
        <f>$G147+COUNTIF($H$124:AV$124,$C147)</f>
        <v>2</v>
      </c>
      <c r="AW147" s="22">
        <f>$G147+COUNTIF($H$124:AW$124,$C147)</f>
        <v>2</v>
      </c>
      <c r="AX147" s="22">
        <f>$G147+COUNTIF($H$124:AX$124,$C147)</f>
        <v>2</v>
      </c>
      <c r="AY147" s="22">
        <f>$G147+COUNTIF($H$124:AY$124,$C147)</f>
        <v>2</v>
      </c>
      <c r="AZ147" s="22">
        <f>$G147+COUNTIF($H$124:AZ$124,$C147)</f>
        <v>2</v>
      </c>
      <c r="BA147" s="22">
        <f>$G147+COUNTIF($H$124:BA$124,$C147)</f>
        <v>2</v>
      </c>
      <c r="BB147" s="22">
        <f>$G147+COUNTIF($H$124:BB$124,$C147)</f>
        <v>3</v>
      </c>
      <c r="BC147" s="22">
        <f>$G147+COUNTIF($H$124:BC$124,$C147)</f>
        <v>3</v>
      </c>
      <c r="BD147" s="22">
        <f>$G147+COUNTIF($H$124:BD$124,$C147)</f>
        <v>3</v>
      </c>
      <c r="BE147" s="22">
        <f>$G147+COUNTIF($H$124:BE$124,$C147)</f>
        <v>3</v>
      </c>
      <c r="BF147" s="22">
        <f>$G147+COUNTIF($H$124:BF$124,$C147)</f>
        <v>3</v>
      </c>
      <c r="BG147" s="22">
        <f>$G147+COUNTIF($H$124:BG$124,$C147)</f>
        <v>3</v>
      </c>
      <c r="BH147" s="22">
        <f>$G147+COUNTIF($H$124:BH$124,$C147)</f>
        <v>3</v>
      </c>
      <c r="BI147" s="22">
        <f>$G147+COUNTIF($H$124:BI$124,$C147)</f>
        <v>3</v>
      </c>
      <c r="BJ147" s="22">
        <f>$G147+COUNTIF($H$124:BJ$124,$C147)</f>
        <v>3</v>
      </c>
      <c r="BK147" s="22">
        <f>$G147+COUNTIF($H$124:BK$124,$C147)</f>
        <v>3</v>
      </c>
      <c r="BL147" s="22">
        <f>$G147+COUNTIF($H$124:BL$124,$C147)</f>
        <v>3</v>
      </c>
      <c r="BM147" s="22">
        <f>$G147+COUNTIF($H$124:BM$124,$C147)</f>
        <v>3</v>
      </c>
      <c r="BN147" s="22">
        <f>$G147+COUNTIF($H$124:BN$124,$C147)</f>
        <v>3</v>
      </c>
      <c r="BO147" s="22">
        <f>$G147+COUNTIF($H$124:BO$124,$C147)</f>
        <v>3</v>
      </c>
    </row>
    <row r="148" spans="2:69" s="22" customFormat="1" outlineLevel="2">
      <c r="C148" s="22" t="str">
        <v>Vector Valley</v>
      </c>
      <c r="D148" s="146"/>
      <c r="E148" s="147"/>
      <c r="F148" s="29" t="s">
        <v>1230</v>
      </c>
      <c r="G148" s="66">
        <v>26</v>
      </c>
      <c r="H148" s="22">
        <f>$G148+COUNTIF($H$124:H$124,$C148)</f>
        <v>26</v>
      </c>
      <c r="I148" s="22">
        <f>$G148+COUNTIF($H$124:I$124,$C148)</f>
        <v>26</v>
      </c>
      <c r="J148" s="22">
        <f>$G148+COUNTIF($H$124:J$124,$C148)</f>
        <v>26</v>
      </c>
      <c r="K148" s="22">
        <f>$G148+COUNTIF($H$124:K$124,$C148)</f>
        <v>26</v>
      </c>
      <c r="L148" s="22">
        <f>$G148+COUNTIF($H$124:L$124,$C148)</f>
        <v>26</v>
      </c>
      <c r="M148" s="22">
        <f>$G148+COUNTIF($H$124:M$124,$C148)</f>
        <v>26</v>
      </c>
      <c r="N148" s="22">
        <f>$G148+COUNTIF($H$124:N$124,$C148)</f>
        <v>26</v>
      </c>
      <c r="O148" s="22">
        <f>$G148+COUNTIF($H$124:O$124,$C148)</f>
        <v>26</v>
      </c>
      <c r="P148" s="22">
        <f>$G148+COUNTIF($H$124:P$124,$C148)</f>
        <v>26</v>
      </c>
      <c r="Q148" s="22">
        <f>$G148+COUNTIF($H$124:Q$124,$C148)</f>
        <v>26</v>
      </c>
      <c r="R148" s="22">
        <f>$G148+COUNTIF($H$124:R$124,$C148)</f>
        <v>26</v>
      </c>
      <c r="S148" s="22">
        <f>$G148+COUNTIF($H$124:S$124,$C148)</f>
        <v>26</v>
      </c>
      <c r="T148" s="22">
        <f>$G148+COUNTIF($H$124:T$124,$C148)</f>
        <v>26</v>
      </c>
      <c r="U148" s="22">
        <f>$G148+COUNTIF($H$124:U$124,$C148)</f>
        <v>26</v>
      </c>
      <c r="V148" s="22">
        <f>$G148+COUNTIF($H$124:V$124,$C148)</f>
        <v>26</v>
      </c>
      <c r="W148" s="22">
        <f>$G148+COUNTIF($H$124:W$124,$C148)</f>
        <v>26</v>
      </c>
      <c r="X148" s="22">
        <f>$G148+COUNTIF($H$124:X$124,$C148)</f>
        <v>26</v>
      </c>
      <c r="Y148" s="22">
        <f>$G148+COUNTIF($H$124:Y$124,$C148)</f>
        <v>26</v>
      </c>
      <c r="Z148" s="22">
        <f>$G148+COUNTIF($H$124:Z$124,$C148)</f>
        <v>26</v>
      </c>
      <c r="AA148" s="22">
        <f>$G148+COUNTIF($H$124:AA$124,$C148)</f>
        <v>26</v>
      </c>
      <c r="AB148" s="22">
        <f>$G148+COUNTIF($H$124:AB$124,$C148)</f>
        <v>26</v>
      </c>
      <c r="AC148" s="22">
        <f>$G148+COUNTIF($H$124:AC$124,$C148)</f>
        <v>27</v>
      </c>
      <c r="AD148" s="22">
        <f>$G148+COUNTIF($H$124:AD$124,$C148)</f>
        <v>27</v>
      </c>
      <c r="AE148" s="22">
        <f>$G148+COUNTIF($H$124:AE$124,$C148)</f>
        <v>27</v>
      </c>
      <c r="AF148" s="22">
        <f>$G148+COUNTIF($H$124:AF$124,$C148)</f>
        <v>27</v>
      </c>
      <c r="AG148" s="22">
        <f>$G148+COUNTIF($H$124:AG$124,$C148)</f>
        <v>27</v>
      </c>
      <c r="AH148" s="22">
        <f>$G148+COUNTIF($H$124:AH$124,$C148)</f>
        <v>27</v>
      </c>
      <c r="AI148" s="22">
        <f>$G148+COUNTIF($H$124:AI$124,$C148)</f>
        <v>27</v>
      </c>
      <c r="AJ148" s="22">
        <f>$G148+COUNTIF($H$124:AJ$124,$C148)</f>
        <v>27</v>
      </c>
      <c r="AK148" s="22">
        <f>$G148+COUNTIF($H$124:AK$124,$C148)</f>
        <v>27</v>
      </c>
      <c r="AL148" s="22">
        <f>$G148+COUNTIF($H$124:AL$124,$C148)</f>
        <v>27</v>
      </c>
      <c r="AM148" s="22">
        <f>$G148+COUNTIF($H$124:AM$124,$C148)</f>
        <v>27</v>
      </c>
      <c r="AN148" s="22">
        <f>$G148+COUNTIF($H$124:AN$124,$C148)</f>
        <v>27</v>
      </c>
      <c r="AO148" s="22">
        <f>$G148+COUNTIF($H$124:AO$124,$C148)</f>
        <v>27</v>
      </c>
      <c r="AP148" s="22">
        <f>$G148+COUNTIF($H$124:AP$124,$C148)</f>
        <v>27</v>
      </c>
      <c r="AQ148" s="22">
        <f>$G148+COUNTIF($H$124:AQ$124,$C148)</f>
        <v>27</v>
      </c>
      <c r="AR148" s="22">
        <f>$G148+COUNTIF($H$124:AR$124,$C148)</f>
        <v>27</v>
      </c>
      <c r="AS148" s="22">
        <f>$G148+COUNTIF($H$124:AS$124,$C148)</f>
        <v>27</v>
      </c>
      <c r="AT148" s="22">
        <f>$G148+COUNTIF($H$124:AT$124,$C148)</f>
        <v>27</v>
      </c>
      <c r="AU148" s="22">
        <f>$G148+COUNTIF($H$124:AU$124,$C148)</f>
        <v>27</v>
      </c>
      <c r="AV148" s="22">
        <f>$G148+COUNTIF($H$124:AV$124,$C148)</f>
        <v>27</v>
      </c>
      <c r="AW148" s="22">
        <f>$G148+COUNTIF($H$124:AW$124,$C148)</f>
        <v>27</v>
      </c>
      <c r="AX148" s="22">
        <f>$G148+COUNTIF($H$124:AX$124,$C148)</f>
        <v>27</v>
      </c>
      <c r="AY148" s="22">
        <f>$G148+COUNTIF($H$124:AY$124,$C148)</f>
        <v>27</v>
      </c>
      <c r="AZ148" s="22">
        <f>$G148+COUNTIF($H$124:AZ$124,$C148)</f>
        <v>27</v>
      </c>
      <c r="BA148" s="22">
        <f>$G148+COUNTIF($H$124:BA$124,$C148)</f>
        <v>27</v>
      </c>
      <c r="BB148" s="22">
        <f>$G148+COUNTIF($H$124:BB$124,$C148)</f>
        <v>27</v>
      </c>
      <c r="BC148" s="22">
        <f>$G148+COUNTIF($H$124:BC$124,$C148)</f>
        <v>28</v>
      </c>
      <c r="BD148" s="22">
        <f>$G148+COUNTIF($H$124:BD$124,$C148)</f>
        <v>28</v>
      </c>
      <c r="BE148" s="22">
        <f>$G148+COUNTIF($H$124:BE$124,$C148)</f>
        <v>28</v>
      </c>
      <c r="BF148" s="22">
        <f>$G148+COUNTIF($H$124:BF$124,$C148)</f>
        <v>28</v>
      </c>
      <c r="BG148" s="22">
        <f>$G148+COUNTIF($H$124:BG$124,$C148)</f>
        <v>28</v>
      </c>
      <c r="BH148" s="22">
        <f>$G148+COUNTIF($H$124:BH$124,$C148)</f>
        <v>28</v>
      </c>
      <c r="BI148" s="22">
        <f>$G148+COUNTIF($H$124:BI$124,$C148)</f>
        <v>28</v>
      </c>
      <c r="BJ148" s="22">
        <f>$G148+COUNTIF($H$124:BJ$124,$C148)</f>
        <v>28</v>
      </c>
      <c r="BK148" s="22">
        <f>$G148+COUNTIF($H$124:BK$124,$C148)</f>
        <v>28</v>
      </c>
      <c r="BL148" s="22">
        <f>$G148+COUNTIF($H$124:BL$124,$C148)</f>
        <v>28</v>
      </c>
      <c r="BM148" s="22">
        <f>$G148+COUNTIF($H$124:BM$124,$C148)</f>
        <v>28</v>
      </c>
      <c r="BN148" s="22">
        <f>$G148+COUNTIF($H$124:BN$124,$C148)</f>
        <v>28</v>
      </c>
      <c r="BO148" s="22">
        <f>$G148+COUNTIF($H$124:BO$124,$C148)</f>
        <v>28</v>
      </c>
    </row>
    <row r="149" spans="2:69" s="22" customFormat="1" outlineLevel="2">
      <c r="C149" s="22" t="str">
        <v>Wiredown</v>
      </c>
      <c r="D149" s="146"/>
      <c r="E149" s="147"/>
      <c r="F149" s="29" t="s">
        <v>1230</v>
      </c>
      <c r="G149" s="66">
        <v>7</v>
      </c>
      <c r="H149" s="22">
        <f>$G149+COUNTIF($H$124:H$124,$C149)</f>
        <v>7</v>
      </c>
      <c r="I149" s="22">
        <f>$G149+COUNTIF($H$124:I$124,$C149)</f>
        <v>7</v>
      </c>
      <c r="J149" s="22">
        <f>$G149+COUNTIF($H$124:J$124,$C149)</f>
        <v>7</v>
      </c>
      <c r="K149" s="22">
        <f>$G149+COUNTIF($H$124:K$124,$C149)</f>
        <v>7</v>
      </c>
      <c r="L149" s="22">
        <f>$G149+COUNTIF($H$124:L$124,$C149)</f>
        <v>7</v>
      </c>
      <c r="M149" s="22">
        <f>$G149+COUNTIF($H$124:M$124,$C149)</f>
        <v>7</v>
      </c>
      <c r="N149" s="22">
        <f>$G149+COUNTIF($H$124:N$124,$C149)</f>
        <v>7</v>
      </c>
      <c r="O149" s="22">
        <f>$G149+COUNTIF($H$124:O$124,$C149)</f>
        <v>7</v>
      </c>
      <c r="P149" s="22">
        <f>$G149+COUNTIF($H$124:P$124,$C149)</f>
        <v>7</v>
      </c>
      <c r="Q149" s="22">
        <f>$G149+COUNTIF($H$124:Q$124,$C149)</f>
        <v>7</v>
      </c>
      <c r="R149" s="22">
        <f>$G149+COUNTIF($H$124:R$124,$C149)</f>
        <v>7</v>
      </c>
      <c r="S149" s="22">
        <f>$G149+COUNTIF($H$124:S$124,$C149)</f>
        <v>7</v>
      </c>
      <c r="T149" s="22">
        <f>$G149+COUNTIF($H$124:T$124,$C149)</f>
        <v>7</v>
      </c>
      <c r="U149" s="22">
        <f>$G149+COUNTIF($H$124:U$124,$C149)</f>
        <v>7</v>
      </c>
      <c r="V149" s="22">
        <f>$G149+COUNTIF($H$124:V$124,$C149)</f>
        <v>7</v>
      </c>
      <c r="W149" s="22">
        <f>$G149+COUNTIF($H$124:W$124,$C149)</f>
        <v>7</v>
      </c>
      <c r="X149" s="22">
        <f>$G149+COUNTIF($H$124:X$124,$C149)</f>
        <v>7</v>
      </c>
      <c r="Y149" s="22">
        <f>$G149+COUNTIF($H$124:Y$124,$C149)</f>
        <v>7</v>
      </c>
      <c r="Z149" s="22">
        <f>$G149+COUNTIF($H$124:Z$124,$C149)</f>
        <v>7</v>
      </c>
      <c r="AA149" s="22">
        <f>$G149+COUNTIF($H$124:AA$124,$C149)</f>
        <v>7</v>
      </c>
      <c r="AB149" s="22">
        <f>$G149+COUNTIF($H$124:AB$124,$C149)</f>
        <v>7</v>
      </c>
      <c r="AC149" s="22">
        <f>$G149+COUNTIF($H$124:AC$124,$C149)</f>
        <v>7</v>
      </c>
      <c r="AD149" s="22">
        <f>$G149+COUNTIF($H$124:AD$124,$C149)</f>
        <v>8</v>
      </c>
      <c r="AE149" s="22">
        <f>$G149+COUNTIF($H$124:AE$124,$C149)</f>
        <v>8</v>
      </c>
      <c r="AF149" s="22">
        <f>$G149+COUNTIF($H$124:AF$124,$C149)</f>
        <v>8</v>
      </c>
      <c r="AG149" s="22">
        <f>$G149+COUNTIF($H$124:AG$124,$C149)</f>
        <v>8</v>
      </c>
      <c r="AH149" s="22">
        <f>$G149+COUNTIF($H$124:AH$124,$C149)</f>
        <v>8</v>
      </c>
      <c r="AI149" s="22">
        <f>$G149+COUNTIF($H$124:AI$124,$C149)</f>
        <v>8</v>
      </c>
      <c r="AJ149" s="22">
        <f>$G149+COUNTIF($H$124:AJ$124,$C149)</f>
        <v>8</v>
      </c>
      <c r="AK149" s="22">
        <f>$G149+COUNTIF($H$124:AK$124,$C149)</f>
        <v>8</v>
      </c>
      <c r="AL149" s="22">
        <f>$G149+COUNTIF($H$124:AL$124,$C149)</f>
        <v>8</v>
      </c>
      <c r="AM149" s="22">
        <f>$G149+COUNTIF($H$124:AM$124,$C149)</f>
        <v>8</v>
      </c>
      <c r="AN149" s="22">
        <f>$G149+COUNTIF($H$124:AN$124,$C149)</f>
        <v>8</v>
      </c>
      <c r="AO149" s="22">
        <f>$G149+COUNTIF($H$124:AO$124,$C149)</f>
        <v>8</v>
      </c>
      <c r="AP149" s="22">
        <f>$G149+COUNTIF($H$124:AP$124,$C149)</f>
        <v>8</v>
      </c>
      <c r="AQ149" s="22">
        <f>$G149+COUNTIF($H$124:AQ$124,$C149)</f>
        <v>8</v>
      </c>
      <c r="AR149" s="22">
        <f>$G149+COUNTIF($H$124:AR$124,$C149)</f>
        <v>8</v>
      </c>
      <c r="AS149" s="22">
        <f>$G149+COUNTIF($H$124:AS$124,$C149)</f>
        <v>8</v>
      </c>
      <c r="AT149" s="22">
        <f>$G149+COUNTIF($H$124:AT$124,$C149)</f>
        <v>8</v>
      </c>
      <c r="AU149" s="22">
        <f>$G149+COUNTIF($H$124:AU$124,$C149)</f>
        <v>8</v>
      </c>
      <c r="AV149" s="22">
        <f>$G149+COUNTIF($H$124:AV$124,$C149)</f>
        <v>8</v>
      </c>
      <c r="AW149" s="22">
        <f>$G149+COUNTIF($H$124:AW$124,$C149)</f>
        <v>8</v>
      </c>
      <c r="AX149" s="22">
        <f>$G149+COUNTIF($H$124:AX$124,$C149)</f>
        <v>8</v>
      </c>
      <c r="AY149" s="22">
        <f>$G149+COUNTIF($H$124:AY$124,$C149)</f>
        <v>8</v>
      </c>
      <c r="AZ149" s="22">
        <f>$G149+COUNTIF($H$124:AZ$124,$C149)</f>
        <v>8</v>
      </c>
      <c r="BA149" s="22">
        <f>$G149+COUNTIF($H$124:BA$124,$C149)</f>
        <v>8</v>
      </c>
      <c r="BB149" s="22">
        <f>$G149+COUNTIF($H$124:BB$124,$C149)</f>
        <v>8</v>
      </c>
      <c r="BC149" s="22">
        <f>$G149+COUNTIF($H$124:BC$124,$C149)</f>
        <v>8</v>
      </c>
      <c r="BD149" s="22">
        <f>$G149+COUNTIF($H$124:BD$124,$C149)</f>
        <v>9</v>
      </c>
      <c r="BE149" s="22">
        <f>$G149+COUNTIF($H$124:BE$124,$C149)</f>
        <v>9</v>
      </c>
      <c r="BF149" s="22">
        <f>$G149+COUNTIF($H$124:BF$124,$C149)</f>
        <v>9</v>
      </c>
      <c r="BG149" s="22">
        <f>$G149+COUNTIF($H$124:BG$124,$C149)</f>
        <v>9</v>
      </c>
      <c r="BH149" s="22">
        <f>$G149+COUNTIF($H$124:BH$124,$C149)</f>
        <v>9</v>
      </c>
      <c r="BI149" s="22">
        <f>$G149+COUNTIF($H$124:BI$124,$C149)</f>
        <v>9</v>
      </c>
      <c r="BJ149" s="22">
        <f>$G149+COUNTIF($H$124:BJ$124,$C149)</f>
        <v>9</v>
      </c>
      <c r="BK149" s="22">
        <f>$G149+COUNTIF($H$124:BK$124,$C149)</f>
        <v>9</v>
      </c>
      <c r="BL149" s="22">
        <f>$G149+COUNTIF($H$124:BL$124,$C149)</f>
        <v>9</v>
      </c>
      <c r="BM149" s="22">
        <f>$G149+COUNTIF($H$124:BM$124,$C149)</f>
        <v>9</v>
      </c>
      <c r="BN149" s="22">
        <f>$G149+COUNTIF($H$124:BN$124,$C149)</f>
        <v>9</v>
      </c>
      <c r="BO149" s="22">
        <f>$G149+COUNTIF($H$124:BO$124,$C149)</f>
        <v>9</v>
      </c>
    </row>
    <row r="150" spans="2:69" s="22" customFormat="1" outlineLevel="2">
      <c r="C150" s="22" t="str">
        <v>Xenocode City</v>
      </c>
      <c r="D150" s="146"/>
      <c r="E150" s="147"/>
      <c r="F150" s="29" t="s">
        <v>1230</v>
      </c>
      <c r="G150" s="66">
        <v>4</v>
      </c>
      <c r="H150" s="22">
        <f>$G150+COUNTIF($H$124:H$124,$C150)</f>
        <v>4</v>
      </c>
      <c r="I150" s="22">
        <f>$G150+COUNTIF($H$124:I$124,$C150)</f>
        <v>4</v>
      </c>
      <c r="J150" s="22">
        <f>$G150+COUNTIF($H$124:J$124,$C150)</f>
        <v>4</v>
      </c>
      <c r="K150" s="22">
        <f>$G150+COUNTIF($H$124:K$124,$C150)</f>
        <v>4</v>
      </c>
      <c r="L150" s="22">
        <f>$G150+COUNTIF($H$124:L$124,$C150)</f>
        <v>4</v>
      </c>
      <c r="M150" s="22">
        <f>$G150+COUNTIF($H$124:M$124,$C150)</f>
        <v>4</v>
      </c>
      <c r="N150" s="22">
        <f>$G150+COUNTIF($H$124:N$124,$C150)</f>
        <v>4</v>
      </c>
      <c r="O150" s="22">
        <f>$G150+COUNTIF($H$124:O$124,$C150)</f>
        <v>4</v>
      </c>
      <c r="P150" s="22">
        <f>$G150+COUNTIF($H$124:P$124,$C150)</f>
        <v>4</v>
      </c>
      <c r="Q150" s="22">
        <f>$G150+COUNTIF($H$124:Q$124,$C150)</f>
        <v>4</v>
      </c>
      <c r="R150" s="22">
        <f>$G150+COUNTIF($H$124:R$124,$C150)</f>
        <v>4</v>
      </c>
      <c r="S150" s="22">
        <f>$G150+COUNTIF($H$124:S$124,$C150)</f>
        <v>4</v>
      </c>
      <c r="T150" s="22">
        <f>$G150+COUNTIF($H$124:T$124,$C150)</f>
        <v>4</v>
      </c>
      <c r="U150" s="22">
        <f>$G150+COUNTIF($H$124:U$124,$C150)</f>
        <v>4</v>
      </c>
      <c r="V150" s="22">
        <f>$G150+COUNTIF($H$124:V$124,$C150)</f>
        <v>4</v>
      </c>
      <c r="W150" s="22">
        <f>$G150+COUNTIF($H$124:W$124,$C150)</f>
        <v>4</v>
      </c>
      <c r="X150" s="22">
        <f>$G150+COUNTIF($H$124:X$124,$C150)</f>
        <v>4</v>
      </c>
      <c r="Y150" s="22">
        <f>$G150+COUNTIF($H$124:Y$124,$C150)</f>
        <v>4</v>
      </c>
      <c r="Z150" s="22">
        <f>$G150+COUNTIF($H$124:Z$124,$C150)</f>
        <v>4</v>
      </c>
      <c r="AA150" s="22">
        <f>$G150+COUNTIF($H$124:AA$124,$C150)</f>
        <v>4</v>
      </c>
      <c r="AB150" s="22">
        <f>$G150+COUNTIF($H$124:AB$124,$C150)</f>
        <v>4</v>
      </c>
      <c r="AC150" s="22">
        <f>$G150+COUNTIF($H$124:AC$124,$C150)</f>
        <v>4</v>
      </c>
      <c r="AD150" s="22">
        <f>$G150+COUNTIF($H$124:AD$124,$C150)</f>
        <v>4</v>
      </c>
      <c r="AE150" s="22">
        <f>$G150+COUNTIF($H$124:AE$124,$C150)</f>
        <v>5</v>
      </c>
      <c r="AF150" s="22">
        <f>$G150+COUNTIF($H$124:AF$124,$C150)</f>
        <v>5</v>
      </c>
      <c r="AG150" s="22">
        <f>$G150+COUNTIF($H$124:AG$124,$C150)</f>
        <v>5</v>
      </c>
      <c r="AH150" s="22">
        <f>$G150+COUNTIF($H$124:AH$124,$C150)</f>
        <v>5</v>
      </c>
      <c r="AI150" s="22">
        <f>$G150+COUNTIF($H$124:AI$124,$C150)</f>
        <v>5</v>
      </c>
      <c r="AJ150" s="22">
        <f>$G150+COUNTIF($H$124:AJ$124,$C150)</f>
        <v>5</v>
      </c>
      <c r="AK150" s="22">
        <f>$G150+COUNTIF($H$124:AK$124,$C150)</f>
        <v>5</v>
      </c>
      <c r="AL150" s="22">
        <f>$G150+COUNTIF($H$124:AL$124,$C150)</f>
        <v>5</v>
      </c>
      <c r="AM150" s="22">
        <f>$G150+COUNTIF($H$124:AM$124,$C150)</f>
        <v>5</v>
      </c>
      <c r="AN150" s="22">
        <f>$G150+COUNTIF($H$124:AN$124,$C150)</f>
        <v>5</v>
      </c>
      <c r="AO150" s="22">
        <f>$G150+COUNTIF($H$124:AO$124,$C150)</f>
        <v>5</v>
      </c>
      <c r="AP150" s="22">
        <f>$G150+COUNTIF($H$124:AP$124,$C150)</f>
        <v>5</v>
      </c>
      <c r="AQ150" s="22">
        <f>$G150+COUNTIF($H$124:AQ$124,$C150)</f>
        <v>5</v>
      </c>
      <c r="AR150" s="22">
        <f>$G150+COUNTIF($H$124:AR$124,$C150)</f>
        <v>5</v>
      </c>
      <c r="AS150" s="22">
        <f>$G150+COUNTIF($H$124:AS$124,$C150)</f>
        <v>5</v>
      </c>
      <c r="AT150" s="22">
        <f>$G150+COUNTIF($H$124:AT$124,$C150)</f>
        <v>5</v>
      </c>
      <c r="AU150" s="22">
        <f>$G150+COUNTIF($H$124:AU$124,$C150)</f>
        <v>5</v>
      </c>
      <c r="AV150" s="22">
        <f>$G150+COUNTIF($H$124:AV$124,$C150)</f>
        <v>5</v>
      </c>
      <c r="AW150" s="22">
        <f>$G150+COUNTIF($H$124:AW$124,$C150)</f>
        <v>5</v>
      </c>
      <c r="AX150" s="22">
        <f>$G150+COUNTIF($H$124:AX$124,$C150)</f>
        <v>5</v>
      </c>
      <c r="AY150" s="22">
        <f>$G150+COUNTIF($H$124:AY$124,$C150)</f>
        <v>5</v>
      </c>
      <c r="AZ150" s="22">
        <f>$G150+COUNTIF($H$124:AZ$124,$C150)</f>
        <v>5</v>
      </c>
      <c r="BA150" s="22">
        <f>$G150+COUNTIF($H$124:BA$124,$C150)</f>
        <v>5</v>
      </c>
      <c r="BB150" s="22">
        <f>$G150+COUNTIF($H$124:BB$124,$C150)</f>
        <v>5</v>
      </c>
      <c r="BC150" s="22">
        <f>$G150+COUNTIF($H$124:BC$124,$C150)</f>
        <v>5</v>
      </c>
      <c r="BD150" s="22">
        <f>$G150+COUNTIF($H$124:BD$124,$C150)</f>
        <v>5</v>
      </c>
      <c r="BE150" s="22">
        <f>$G150+COUNTIF($H$124:BE$124,$C150)</f>
        <v>6</v>
      </c>
      <c r="BF150" s="22">
        <f>$G150+COUNTIF($H$124:BF$124,$C150)</f>
        <v>6</v>
      </c>
      <c r="BG150" s="22">
        <f>$G150+COUNTIF($H$124:BG$124,$C150)</f>
        <v>6</v>
      </c>
      <c r="BH150" s="22">
        <f>$G150+COUNTIF($H$124:BH$124,$C150)</f>
        <v>6</v>
      </c>
      <c r="BI150" s="22">
        <f>$G150+COUNTIF($H$124:BI$124,$C150)</f>
        <v>6</v>
      </c>
      <c r="BJ150" s="22">
        <f>$G150+COUNTIF($H$124:BJ$124,$C150)</f>
        <v>6</v>
      </c>
      <c r="BK150" s="22">
        <f>$G150+COUNTIF($H$124:BK$124,$C150)</f>
        <v>6</v>
      </c>
      <c r="BL150" s="22">
        <f>$G150+COUNTIF($H$124:BL$124,$C150)</f>
        <v>6</v>
      </c>
      <c r="BM150" s="22">
        <f>$G150+COUNTIF($H$124:BM$124,$C150)</f>
        <v>6</v>
      </c>
      <c r="BN150" s="22">
        <f>$G150+COUNTIF($H$124:BN$124,$C150)</f>
        <v>6</v>
      </c>
      <c r="BO150" s="22">
        <f>$G150+COUNTIF($H$124:BO$124,$C150)</f>
        <v>6</v>
      </c>
    </row>
    <row r="151" spans="2:69" s="22" customFormat="1" outlineLevel="2">
      <c r="C151" s="22" t="str">
        <v>Yieldville</v>
      </c>
      <c r="D151" s="146"/>
      <c r="E151" s="147"/>
      <c r="F151" s="29" t="s">
        <v>1230</v>
      </c>
      <c r="G151" s="66">
        <v>3</v>
      </c>
      <c r="H151" s="22">
        <f>$G151+COUNTIF($H$124:H$124,$C151)</f>
        <v>3</v>
      </c>
      <c r="I151" s="22">
        <f>$G151+COUNTIF($H$124:I$124,$C151)</f>
        <v>3</v>
      </c>
      <c r="J151" s="22">
        <f>$G151+COUNTIF($H$124:J$124,$C151)</f>
        <v>3</v>
      </c>
      <c r="K151" s="22">
        <f>$G151+COUNTIF($H$124:K$124,$C151)</f>
        <v>3</v>
      </c>
      <c r="L151" s="22">
        <f>$G151+COUNTIF($H$124:L$124,$C151)</f>
        <v>3</v>
      </c>
      <c r="M151" s="22">
        <f>$G151+COUNTIF($H$124:M$124,$C151)</f>
        <v>3</v>
      </c>
      <c r="N151" s="22">
        <f>$G151+COUNTIF($H$124:N$124,$C151)</f>
        <v>3</v>
      </c>
      <c r="O151" s="22">
        <f>$G151+COUNTIF($H$124:O$124,$C151)</f>
        <v>3</v>
      </c>
      <c r="P151" s="22">
        <f>$G151+COUNTIF($H$124:P$124,$C151)</f>
        <v>3</v>
      </c>
      <c r="Q151" s="22">
        <f>$G151+COUNTIF($H$124:Q$124,$C151)</f>
        <v>3</v>
      </c>
      <c r="R151" s="22">
        <f>$G151+COUNTIF($H$124:R$124,$C151)</f>
        <v>3</v>
      </c>
      <c r="S151" s="22">
        <f>$G151+COUNTIF($H$124:S$124,$C151)</f>
        <v>3</v>
      </c>
      <c r="T151" s="22">
        <f>$G151+COUNTIF($H$124:T$124,$C151)</f>
        <v>3</v>
      </c>
      <c r="U151" s="22">
        <f>$G151+COUNTIF($H$124:U$124,$C151)</f>
        <v>3</v>
      </c>
      <c r="V151" s="22">
        <f>$G151+COUNTIF($H$124:V$124,$C151)</f>
        <v>3</v>
      </c>
      <c r="W151" s="22">
        <f>$G151+COUNTIF($H$124:W$124,$C151)</f>
        <v>3</v>
      </c>
      <c r="X151" s="22">
        <f>$G151+COUNTIF($H$124:X$124,$C151)</f>
        <v>3</v>
      </c>
      <c r="Y151" s="22">
        <f>$G151+COUNTIF($H$124:Y$124,$C151)</f>
        <v>3</v>
      </c>
      <c r="Z151" s="22">
        <f>$G151+COUNTIF($H$124:Z$124,$C151)</f>
        <v>3</v>
      </c>
      <c r="AA151" s="22">
        <f>$G151+COUNTIF($H$124:AA$124,$C151)</f>
        <v>3</v>
      </c>
      <c r="AB151" s="22">
        <f>$G151+COUNTIF($H$124:AB$124,$C151)</f>
        <v>3</v>
      </c>
      <c r="AC151" s="22">
        <f>$G151+COUNTIF($H$124:AC$124,$C151)</f>
        <v>3</v>
      </c>
      <c r="AD151" s="22">
        <f>$G151+COUNTIF($H$124:AD$124,$C151)</f>
        <v>3</v>
      </c>
      <c r="AE151" s="22">
        <f>$G151+COUNTIF($H$124:AE$124,$C151)</f>
        <v>3</v>
      </c>
      <c r="AF151" s="22">
        <f>$G151+COUNTIF($H$124:AF$124,$C151)</f>
        <v>4</v>
      </c>
      <c r="AG151" s="22">
        <f>$G151+COUNTIF($H$124:AG$124,$C151)</f>
        <v>4</v>
      </c>
      <c r="AH151" s="22">
        <f>$G151+COUNTIF($H$124:AH$124,$C151)</f>
        <v>4</v>
      </c>
      <c r="AI151" s="22">
        <f>$G151+COUNTIF($H$124:AI$124,$C151)</f>
        <v>4</v>
      </c>
      <c r="AJ151" s="22">
        <f>$G151+COUNTIF($H$124:AJ$124,$C151)</f>
        <v>4</v>
      </c>
      <c r="AK151" s="22">
        <f>$G151+COUNTIF($H$124:AK$124,$C151)</f>
        <v>4</v>
      </c>
      <c r="AL151" s="22">
        <f>$G151+COUNTIF($H$124:AL$124,$C151)</f>
        <v>4</v>
      </c>
      <c r="AM151" s="22">
        <f>$G151+COUNTIF($H$124:AM$124,$C151)</f>
        <v>4</v>
      </c>
      <c r="AN151" s="22">
        <f>$G151+COUNTIF($H$124:AN$124,$C151)</f>
        <v>4</v>
      </c>
      <c r="AO151" s="22">
        <f>$G151+COUNTIF($H$124:AO$124,$C151)</f>
        <v>4</v>
      </c>
      <c r="AP151" s="22">
        <f>$G151+COUNTIF($H$124:AP$124,$C151)</f>
        <v>4</v>
      </c>
      <c r="AQ151" s="22">
        <f>$G151+COUNTIF($H$124:AQ$124,$C151)</f>
        <v>4</v>
      </c>
      <c r="AR151" s="22">
        <f>$G151+COUNTIF($H$124:AR$124,$C151)</f>
        <v>4</v>
      </c>
      <c r="AS151" s="22">
        <f>$G151+COUNTIF($H$124:AS$124,$C151)</f>
        <v>4</v>
      </c>
      <c r="AT151" s="22">
        <f>$G151+COUNTIF($H$124:AT$124,$C151)</f>
        <v>4</v>
      </c>
      <c r="AU151" s="22">
        <f>$G151+COUNTIF($H$124:AU$124,$C151)</f>
        <v>4</v>
      </c>
      <c r="AV151" s="22">
        <f>$G151+COUNTIF($H$124:AV$124,$C151)</f>
        <v>4</v>
      </c>
      <c r="AW151" s="22">
        <f>$G151+COUNTIF($H$124:AW$124,$C151)</f>
        <v>4</v>
      </c>
      <c r="AX151" s="22">
        <f>$G151+COUNTIF($H$124:AX$124,$C151)</f>
        <v>4</v>
      </c>
      <c r="AY151" s="22">
        <f>$G151+COUNTIF($H$124:AY$124,$C151)</f>
        <v>4</v>
      </c>
      <c r="AZ151" s="22">
        <f>$G151+COUNTIF($H$124:AZ$124,$C151)</f>
        <v>4</v>
      </c>
      <c r="BA151" s="22">
        <f>$G151+COUNTIF($H$124:BA$124,$C151)</f>
        <v>4</v>
      </c>
      <c r="BB151" s="22">
        <f>$G151+COUNTIF($H$124:BB$124,$C151)</f>
        <v>4</v>
      </c>
      <c r="BC151" s="22">
        <f>$G151+COUNTIF($H$124:BC$124,$C151)</f>
        <v>4</v>
      </c>
      <c r="BD151" s="22">
        <f>$G151+COUNTIF($H$124:BD$124,$C151)</f>
        <v>4</v>
      </c>
      <c r="BE151" s="22">
        <f>$G151+COUNTIF($H$124:BE$124,$C151)</f>
        <v>4</v>
      </c>
      <c r="BF151" s="22">
        <f>$G151+COUNTIF($H$124:BF$124,$C151)</f>
        <v>5</v>
      </c>
      <c r="BG151" s="22">
        <f>$G151+COUNTIF($H$124:BG$124,$C151)</f>
        <v>5</v>
      </c>
      <c r="BH151" s="22">
        <f>$G151+COUNTIF($H$124:BH$124,$C151)</f>
        <v>5</v>
      </c>
      <c r="BI151" s="22">
        <f>$G151+COUNTIF($H$124:BI$124,$C151)</f>
        <v>5</v>
      </c>
      <c r="BJ151" s="22">
        <f>$G151+COUNTIF($H$124:BJ$124,$C151)</f>
        <v>5</v>
      </c>
      <c r="BK151" s="22">
        <f>$G151+COUNTIF($H$124:BK$124,$C151)</f>
        <v>5</v>
      </c>
      <c r="BL151" s="22">
        <f>$G151+COUNTIF($H$124:BL$124,$C151)</f>
        <v>5</v>
      </c>
      <c r="BM151" s="22">
        <f>$G151+COUNTIF($H$124:BM$124,$C151)</f>
        <v>5</v>
      </c>
      <c r="BN151" s="22">
        <f>$G151+COUNTIF($H$124:BN$124,$C151)</f>
        <v>5</v>
      </c>
      <c r="BO151" s="22">
        <f>$G151+COUNTIF($H$124:BO$124,$C151)</f>
        <v>5</v>
      </c>
    </row>
    <row r="152" spans="2:69" s="22" customFormat="1" outlineLevel="2">
      <c r="C152" s="22" t="str">
        <v>ZeroDay Zone</v>
      </c>
      <c r="D152" s="146"/>
      <c r="E152" s="147"/>
      <c r="F152" s="29" t="s">
        <v>1230</v>
      </c>
      <c r="G152" s="66">
        <v>1</v>
      </c>
      <c r="H152" s="22">
        <f>$G152+COUNTIF($H$124:H$124,$C152)</f>
        <v>1</v>
      </c>
      <c r="I152" s="22">
        <f>$G152+COUNTIF($H$124:I$124,$C152)</f>
        <v>1</v>
      </c>
      <c r="J152" s="22">
        <f>$G152+COUNTIF($H$124:J$124,$C152)</f>
        <v>1</v>
      </c>
      <c r="K152" s="22">
        <f>$G152+COUNTIF($H$124:K$124,$C152)</f>
        <v>1</v>
      </c>
      <c r="L152" s="22">
        <f>$G152+COUNTIF($H$124:L$124,$C152)</f>
        <v>1</v>
      </c>
      <c r="M152" s="22">
        <f>$G152+COUNTIF($H$124:M$124,$C152)</f>
        <v>1</v>
      </c>
      <c r="N152" s="22">
        <f>$G152+COUNTIF($H$124:N$124,$C152)</f>
        <v>1</v>
      </c>
      <c r="O152" s="22">
        <f>$G152+COUNTIF($H$124:O$124,$C152)</f>
        <v>1</v>
      </c>
      <c r="P152" s="22">
        <f>$G152+COUNTIF($H$124:P$124,$C152)</f>
        <v>1</v>
      </c>
      <c r="Q152" s="22">
        <f>$G152+COUNTIF($H$124:Q$124,$C152)</f>
        <v>1</v>
      </c>
      <c r="R152" s="22">
        <f>$G152+COUNTIF($H$124:R$124,$C152)</f>
        <v>1</v>
      </c>
      <c r="S152" s="22">
        <f>$G152+COUNTIF($H$124:S$124,$C152)</f>
        <v>1</v>
      </c>
      <c r="T152" s="22">
        <f>$G152+COUNTIF($H$124:T$124,$C152)</f>
        <v>1</v>
      </c>
      <c r="U152" s="22">
        <f>$G152+COUNTIF($H$124:U$124,$C152)</f>
        <v>1</v>
      </c>
      <c r="V152" s="22">
        <f>$G152+COUNTIF($H$124:V$124,$C152)</f>
        <v>1</v>
      </c>
      <c r="W152" s="22">
        <f>$G152+COUNTIF($H$124:W$124,$C152)</f>
        <v>1</v>
      </c>
      <c r="X152" s="22">
        <f>$G152+COUNTIF($H$124:X$124,$C152)</f>
        <v>1</v>
      </c>
      <c r="Y152" s="22">
        <f>$G152+COUNTIF($H$124:Y$124,$C152)</f>
        <v>1</v>
      </c>
      <c r="Z152" s="22">
        <f>$G152+COUNTIF($H$124:Z$124,$C152)</f>
        <v>1</v>
      </c>
      <c r="AA152" s="22">
        <f>$G152+COUNTIF($H$124:AA$124,$C152)</f>
        <v>1</v>
      </c>
      <c r="AB152" s="22">
        <f>$G152+COUNTIF($H$124:AB$124,$C152)</f>
        <v>1</v>
      </c>
      <c r="AC152" s="22">
        <f>$G152+COUNTIF($H$124:AC$124,$C152)</f>
        <v>1</v>
      </c>
      <c r="AD152" s="22">
        <f>$G152+COUNTIF($H$124:AD$124,$C152)</f>
        <v>1</v>
      </c>
      <c r="AE152" s="22">
        <f>$G152+COUNTIF($H$124:AE$124,$C152)</f>
        <v>1</v>
      </c>
      <c r="AF152" s="22">
        <f>$G152+COUNTIF($H$124:AF$124,$C152)</f>
        <v>1</v>
      </c>
      <c r="AG152" s="22">
        <f>$G152+COUNTIF($H$124:AG$124,$C152)</f>
        <v>2</v>
      </c>
      <c r="AH152" s="22">
        <f>$G152+COUNTIF($H$124:AH$124,$C152)</f>
        <v>2</v>
      </c>
      <c r="AI152" s="22">
        <f>$G152+COUNTIF($H$124:AI$124,$C152)</f>
        <v>2</v>
      </c>
      <c r="AJ152" s="22">
        <f>$G152+COUNTIF($H$124:AJ$124,$C152)</f>
        <v>2</v>
      </c>
      <c r="AK152" s="22">
        <f>$G152+COUNTIF($H$124:AK$124,$C152)</f>
        <v>2</v>
      </c>
      <c r="AL152" s="22">
        <f>$G152+COUNTIF($H$124:AL$124,$C152)</f>
        <v>2</v>
      </c>
      <c r="AM152" s="22">
        <f>$G152+COUNTIF($H$124:AM$124,$C152)</f>
        <v>2</v>
      </c>
      <c r="AN152" s="22">
        <f>$G152+COUNTIF($H$124:AN$124,$C152)</f>
        <v>2</v>
      </c>
      <c r="AO152" s="22">
        <f>$G152+COUNTIF($H$124:AO$124,$C152)</f>
        <v>2</v>
      </c>
      <c r="AP152" s="22">
        <f>$G152+COUNTIF($H$124:AP$124,$C152)</f>
        <v>2</v>
      </c>
      <c r="AQ152" s="22">
        <f>$G152+COUNTIF($H$124:AQ$124,$C152)</f>
        <v>2</v>
      </c>
      <c r="AR152" s="22">
        <f>$G152+COUNTIF($H$124:AR$124,$C152)</f>
        <v>2</v>
      </c>
      <c r="AS152" s="22">
        <f>$G152+COUNTIF($H$124:AS$124,$C152)</f>
        <v>2</v>
      </c>
      <c r="AT152" s="22">
        <f>$G152+COUNTIF($H$124:AT$124,$C152)</f>
        <v>2</v>
      </c>
      <c r="AU152" s="22">
        <f>$G152+COUNTIF($H$124:AU$124,$C152)</f>
        <v>2</v>
      </c>
      <c r="AV152" s="22">
        <f>$G152+COUNTIF($H$124:AV$124,$C152)</f>
        <v>2</v>
      </c>
      <c r="AW152" s="22">
        <f>$G152+COUNTIF($H$124:AW$124,$C152)</f>
        <v>2</v>
      </c>
      <c r="AX152" s="22">
        <f>$G152+COUNTIF($H$124:AX$124,$C152)</f>
        <v>2</v>
      </c>
      <c r="AY152" s="22">
        <f>$G152+COUNTIF($H$124:AY$124,$C152)</f>
        <v>2</v>
      </c>
      <c r="AZ152" s="22">
        <f>$G152+COUNTIF($H$124:AZ$124,$C152)</f>
        <v>2</v>
      </c>
      <c r="BA152" s="22">
        <f>$G152+COUNTIF($H$124:BA$124,$C152)</f>
        <v>2</v>
      </c>
      <c r="BB152" s="22">
        <f>$G152+COUNTIF($H$124:BB$124,$C152)</f>
        <v>2</v>
      </c>
      <c r="BC152" s="22">
        <f>$G152+COUNTIF($H$124:BC$124,$C152)</f>
        <v>2</v>
      </c>
      <c r="BD152" s="22">
        <f>$G152+COUNTIF($H$124:BD$124,$C152)</f>
        <v>2</v>
      </c>
      <c r="BE152" s="22">
        <f>$G152+COUNTIF($H$124:BE$124,$C152)</f>
        <v>2</v>
      </c>
      <c r="BF152" s="22">
        <f>$G152+COUNTIF($H$124:BF$124,$C152)</f>
        <v>2</v>
      </c>
      <c r="BG152" s="22">
        <f>$G152+COUNTIF($H$124:BG$124,$C152)</f>
        <v>3</v>
      </c>
      <c r="BH152" s="22">
        <f>$G152+COUNTIF($H$124:BH$124,$C152)</f>
        <v>3</v>
      </c>
      <c r="BI152" s="22">
        <f>$G152+COUNTIF($H$124:BI$124,$C152)</f>
        <v>3</v>
      </c>
      <c r="BJ152" s="22">
        <f>$G152+COUNTIF($H$124:BJ$124,$C152)</f>
        <v>3</v>
      </c>
      <c r="BK152" s="22">
        <f>$G152+COUNTIF($H$124:BK$124,$C152)</f>
        <v>3</v>
      </c>
      <c r="BL152" s="22">
        <f>$G152+COUNTIF($H$124:BL$124,$C152)</f>
        <v>3</v>
      </c>
      <c r="BM152" s="22">
        <f>$G152+COUNTIF($H$124:BM$124,$C152)</f>
        <v>3</v>
      </c>
      <c r="BN152" s="22">
        <f>$G152+COUNTIF($H$124:BN$124,$C152)</f>
        <v>3</v>
      </c>
      <c r="BO152" s="22">
        <f>$G152+COUNTIF($H$124:BO$124,$C152)</f>
        <v>3</v>
      </c>
    </row>
    <row r="153" spans="2:69" s="31" customFormat="1" ht="12" customHeight="1" outlineLevel="2">
      <c r="C153" s="70" t="s">
        <v>1231</v>
      </c>
      <c r="D153" s="70"/>
      <c r="E153" s="71"/>
      <c r="F153" s="80" t="s">
        <v>1230</v>
      </c>
      <c r="G153" s="76">
        <f>SUM(_xlfn.ANCHORARRAY(G127))</f>
        <v>1000</v>
      </c>
      <c r="H153" s="77">
        <f>SUM(H127:H152)</f>
        <v>1001</v>
      </c>
      <c r="I153" s="77">
        <f t="shared" ref="I153:BO153" si="76">SUM(I127:I152)</f>
        <v>1002</v>
      </c>
      <c r="J153" s="77">
        <f t="shared" si="76"/>
        <v>1003</v>
      </c>
      <c r="K153" s="77">
        <f t="shared" si="76"/>
        <v>1004</v>
      </c>
      <c r="L153" s="77">
        <f t="shared" si="76"/>
        <v>1005</v>
      </c>
      <c r="M153" s="77">
        <f t="shared" si="76"/>
        <v>1006</v>
      </c>
      <c r="N153" s="77">
        <f t="shared" si="76"/>
        <v>1007</v>
      </c>
      <c r="O153" s="77">
        <f t="shared" si="76"/>
        <v>1008</v>
      </c>
      <c r="P153" s="77">
        <f t="shared" si="76"/>
        <v>1009</v>
      </c>
      <c r="Q153" s="77">
        <f t="shared" si="76"/>
        <v>1010</v>
      </c>
      <c r="R153" s="77">
        <f t="shared" si="76"/>
        <v>1011</v>
      </c>
      <c r="S153" s="77">
        <f t="shared" si="76"/>
        <v>1012</v>
      </c>
      <c r="T153" s="77">
        <f t="shared" si="76"/>
        <v>1013</v>
      </c>
      <c r="U153" s="77">
        <f t="shared" si="76"/>
        <v>1014</v>
      </c>
      <c r="V153" s="77">
        <f t="shared" si="76"/>
        <v>1015</v>
      </c>
      <c r="W153" s="77">
        <f t="shared" si="76"/>
        <v>1016</v>
      </c>
      <c r="X153" s="77">
        <f t="shared" si="76"/>
        <v>1017</v>
      </c>
      <c r="Y153" s="77">
        <f t="shared" si="76"/>
        <v>1018</v>
      </c>
      <c r="Z153" s="77">
        <f t="shared" si="76"/>
        <v>1019</v>
      </c>
      <c r="AA153" s="77">
        <f t="shared" si="76"/>
        <v>1020</v>
      </c>
      <c r="AB153" s="77">
        <f t="shared" si="76"/>
        <v>1021</v>
      </c>
      <c r="AC153" s="77">
        <f t="shared" si="76"/>
        <v>1022</v>
      </c>
      <c r="AD153" s="77">
        <f t="shared" si="76"/>
        <v>1023</v>
      </c>
      <c r="AE153" s="77">
        <f t="shared" si="76"/>
        <v>1024</v>
      </c>
      <c r="AF153" s="77">
        <f t="shared" si="76"/>
        <v>1025</v>
      </c>
      <c r="AG153" s="77">
        <f t="shared" si="76"/>
        <v>1026</v>
      </c>
      <c r="AH153" s="77">
        <f t="shared" si="76"/>
        <v>1027</v>
      </c>
      <c r="AI153" s="77">
        <f t="shared" si="76"/>
        <v>1028</v>
      </c>
      <c r="AJ153" s="77">
        <f t="shared" si="76"/>
        <v>1029</v>
      </c>
      <c r="AK153" s="77">
        <f t="shared" si="76"/>
        <v>1030</v>
      </c>
      <c r="AL153" s="77">
        <f t="shared" si="76"/>
        <v>1031</v>
      </c>
      <c r="AM153" s="77">
        <f t="shared" si="76"/>
        <v>1032</v>
      </c>
      <c r="AN153" s="77">
        <f t="shared" si="76"/>
        <v>1033</v>
      </c>
      <c r="AO153" s="77">
        <f t="shared" si="76"/>
        <v>1034</v>
      </c>
      <c r="AP153" s="77">
        <f t="shared" si="76"/>
        <v>1035</v>
      </c>
      <c r="AQ153" s="77">
        <f t="shared" si="76"/>
        <v>1036</v>
      </c>
      <c r="AR153" s="77">
        <f t="shared" si="76"/>
        <v>1037</v>
      </c>
      <c r="AS153" s="77">
        <f t="shared" si="76"/>
        <v>1038</v>
      </c>
      <c r="AT153" s="77">
        <f t="shared" si="76"/>
        <v>1039</v>
      </c>
      <c r="AU153" s="77">
        <f t="shared" si="76"/>
        <v>1040</v>
      </c>
      <c r="AV153" s="77">
        <f t="shared" si="76"/>
        <v>1041</v>
      </c>
      <c r="AW153" s="77">
        <f t="shared" si="76"/>
        <v>1042</v>
      </c>
      <c r="AX153" s="77">
        <f t="shared" si="76"/>
        <v>1043</v>
      </c>
      <c r="AY153" s="77">
        <f t="shared" si="76"/>
        <v>1044</v>
      </c>
      <c r="AZ153" s="77">
        <f t="shared" si="76"/>
        <v>1045</v>
      </c>
      <c r="BA153" s="77">
        <f t="shared" si="76"/>
        <v>1046</v>
      </c>
      <c r="BB153" s="77">
        <f t="shared" si="76"/>
        <v>1047</v>
      </c>
      <c r="BC153" s="77">
        <f t="shared" si="76"/>
        <v>1048</v>
      </c>
      <c r="BD153" s="77">
        <f t="shared" si="76"/>
        <v>1049</v>
      </c>
      <c r="BE153" s="77">
        <f t="shared" si="76"/>
        <v>1050</v>
      </c>
      <c r="BF153" s="77">
        <f t="shared" si="76"/>
        <v>1051</v>
      </c>
      <c r="BG153" s="77">
        <f t="shared" si="76"/>
        <v>1052</v>
      </c>
      <c r="BH153" s="77">
        <f t="shared" si="76"/>
        <v>1053</v>
      </c>
      <c r="BI153" s="77">
        <f t="shared" si="76"/>
        <v>1054</v>
      </c>
      <c r="BJ153" s="77">
        <f t="shared" si="76"/>
        <v>1055</v>
      </c>
      <c r="BK153" s="77">
        <f t="shared" si="76"/>
        <v>1056</v>
      </c>
      <c r="BL153" s="77">
        <f t="shared" si="76"/>
        <v>1057</v>
      </c>
      <c r="BM153" s="77">
        <f t="shared" si="76"/>
        <v>1058</v>
      </c>
      <c r="BN153" s="77">
        <f t="shared" si="76"/>
        <v>1059</v>
      </c>
      <c r="BO153" s="77">
        <f t="shared" si="76"/>
        <v>1060</v>
      </c>
      <c r="BP153" s="357"/>
      <c r="BQ153" s="357"/>
    </row>
    <row r="154" spans="2:69" s="22" customFormat="1" outlineLevel="2">
      <c r="E154" s="28"/>
      <c r="F154" s="29"/>
      <c r="G154" s="66"/>
    </row>
    <row r="155" spans="2:69" s="22" customFormat="1" outlineLevel="2">
      <c r="B155" s="32" t="s">
        <v>1232</v>
      </c>
      <c r="E155" s="28"/>
      <c r="F155" s="29"/>
      <c r="G155" s="66"/>
    </row>
    <row r="156" spans="2:69" s="22" customFormat="1" outlineLevel="2">
      <c r="C156" s="22" t="str" cm="1">
        <f t="array" ref="C156:C181">_xlfn._xlws.SORT(_xlfn.UNIQUE('Existing Stores'!D9:D1008),,1)</f>
        <v>Axisbyte</v>
      </c>
      <c r="D156" s="142">
        <f>_xlfn.XLOOKUP(C156,Assumptions!$F$9:$F$34,Assumptions!$H$9:$H$34)</f>
        <v>380887</v>
      </c>
      <c r="E156" s="65" t="s">
        <v>1233</v>
      </c>
      <c r="F156" s="29" t="s">
        <v>1234</v>
      </c>
      <c r="G156" s="153" cm="1">
        <f t="array" ref="G156:BO181">D156:D181/G127:BO152</f>
        <v>63481.166666666664</v>
      </c>
      <c r="H156" s="140">
        <v>54412.428571428572</v>
      </c>
      <c r="I156" s="140">
        <v>54412.428571428572</v>
      </c>
      <c r="J156" s="140">
        <v>54412.428571428572</v>
      </c>
      <c r="K156" s="140">
        <v>54412.428571428572</v>
      </c>
      <c r="L156" s="140">
        <v>54412.428571428572</v>
      </c>
      <c r="M156" s="140">
        <v>54412.428571428572</v>
      </c>
      <c r="N156" s="140">
        <v>54412.428571428572</v>
      </c>
      <c r="O156" s="140">
        <v>54412.428571428572</v>
      </c>
      <c r="P156" s="140">
        <v>54412.428571428572</v>
      </c>
      <c r="Q156" s="140">
        <v>54412.428571428572</v>
      </c>
      <c r="R156" s="140">
        <v>54412.428571428572</v>
      </c>
      <c r="S156" s="140">
        <v>54412.428571428572</v>
      </c>
      <c r="T156" s="140">
        <v>54412.428571428572</v>
      </c>
      <c r="U156" s="140">
        <v>54412.428571428572</v>
      </c>
      <c r="V156" s="140">
        <v>54412.428571428572</v>
      </c>
      <c r="W156" s="140">
        <v>54412.428571428572</v>
      </c>
      <c r="X156" s="140">
        <v>54412.428571428572</v>
      </c>
      <c r="Y156" s="140">
        <v>54412.428571428572</v>
      </c>
      <c r="Z156" s="140">
        <v>54412.428571428572</v>
      </c>
      <c r="AA156" s="140">
        <v>54412.428571428572</v>
      </c>
      <c r="AB156" s="140">
        <v>54412.428571428572</v>
      </c>
      <c r="AC156" s="140">
        <v>54412.428571428572</v>
      </c>
      <c r="AD156" s="140">
        <v>54412.428571428572</v>
      </c>
      <c r="AE156" s="140">
        <v>54412.428571428572</v>
      </c>
      <c r="AF156" s="140">
        <v>54412.428571428572</v>
      </c>
      <c r="AG156" s="140">
        <v>54412.428571428572</v>
      </c>
      <c r="AH156" s="140">
        <v>47610.875</v>
      </c>
      <c r="AI156" s="140">
        <v>47610.875</v>
      </c>
      <c r="AJ156" s="140">
        <v>47610.875</v>
      </c>
      <c r="AK156" s="140">
        <v>47610.875</v>
      </c>
      <c r="AL156" s="140">
        <v>47610.875</v>
      </c>
      <c r="AM156" s="140">
        <v>47610.875</v>
      </c>
      <c r="AN156" s="140">
        <v>47610.875</v>
      </c>
      <c r="AO156" s="140">
        <v>47610.875</v>
      </c>
      <c r="AP156" s="140">
        <v>47610.875</v>
      </c>
      <c r="AQ156" s="140">
        <v>47610.875</v>
      </c>
      <c r="AR156" s="140">
        <v>47610.875</v>
      </c>
      <c r="AS156" s="140">
        <v>47610.875</v>
      </c>
      <c r="AT156" s="140">
        <v>47610.875</v>
      </c>
      <c r="AU156" s="140">
        <v>47610.875</v>
      </c>
      <c r="AV156" s="140">
        <v>47610.875</v>
      </c>
      <c r="AW156" s="140">
        <v>47610.875</v>
      </c>
      <c r="AX156" s="140">
        <v>47610.875</v>
      </c>
      <c r="AY156" s="140">
        <v>47610.875</v>
      </c>
      <c r="AZ156" s="140">
        <v>47610.875</v>
      </c>
      <c r="BA156" s="140">
        <v>47610.875</v>
      </c>
      <c r="BB156" s="140">
        <v>47610.875</v>
      </c>
      <c r="BC156" s="140">
        <v>47610.875</v>
      </c>
      <c r="BD156" s="140">
        <v>47610.875</v>
      </c>
      <c r="BE156" s="140">
        <v>47610.875</v>
      </c>
      <c r="BF156" s="140">
        <v>47610.875</v>
      </c>
      <c r="BG156" s="140">
        <v>47610.875</v>
      </c>
      <c r="BH156" s="140">
        <v>42320.777777777781</v>
      </c>
      <c r="BI156" s="140">
        <v>42320.777777777781</v>
      </c>
      <c r="BJ156" s="140">
        <v>42320.777777777781</v>
      </c>
      <c r="BK156" s="140">
        <v>42320.777777777781</v>
      </c>
      <c r="BL156" s="140">
        <v>42320.777777777781</v>
      </c>
      <c r="BM156" s="140">
        <v>42320.777777777781</v>
      </c>
      <c r="BN156" s="140">
        <v>42320.777777777781</v>
      </c>
      <c r="BO156" s="140">
        <v>42320.777777777781</v>
      </c>
      <c r="BP156" s="140"/>
      <c r="BQ156" s="140"/>
    </row>
    <row r="157" spans="2:69" s="22" customFormat="1" outlineLevel="2">
      <c r="C157" s="22" t="str">
        <v>Bootwell</v>
      </c>
      <c r="D157" s="143">
        <f>_xlfn.XLOOKUP(C157,Assumptions!$F$9:$F$34,Assumptions!$H$9:$H$34)</f>
        <v>540720</v>
      </c>
      <c r="E157" s="67" t="s">
        <v>1233</v>
      </c>
      <c r="F157" s="29" t="s">
        <v>1234</v>
      </c>
      <c r="G157" s="153">
        <v>18024</v>
      </c>
      <c r="H157" s="140">
        <v>18024</v>
      </c>
      <c r="I157" s="140">
        <v>17442.580645161292</v>
      </c>
      <c r="J157" s="140">
        <v>17442.580645161292</v>
      </c>
      <c r="K157" s="140">
        <v>17442.580645161292</v>
      </c>
      <c r="L157" s="140">
        <v>17442.580645161292</v>
      </c>
      <c r="M157" s="140">
        <v>17442.580645161292</v>
      </c>
      <c r="N157" s="140">
        <v>17442.580645161292</v>
      </c>
      <c r="O157" s="140">
        <v>17442.580645161292</v>
      </c>
      <c r="P157" s="140">
        <v>17442.580645161292</v>
      </c>
      <c r="Q157" s="140">
        <v>17442.580645161292</v>
      </c>
      <c r="R157" s="140">
        <v>17442.580645161292</v>
      </c>
      <c r="S157" s="140">
        <v>17442.580645161292</v>
      </c>
      <c r="T157" s="140">
        <v>17442.580645161292</v>
      </c>
      <c r="U157" s="140">
        <v>17442.580645161292</v>
      </c>
      <c r="V157" s="140">
        <v>17442.580645161292</v>
      </c>
      <c r="W157" s="140">
        <v>17442.580645161292</v>
      </c>
      <c r="X157" s="140">
        <v>17442.580645161292</v>
      </c>
      <c r="Y157" s="140">
        <v>17442.580645161292</v>
      </c>
      <c r="Z157" s="140">
        <v>17442.580645161292</v>
      </c>
      <c r="AA157" s="140">
        <v>17442.580645161292</v>
      </c>
      <c r="AB157" s="140">
        <v>17442.580645161292</v>
      </c>
      <c r="AC157" s="140">
        <v>17442.580645161292</v>
      </c>
      <c r="AD157" s="140">
        <v>17442.580645161292</v>
      </c>
      <c r="AE157" s="140">
        <v>17442.580645161292</v>
      </c>
      <c r="AF157" s="140">
        <v>17442.580645161292</v>
      </c>
      <c r="AG157" s="140">
        <v>17442.580645161292</v>
      </c>
      <c r="AH157" s="140">
        <v>17442.580645161292</v>
      </c>
      <c r="AI157" s="140">
        <v>16897.5</v>
      </c>
      <c r="AJ157" s="140">
        <v>16897.5</v>
      </c>
      <c r="AK157" s="140">
        <v>16897.5</v>
      </c>
      <c r="AL157" s="140">
        <v>16897.5</v>
      </c>
      <c r="AM157" s="140">
        <v>16897.5</v>
      </c>
      <c r="AN157" s="140">
        <v>16897.5</v>
      </c>
      <c r="AO157" s="140">
        <v>16897.5</v>
      </c>
      <c r="AP157" s="140">
        <v>16897.5</v>
      </c>
      <c r="AQ157" s="140">
        <v>16897.5</v>
      </c>
      <c r="AR157" s="140">
        <v>16897.5</v>
      </c>
      <c r="AS157" s="140">
        <v>16897.5</v>
      </c>
      <c r="AT157" s="140">
        <v>16897.5</v>
      </c>
      <c r="AU157" s="140">
        <v>16897.5</v>
      </c>
      <c r="AV157" s="140">
        <v>16897.5</v>
      </c>
      <c r="AW157" s="140">
        <v>16897.5</v>
      </c>
      <c r="AX157" s="140">
        <v>16897.5</v>
      </c>
      <c r="AY157" s="140">
        <v>16897.5</v>
      </c>
      <c r="AZ157" s="140">
        <v>16897.5</v>
      </c>
      <c r="BA157" s="140">
        <v>16897.5</v>
      </c>
      <c r="BB157" s="140">
        <v>16897.5</v>
      </c>
      <c r="BC157" s="140">
        <v>16897.5</v>
      </c>
      <c r="BD157" s="140">
        <v>16897.5</v>
      </c>
      <c r="BE157" s="140">
        <v>16897.5</v>
      </c>
      <c r="BF157" s="140">
        <v>16897.5</v>
      </c>
      <c r="BG157" s="140">
        <v>16897.5</v>
      </c>
      <c r="BH157" s="140">
        <v>16897.5</v>
      </c>
      <c r="BI157" s="140">
        <v>16385.454545454544</v>
      </c>
      <c r="BJ157" s="140">
        <v>16385.454545454544</v>
      </c>
      <c r="BK157" s="140">
        <v>16385.454545454544</v>
      </c>
      <c r="BL157" s="140">
        <v>16385.454545454544</v>
      </c>
      <c r="BM157" s="140">
        <v>16385.454545454544</v>
      </c>
      <c r="BN157" s="140">
        <v>16385.454545454544</v>
      </c>
      <c r="BO157" s="140">
        <v>16385.454545454544</v>
      </c>
      <c r="BP157" s="140"/>
      <c r="BQ157" s="140"/>
    </row>
    <row r="158" spans="2:69" s="22" customFormat="1" outlineLevel="2">
      <c r="C158" s="22" t="str">
        <v>Cacheford</v>
      </c>
      <c r="D158" s="143">
        <f>_xlfn.XLOOKUP(C158,Assumptions!$F$9:$F$34,Assumptions!$H$9:$H$34)</f>
        <v>56314</v>
      </c>
      <c r="E158" s="67" t="s">
        <v>1233</v>
      </c>
      <c r="F158" s="29" t="s">
        <v>1234</v>
      </c>
      <c r="G158" s="153">
        <v>11262.8</v>
      </c>
      <c r="H158" s="140">
        <v>11262.8</v>
      </c>
      <c r="I158" s="140">
        <v>11262.8</v>
      </c>
      <c r="J158" s="140">
        <v>9385.6666666666661</v>
      </c>
      <c r="K158" s="140">
        <v>9385.6666666666661</v>
      </c>
      <c r="L158" s="140">
        <v>9385.6666666666661</v>
      </c>
      <c r="M158" s="140">
        <v>9385.6666666666661</v>
      </c>
      <c r="N158" s="140">
        <v>9385.6666666666661</v>
      </c>
      <c r="O158" s="140">
        <v>9385.6666666666661</v>
      </c>
      <c r="P158" s="140">
        <v>9385.6666666666661</v>
      </c>
      <c r="Q158" s="140">
        <v>9385.6666666666661</v>
      </c>
      <c r="R158" s="140">
        <v>9385.6666666666661</v>
      </c>
      <c r="S158" s="140">
        <v>9385.6666666666661</v>
      </c>
      <c r="T158" s="140">
        <v>9385.6666666666661</v>
      </c>
      <c r="U158" s="140">
        <v>9385.6666666666661</v>
      </c>
      <c r="V158" s="140">
        <v>9385.6666666666661</v>
      </c>
      <c r="W158" s="140">
        <v>9385.6666666666661</v>
      </c>
      <c r="X158" s="140">
        <v>9385.6666666666661</v>
      </c>
      <c r="Y158" s="140">
        <v>9385.6666666666661</v>
      </c>
      <c r="Z158" s="140">
        <v>9385.6666666666661</v>
      </c>
      <c r="AA158" s="140">
        <v>9385.6666666666661</v>
      </c>
      <c r="AB158" s="140">
        <v>9385.6666666666661</v>
      </c>
      <c r="AC158" s="140">
        <v>9385.6666666666661</v>
      </c>
      <c r="AD158" s="140">
        <v>9385.6666666666661</v>
      </c>
      <c r="AE158" s="140">
        <v>9385.6666666666661</v>
      </c>
      <c r="AF158" s="140">
        <v>9385.6666666666661</v>
      </c>
      <c r="AG158" s="140">
        <v>9385.6666666666661</v>
      </c>
      <c r="AH158" s="140">
        <v>9385.6666666666661</v>
      </c>
      <c r="AI158" s="140">
        <v>9385.6666666666661</v>
      </c>
      <c r="AJ158" s="140">
        <v>8044.8571428571431</v>
      </c>
      <c r="AK158" s="140">
        <v>8044.8571428571431</v>
      </c>
      <c r="AL158" s="140">
        <v>8044.8571428571431</v>
      </c>
      <c r="AM158" s="140">
        <v>8044.8571428571431</v>
      </c>
      <c r="AN158" s="140">
        <v>8044.8571428571431</v>
      </c>
      <c r="AO158" s="140">
        <v>8044.8571428571431</v>
      </c>
      <c r="AP158" s="140">
        <v>8044.8571428571431</v>
      </c>
      <c r="AQ158" s="140">
        <v>8044.8571428571431</v>
      </c>
      <c r="AR158" s="140">
        <v>8044.8571428571431</v>
      </c>
      <c r="AS158" s="140">
        <v>8044.8571428571431</v>
      </c>
      <c r="AT158" s="140">
        <v>8044.8571428571431</v>
      </c>
      <c r="AU158" s="140">
        <v>8044.8571428571431</v>
      </c>
      <c r="AV158" s="140">
        <v>8044.8571428571431</v>
      </c>
      <c r="AW158" s="140">
        <v>8044.8571428571431</v>
      </c>
      <c r="AX158" s="140">
        <v>8044.8571428571431</v>
      </c>
      <c r="AY158" s="140">
        <v>8044.8571428571431</v>
      </c>
      <c r="AZ158" s="140">
        <v>8044.8571428571431</v>
      </c>
      <c r="BA158" s="140">
        <v>8044.8571428571431</v>
      </c>
      <c r="BB158" s="140">
        <v>8044.8571428571431</v>
      </c>
      <c r="BC158" s="140">
        <v>8044.8571428571431</v>
      </c>
      <c r="BD158" s="140">
        <v>8044.8571428571431</v>
      </c>
      <c r="BE158" s="140">
        <v>8044.8571428571431</v>
      </c>
      <c r="BF158" s="140">
        <v>8044.8571428571431</v>
      </c>
      <c r="BG158" s="140">
        <v>8044.8571428571431</v>
      </c>
      <c r="BH158" s="140">
        <v>8044.8571428571431</v>
      </c>
      <c r="BI158" s="140">
        <v>8044.8571428571431</v>
      </c>
      <c r="BJ158" s="140">
        <v>7039.25</v>
      </c>
      <c r="BK158" s="140">
        <v>7039.25</v>
      </c>
      <c r="BL158" s="140">
        <v>7039.25</v>
      </c>
      <c r="BM158" s="140">
        <v>7039.25</v>
      </c>
      <c r="BN158" s="140">
        <v>7039.25</v>
      </c>
      <c r="BO158" s="140">
        <v>7039.25</v>
      </c>
      <c r="BP158" s="140"/>
      <c r="BQ158" s="140"/>
    </row>
    <row r="159" spans="2:69" s="22" customFormat="1" outlineLevel="2">
      <c r="C159" s="22" t="str">
        <v>Datahaven</v>
      </c>
      <c r="D159" s="143">
        <f>_xlfn.XLOOKUP(C159,Assumptions!$F$9:$F$34,Assumptions!$H$9:$H$34)</f>
        <v>773777</v>
      </c>
      <c r="E159" s="67" t="s">
        <v>1233</v>
      </c>
      <c r="F159" s="29" t="s">
        <v>1234</v>
      </c>
      <c r="G159" s="153">
        <v>35171.681818181816</v>
      </c>
      <c r="H159" s="140">
        <v>35171.681818181816</v>
      </c>
      <c r="I159" s="140">
        <v>35171.681818181816</v>
      </c>
      <c r="J159" s="140">
        <v>35171.681818181816</v>
      </c>
      <c r="K159" s="140">
        <v>33642.478260869568</v>
      </c>
      <c r="L159" s="140">
        <v>33642.478260869568</v>
      </c>
      <c r="M159" s="140">
        <v>33642.478260869568</v>
      </c>
      <c r="N159" s="140">
        <v>33642.478260869568</v>
      </c>
      <c r="O159" s="140">
        <v>33642.478260869568</v>
      </c>
      <c r="P159" s="140">
        <v>33642.478260869568</v>
      </c>
      <c r="Q159" s="140">
        <v>33642.478260869568</v>
      </c>
      <c r="R159" s="140">
        <v>33642.478260869568</v>
      </c>
      <c r="S159" s="140">
        <v>33642.478260869568</v>
      </c>
      <c r="T159" s="140">
        <v>33642.478260869568</v>
      </c>
      <c r="U159" s="140">
        <v>33642.478260869568</v>
      </c>
      <c r="V159" s="140">
        <v>33642.478260869568</v>
      </c>
      <c r="W159" s="140">
        <v>33642.478260869568</v>
      </c>
      <c r="X159" s="140">
        <v>33642.478260869568</v>
      </c>
      <c r="Y159" s="140">
        <v>33642.478260869568</v>
      </c>
      <c r="Z159" s="140">
        <v>33642.478260869568</v>
      </c>
      <c r="AA159" s="140">
        <v>33642.478260869568</v>
      </c>
      <c r="AB159" s="140">
        <v>33642.478260869568</v>
      </c>
      <c r="AC159" s="140">
        <v>33642.478260869568</v>
      </c>
      <c r="AD159" s="140">
        <v>33642.478260869568</v>
      </c>
      <c r="AE159" s="140">
        <v>33642.478260869568</v>
      </c>
      <c r="AF159" s="140">
        <v>33642.478260869568</v>
      </c>
      <c r="AG159" s="140">
        <v>33642.478260869568</v>
      </c>
      <c r="AH159" s="140">
        <v>33642.478260869568</v>
      </c>
      <c r="AI159" s="140">
        <v>33642.478260869568</v>
      </c>
      <c r="AJ159" s="140">
        <v>33642.478260869568</v>
      </c>
      <c r="AK159" s="140">
        <v>32240.708333333332</v>
      </c>
      <c r="AL159" s="140">
        <v>32240.708333333332</v>
      </c>
      <c r="AM159" s="140">
        <v>32240.708333333332</v>
      </c>
      <c r="AN159" s="140">
        <v>32240.708333333332</v>
      </c>
      <c r="AO159" s="140">
        <v>32240.708333333332</v>
      </c>
      <c r="AP159" s="140">
        <v>32240.708333333332</v>
      </c>
      <c r="AQ159" s="140">
        <v>32240.708333333332</v>
      </c>
      <c r="AR159" s="140">
        <v>32240.708333333332</v>
      </c>
      <c r="AS159" s="140">
        <v>32240.708333333332</v>
      </c>
      <c r="AT159" s="140">
        <v>32240.708333333332</v>
      </c>
      <c r="AU159" s="140">
        <v>32240.708333333332</v>
      </c>
      <c r="AV159" s="140">
        <v>32240.708333333332</v>
      </c>
      <c r="AW159" s="140">
        <v>32240.708333333332</v>
      </c>
      <c r="AX159" s="140">
        <v>32240.708333333332</v>
      </c>
      <c r="AY159" s="140">
        <v>32240.708333333332</v>
      </c>
      <c r="AZ159" s="140">
        <v>32240.708333333332</v>
      </c>
      <c r="BA159" s="140">
        <v>32240.708333333332</v>
      </c>
      <c r="BB159" s="140">
        <v>32240.708333333332</v>
      </c>
      <c r="BC159" s="140">
        <v>32240.708333333332</v>
      </c>
      <c r="BD159" s="140">
        <v>32240.708333333332</v>
      </c>
      <c r="BE159" s="140">
        <v>32240.708333333332</v>
      </c>
      <c r="BF159" s="140">
        <v>32240.708333333332</v>
      </c>
      <c r="BG159" s="140">
        <v>32240.708333333332</v>
      </c>
      <c r="BH159" s="140">
        <v>32240.708333333332</v>
      </c>
      <c r="BI159" s="140">
        <v>32240.708333333332</v>
      </c>
      <c r="BJ159" s="140">
        <v>32240.708333333332</v>
      </c>
      <c r="BK159" s="140">
        <v>30951.08</v>
      </c>
      <c r="BL159" s="140">
        <v>30951.08</v>
      </c>
      <c r="BM159" s="140">
        <v>30951.08</v>
      </c>
      <c r="BN159" s="140">
        <v>30951.08</v>
      </c>
      <c r="BO159" s="140">
        <v>30951.08</v>
      </c>
      <c r="BP159" s="140"/>
      <c r="BQ159" s="140"/>
    </row>
    <row r="160" spans="2:69" s="22" customFormat="1" outlineLevel="2">
      <c r="C160" s="22" t="str">
        <v>Etherport</v>
      </c>
      <c r="D160" s="143">
        <f>_xlfn.XLOOKUP(C160,Assumptions!$F$9:$F$34,Assumptions!$H$9:$H$34)</f>
        <v>93924</v>
      </c>
      <c r="E160" s="67" t="s">
        <v>1233</v>
      </c>
      <c r="F160" s="29" t="s">
        <v>1234</v>
      </c>
      <c r="G160" s="153">
        <v>31308</v>
      </c>
      <c r="H160" s="140">
        <v>31308</v>
      </c>
      <c r="I160" s="140">
        <v>31308</v>
      </c>
      <c r="J160" s="140">
        <v>31308</v>
      </c>
      <c r="K160" s="140">
        <v>31308</v>
      </c>
      <c r="L160" s="140">
        <v>23481</v>
      </c>
      <c r="M160" s="140">
        <v>23481</v>
      </c>
      <c r="N160" s="140">
        <v>23481</v>
      </c>
      <c r="O160" s="140">
        <v>23481</v>
      </c>
      <c r="P160" s="140">
        <v>23481</v>
      </c>
      <c r="Q160" s="140">
        <v>23481</v>
      </c>
      <c r="R160" s="140">
        <v>23481</v>
      </c>
      <c r="S160" s="140">
        <v>23481</v>
      </c>
      <c r="T160" s="140">
        <v>23481</v>
      </c>
      <c r="U160" s="140">
        <v>23481</v>
      </c>
      <c r="V160" s="140">
        <v>23481</v>
      </c>
      <c r="W160" s="140">
        <v>23481</v>
      </c>
      <c r="X160" s="140">
        <v>23481</v>
      </c>
      <c r="Y160" s="140">
        <v>23481</v>
      </c>
      <c r="Z160" s="140">
        <v>23481</v>
      </c>
      <c r="AA160" s="140">
        <v>23481</v>
      </c>
      <c r="AB160" s="140">
        <v>23481</v>
      </c>
      <c r="AC160" s="140">
        <v>23481</v>
      </c>
      <c r="AD160" s="140">
        <v>23481</v>
      </c>
      <c r="AE160" s="140">
        <v>23481</v>
      </c>
      <c r="AF160" s="140">
        <v>23481</v>
      </c>
      <c r="AG160" s="140">
        <v>23481</v>
      </c>
      <c r="AH160" s="140">
        <v>23481</v>
      </c>
      <c r="AI160" s="140">
        <v>23481</v>
      </c>
      <c r="AJ160" s="140">
        <v>23481</v>
      </c>
      <c r="AK160" s="140">
        <v>23481</v>
      </c>
      <c r="AL160" s="140">
        <v>18784.8</v>
      </c>
      <c r="AM160" s="140">
        <v>18784.8</v>
      </c>
      <c r="AN160" s="140">
        <v>18784.8</v>
      </c>
      <c r="AO160" s="140">
        <v>18784.8</v>
      </c>
      <c r="AP160" s="140">
        <v>18784.8</v>
      </c>
      <c r="AQ160" s="140">
        <v>18784.8</v>
      </c>
      <c r="AR160" s="140">
        <v>18784.8</v>
      </c>
      <c r="AS160" s="140">
        <v>18784.8</v>
      </c>
      <c r="AT160" s="140">
        <v>18784.8</v>
      </c>
      <c r="AU160" s="140">
        <v>18784.8</v>
      </c>
      <c r="AV160" s="140">
        <v>18784.8</v>
      </c>
      <c r="AW160" s="140">
        <v>18784.8</v>
      </c>
      <c r="AX160" s="140">
        <v>18784.8</v>
      </c>
      <c r="AY160" s="140">
        <v>18784.8</v>
      </c>
      <c r="AZ160" s="140">
        <v>18784.8</v>
      </c>
      <c r="BA160" s="140">
        <v>18784.8</v>
      </c>
      <c r="BB160" s="140">
        <v>18784.8</v>
      </c>
      <c r="BC160" s="140">
        <v>18784.8</v>
      </c>
      <c r="BD160" s="140">
        <v>18784.8</v>
      </c>
      <c r="BE160" s="140">
        <v>18784.8</v>
      </c>
      <c r="BF160" s="140">
        <v>18784.8</v>
      </c>
      <c r="BG160" s="140">
        <v>18784.8</v>
      </c>
      <c r="BH160" s="140">
        <v>18784.8</v>
      </c>
      <c r="BI160" s="140">
        <v>18784.8</v>
      </c>
      <c r="BJ160" s="140">
        <v>18784.8</v>
      </c>
      <c r="BK160" s="140">
        <v>18784.8</v>
      </c>
      <c r="BL160" s="140">
        <v>15654</v>
      </c>
      <c r="BM160" s="140">
        <v>15654</v>
      </c>
      <c r="BN160" s="140">
        <v>15654</v>
      </c>
      <c r="BO160" s="140">
        <v>15654</v>
      </c>
      <c r="BP160" s="140"/>
      <c r="BQ160" s="140"/>
    </row>
    <row r="161" spans="3:69" s="22" customFormat="1" outlineLevel="2">
      <c r="C161" s="22" t="str">
        <v>Fiberfall</v>
      </c>
      <c r="D161" s="145">
        <f>_xlfn.XLOOKUP(C161,Assumptions!$F$9:$F$34,Assumptions!$H$9:$H$34)</f>
        <v>38112</v>
      </c>
      <c r="E161" s="67" t="s">
        <v>1233</v>
      </c>
      <c r="F161" s="29" t="s">
        <v>1234</v>
      </c>
      <c r="G161" s="153">
        <v>12704</v>
      </c>
      <c r="H161" s="140">
        <v>12704</v>
      </c>
      <c r="I161" s="140">
        <v>12704</v>
      </c>
      <c r="J161" s="140">
        <v>12704</v>
      </c>
      <c r="K161" s="140">
        <v>12704</v>
      </c>
      <c r="L161" s="140">
        <v>12704</v>
      </c>
      <c r="M161" s="140">
        <v>9528</v>
      </c>
      <c r="N161" s="140">
        <v>9528</v>
      </c>
      <c r="O161" s="140">
        <v>9528</v>
      </c>
      <c r="P161" s="140">
        <v>9528</v>
      </c>
      <c r="Q161" s="140">
        <v>9528</v>
      </c>
      <c r="R161" s="140">
        <v>9528</v>
      </c>
      <c r="S161" s="140">
        <v>9528</v>
      </c>
      <c r="T161" s="140">
        <v>9528</v>
      </c>
      <c r="U161" s="140">
        <v>9528</v>
      </c>
      <c r="V161" s="140">
        <v>9528</v>
      </c>
      <c r="W161" s="140">
        <v>9528</v>
      </c>
      <c r="X161" s="140">
        <v>9528</v>
      </c>
      <c r="Y161" s="140">
        <v>9528</v>
      </c>
      <c r="Z161" s="140">
        <v>9528</v>
      </c>
      <c r="AA161" s="140">
        <v>9528</v>
      </c>
      <c r="AB161" s="140">
        <v>9528</v>
      </c>
      <c r="AC161" s="140">
        <v>9528</v>
      </c>
      <c r="AD161" s="140">
        <v>9528</v>
      </c>
      <c r="AE161" s="140">
        <v>9528</v>
      </c>
      <c r="AF161" s="140">
        <v>9528</v>
      </c>
      <c r="AG161" s="140">
        <v>9528</v>
      </c>
      <c r="AH161" s="140">
        <v>9528</v>
      </c>
      <c r="AI161" s="140">
        <v>9528</v>
      </c>
      <c r="AJ161" s="140">
        <v>9528</v>
      </c>
      <c r="AK161" s="140">
        <v>9528</v>
      </c>
      <c r="AL161" s="140">
        <v>9528</v>
      </c>
      <c r="AM161" s="140">
        <v>7622.4</v>
      </c>
      <c r="AN161" s="140">
        <v>7622.4</v>
      </c>
      <c r="AO161" s="140">
        <v>7622.4</v>
      </c>
      <c r="AP161" s="140">
        <v>7622.4</v>
      </c>
      <c r="AQ161" s="140">
        <v>7622.4</v>
      </c>
      <c r="AR161" s="140">
        <v>7622.4</v>
      </c>
      <c r="AS161" s="140">
        <v>7622.4</v>
      </c>
      <c r="AT161" s="140">
        <v>7622.4</v>
      </c>
      <c r="AU161" s="140">
        <v>7622.4</v>
      </c>
      <c r="AV161" s="140">
        <v>7622.4</v>
      </c>
      <c r="AW161" s="140">
        <v>7622.4</v>
      </c>
      <c r="AX161" s="140">
        <v>7622.4</v>
      </c>
      <c r="AY161" s="140">
        <v>7622.4</v>
      </c>
      <c r="AZ161" s="140">
        <v>7622.4</v>
      </c>
      <c r="BA161" s="140">
        <v>7622.4</v>
      </c>
      <c r="BB161" s="140">
        <v>7622.4</v>
      </c>
      <c r="BC161" s="140">
        <v>7622.4</v>
      </c>
      <c r="BD161" s="140">
        <v>7622.4</v>
      </c>
      <c r="BE161" s="140">
        <v>7622.4</v>
      </c>
      <c r="BF161" s="140">
        <v>7622.4</v>
      </c>
      <c r="BG161" s="140">
        <v>7622.4</v>
      </c>
      <c r="BH161" s="140">
        <v>7622.4</v>
      </c>
      <c r="BI161" s="140">
        <v>7622.4</v>
      </c>
      <c r="BJ161" s="140">
        <v>7622.4</v>
      </c>
      <c r="BK161" s="140">
        <v>7622.4</v>
      </c>
      <c r="BL161" s="140">
        <v>7622.4</v>
      </c>
      <c r="BM161" s="140">
        <v>6352</v>
      </c>
      <c r="BN161" s="140">
        <v>6352</v>
      </c>
      <c r="BO161" s="140">
        <v>6352</v>
      </c>
      <c r="BP161" s="140"/>
      <c r="BQ161" s="140"/>
    </row>
    <row r="162" spans="3:69" s="22" customFormat="1" outlineLevel="2">
      <c r="C162" s="22" t="str">
        <v>Gigatown</v>
      </c>
      <c r="D162" s="143">
        <f>_xlfn.XLOOKUP(C162,Assumptions!$F$9:$F$34,Assumptions!$H$9:$H$34)</f>
        <v>2668971</v>
      </c>
      <c r="E162" s="67" t="s">
        <v>1233</v>
      </c>
      <c r="F162" s="29" t="s">
        <v>1234</v>
      </c>
      <c r="G162" s="153">
        <v>41061.092307692306</v>
      </c>
      <c r="H162" s="140">
        <v>41061.092307692306</v>
      </c>
      <c r="I162" s="140">
        <v>41061.092307692306</v>
      </c>
      <c r="J162" s="140">
        <v>41061.092307692306</v>
      </c>
      <c r="K162" s="140">
        <v>41061.092307692306</v>
      </c>
      <c r="L162" s="140">
        <v>41061.092307692306</v>
      </c>
      <c r="M162" s="140">
        <v>41061.092307692306</v>
      </c>
      <c r="N162" s="140">
        <v>40438.954545454544</v>
      </c>
      <c r="O162" s="140">
        <v>40438.954545454544</v>
      </c>
      <c r="P162" s="140">
        <v>40438.954545454544</v>
      </c>
      <c r="Q162" s="140">
        <v>40438.954545454544</v>
      </c>
      <c r="R162" s="140">
        <v>40438.954545454544</v>
      </c>
      <c r="S162" s="140">
        <v>40438.954545454544</v>
      </c>
      <c r="T162" s="140">
        <v>40438.954545454544</v>
      </c>
      <c r="U162" s="140">
        <v>40438.954545454544</v>
      </c>
      <c r="V162" s="140">
        <v>40438.954545454544</v>
      </c>
      <c r="W162" s="140">
        <v>40438.954545454544</v>
      </c>
      <c r="X162" s="140">
        <v>40438.954545454544</v>
      </c>
      <c r="Y162" s="140">
        <v>40438.954545454544</v>
      </c>
      <c r="Z162" s="140">
        <v>40438.954545454544</v>
      </c>
      <c r="AA162" s="140">
        <v>40438.954545454544</v>
      </c>
      <c r="AB162" s="140">
        <v>40438.954545454544</v>
      </c>
      <c r="AC162" s="140">
        <v>40438.954545454544</v>
      </c>
      <c r="AD162" s="140">
        <v>40438.954545454544</v>
      </c>
      <c r="AE162" s="140">
        <v>40438.954545454544</v>
      </c>
      <c r="AF162" s="140">
        <v>40438.954545454544</v>
      </c>
      <c r="AG162" s="140">
        <v>40438.954545454544</v>
      </c>
      <c r="AH162" s="140">
        <v>40438.954545454544</v>
      </c>
      <c r="AI162" s="140">
        <v>40438.954545454544</v>
      </c>
      <c r="AJ162" s="140">
        <v>40438.954545454544</v>
      </c>
      <c r="AK162" s="140">
        <v>40438.954545454544</v>
      </c>
      <c r="AL162" s="140">
        <v>40438.954545454544</v>
      </c>
      <c r="AM162" s="140">
        <v>40438.954545454544</v>
      </c>
      <c r="AN162" s="140">
        <v>39835.388059701494</v>
      </c>
      <c r="AO162" s="140">
        <v>39835.388059701494</v>
      </c>
      <c r="AP162" s="140">
        <v>39835.388059701494</v>
      </c>
      <c r="AQ162" s="140">
        <v>39835.388059701494</v>
      </c>
      <c r="AR162" s="140">
        <v>39835.388059701494</v>
      </c>
      <c r="AS162" s="140">
        <v>39835.388059701494</v>
      </c>
      <c r="AT162" s="140">
        <v>39835.388059701494</v>
      </c>
      <c r="AU162" s="140">
        <v>39835.388059701494</v>
      </c>
      <c r="AV162" s="140">
        <v>39835.388059701494</v>
      </c>
      <c r="AW162" s="140">
        <v>39835.388059701494</v>
      </c>
      <c r="AX162" s="140">
        <v>39835.388059701494</v>
      </c>
      <c r="AY162" s="140">
        <v>39835.388059701494</v>
      </c>
      <c r="AZ162" s="140">
        <v>39835.388059701494</v>
      </c>
      <c r="BA162" s="140">
        <v>39835.388059701494</v>
      </c>
      <c r="BB162" s="140">
        <v>39835.388059701494</v>
      </c>
      <c r="BC162" s="140">
        <v>39835.388059701494</v>
      </c>
      <c r="BD162" s="140">
        <v>39835.388059701494</v>
      </c>
      <c r="BE162" s="140">
        <v>39835.388059701494</v>
      </c>
      <c r="BF162" s="140">
        <v>39835.388059701494</v>
      </c>
      <c r="BG162" s="140">
        <v>39835.388059701494</v>
      </c>
      <c r="BH162" s="140">
        <v>39835.388059701494</v>
      </c>
      <c r="BI162" s="140">
        <v>39835.388059701494</v>
      </c>
      <c r="BJ162" s="140">
        <v>39835.388059701494</v>
      </c>
      <c r="BK162" s="140">
        <v>39835.388059701494</v>
      </c>
      <c r="BL162" s="140">
        <v>39835.388059701494</v>
      </c>
      <c r="BM162" s="140">
        <v>39835.388059701494</v>
      </c>
      <c r="BN162" s="140">
        <v>39249.573529411762</v>
      </c>
      <c r="BO162" s="140">
        <v>39249.573529411762</v>
      </c>
      <c r="BP162" s="140"/>
      <c r="BQ162" s="140"/>
    </row>
    <row r="163" spans="3:69" s="22" customFormat="1" outlineLevel="2">
      <c r="C163" s="22" t="str">
        <v>Hexavale</v>
      </c>
      <c r="D163" s="143">
        <f>_xlfn.XLOOKUP(C163,Assumptions!$F$9:$F$34,Assumptions!$H$9:$H$34)</f>
        <v>17532542</v>
      </c>
      <c r="E163" s="67" t="s">
        <v>1233</v>
      </c>
      <c r="F163" s="29" t="s">
        <v>1234</v>
      </c>
      <c r="G163" s="153">
        <v>56374.73311897106</v>
      </c>
      <c r="H163" s="140">
        <v>56374.73311897106</v>
      </c>
      <c r="I163" s="140">
        <v>56374.73311897106</v>
      </c>
      <c r="J163" s="140">
        <v>56374.73311897106</v>
      </c>
      <c r="K163" s="140">
        <v>56374.73311897106</v>
      </c>
      <c r="L163" s="140">
        <v>56374.73311897106</v>
      </c>
      <c r="M163" s="140">
        <v>56374.73311897106</v>
      </c>
      <c r="N163" s="140">
        <v>56374.73311897106</v>
      </c>
      <c r="O163" s="140">
        <v>56194.044871794875</v>
      </c>
      <c r="P163" s="140">
        <v>56194.044871794875</v>
      </c>
      <c r="Q163" s="140">
        <v>56194.044871794875</v>
      </c>
      <c r="R163" s="140">
        <v>56194.044871794875</v>
      </c>
      <c r="S163" s="140">
        <v>56194.044871794875</v>
      </c>
      <c r="T163" s="140">
        <v>56194.044871794875</v>
      </c>
      <c r="U163" s="140">
        <v>56194.044871794875</v>
      </c>
      <c r="V163" s="140">
        <v>56194.044871794875</v>
      </c>
      <c r="W163" s="140">
        <v>56194.044871794875</v>
      </c>
      <c r="X163" s="140">
        <v>56194.044871794875</v>
      </c>
      <c r="Y163" s="140">
        <v>56194.044871794875</v>
      </c>
      <c r="Z163" s="140">
        <v>56194.044871794875</v>
      </c>
      <c r="AA163" s="140">
        <v>56194.044871794875</v>
      </c>
      <c r="AB163" s="140">
        <v>56194.044871794875</v>
      </c>
      <c r="AC163" s="140">
        <v>56194.044871794875</v>
      </c>
      <c r="AD163" s="140">
        <v>56194.044871794875</v>
      </c>
      <c r="AE163" s="140">
        <v>56194.044871794875</v>
      </c>
      <c r="AF163" s="140">
        <v>56194.044871794875</v>
      </c>
      <c r="AG163" s="140">
        <v>56194.044871794875</v>
      </c>
      <c r="AH163" s="140">
        <v>56194.044871794875</v>
      </c>
      <c r="AI163" s="140">
        <v>56194.044871794875</v>
      </c>
      <c r="AJ163" s="140">
        <v>56194.044871794875</v>
      </c>
      <c r="AK163" s="140">
        <v>56194.044871794875</v>
      </c>
      <c r="AL163" s="140">
        <v>56194.044871794875</v>
      </c>
      <c r="AM163" s="140">
        <v>56194.044871794875</v>
      </c>
      <c r="AN163" s="140">
        <v>56194.044871794875</v>
      </c>
      <c r="AO163" s="140">
        <v>56014.511182108625</v>
      </c>
      <c r="AP163" s="140">
        <v>56014.511182108625</v>
      </c>
      <c r="AQ163" s="140">
        <v>56014.511182108625</v>
      </c>
      <c r="AR163" s="140">
        <v>56014.511182108625</v>
      </c>
      <c r="AS163" s="140">
        <v>56014.511182108625</v>
      </c>
      <c r="AT163" s="140">
        <v>56014.511182108625</v>
      </c>
      <c r="AU163" s="140">
        <v>56014.511182108625</v>
      </c>
      <c r="AV163" s="140">
        <v>56014.511182108625</v>
      </c>
      <c r="AW163" s="140">
        <v>56014.511182108625</v>
      </c>
      <c r="AX163" s="140">
        <v>56014.511182108625</v>
      </c>
      <c r="AY163" s="140">
        <v>56014.511182108625</v>
      </c>
      <c r="AZ163" s="140">
        <v>56014.511182108625</v>
      </c>
      <c r="BA163" s="140">
        <v>56014.511182108625</v>
      </c>
      <c r="BB163" s="140">
        <v>56014.511182108625</v>
      </c>
      <c r="BC163" s="140">
        <v>56014.511182108625</v>
      </c>
      <c r="BD163" s="140">
        <v>56014.511182108625</v>
      </c>
      <c r="BE163" s="140">
        <v>56014.511182108625</v>
      </c>
      <c r="BF163" s="140">
        <v>56014.511182108625</v>
      </c>
      <c r="BG163" s="140">
        <v>56014.511182108625</v>
      </c>
      <c r="BH163" s="140">
        <v>56014.511182108625</v>
      </c>
      <c r="BI163" s="140">
        <v>56014.511182108625</v>
      </c>
      <c r="BJ163" s="140">
        <v>56014.511182108625</v>
      </c>
      <c r="BK163" s="140">
        <v>56014.511182108625</v>
      </c>
      <c r="BL163" s="140">
        <v>56014.511182108625</v>
      </c>
      <c r="BM163" s="140">
        <v>56014.511182108625</v>
      </c>
      <c r="BN163" s="140">
        <v>56014.511182108625</v>
      </c>
      <c r="BO163" s="140">
        <v>55836.121019108279</v>
      </c>
      <c r="BP163" s="140"/>
      <c r="BQ163" s="140"/>
    </row>
    <row r="164" spans="3:69" s="22" customFormat="1" outlineLevel="2">
      <c r="C164" s="22" t="str">
        <v>Input City</v>
      </c>
      <c r="D164" s="143">
        <f>_xlfn.XLOOKUP(C164,Assumptions!$F$9:$F$34,Assumptions!$H$9:$H$34)</f>
        <v>871720</v>
      </c>
      <c r="E164" s="67" t="s">
        <v>1233</v>
      </c>
      <c r="F164" s="29" t="s">
        <v>1234</v>
      </c>
      <c r="G164" s="153">
        <v>51277.647058823532</v>
      </c>
      <c r="H164" s="140">
        <v>51277.647058823532</v>
      </c>
      <c r="I164" s="140">
        <v>51277.647058823532</v>
      </c>
      <c r="J164" s="140">
        <v>51277.647058823532</v>
      </c>
      <c r="K164" s="140">
        <v>51277.647058823532</v>
      </c>
      <c r="L164" s="140">
        <v>51277.647058823532</v>
      </c>
      <c r="M164" s="140">
        <v>51277.647058823532</v>
      </c>
      <c r="N164" s="140">
        <v>51277.647058823532</v>
      </c>
      <c r="O164" s="140">
        <v>51277.647058823532</v>
      </c>
      <c r="P164" s="140">
        <v>48428.888888888891</v>
      </c>
      <c r="Q164" s="140">
        <v>48428.888888888891</v>
      </c>
      <c r="R164" s="140">
        <v>48428.888888888891</v>
      </c>
      <c r="S164" s="140">
        <v>48428.888888888891</v>
      </c>
      <c r="T164" s="140">
        <v>48428.888888888891</v>
      </c>
      <c r="U164" s="140">
        <v>48428.888888888891</v>
      </c>
      <c r="V164" s="140">
        <v>48428.888888888891</v>
      </c>
      <c r="W164" s="140">
        <v>48428.888888888891</v>
      </c>
      <c r="X164" s="140">
        <v>48428.888888888891</v>
      </c>
      <c r="Y164" s="140">
        <v>48428.888888888891</v>
      </c>
      <c r="Z164" s="140">
        <v>48428.888888888891</v>
      </c>
      <c r="AA164" s="140">
        <v>48428.888888888891</v>
      </c>
      <c r="AB164" s="140">
        <v>48428.888888888891</v>
      </c>
      <c r="AC164" s="140">
        <v>48428.888888888891</v>
      </c>
      <c r="AD164" s="140">
        <v>48428.888888888891</v>
      </c>
      <c r="AE164" s="140">
        <v>48428.888888888891</v>
      </c>
      <c r="AF164" s="140">
        <v>48428.888888888891</v>
      </c>
      <c r="AG164" s="140">
        <v>48428.888888888891</v>
      </c>
      <c r="AH164" s="140">
        <v>48428.888888888891</v>
      </c>
      <c r="AI164" s="140">
        <v>48428.888888888891</v>
      </c>
      <c r="AJ164" s="140">
        <v>48428.888888888891</v>
      </c>
      <c r="AK164" s="140">
        <v>48428.888888888891</v>
      </c>
      <c r="AL164" s="140">
        <v>48428.888888888891</v>
      </c>
      <c r="AM164" s="140">
        <v>48428.888888888891</v>
      </c>
      <c r="AN164" s="140">
        <v>48428.888888888891</v>
      </c>
      <c r="AO164" s="140">
        <v>48428.888888888891</v>
      </c>
      <c r="AP164" s="140">
        <v>45880</v>
      </c>
      <c r="AQ164" s="140">
        <v>45880</v>
      </c>
      <c r="AR164" s="140">
        <v>45880</v>
      </c>
      <c r="AS164" s="140">
        <v>45880</v>
      </c>
      <c r="AT164" s="140">
        <v>45880</v>
      </c>
      <c r="AU164" s="140">
        <v>45880</v>
      </c>
      <c r="AV164" s="140">
        <v>45880</v>
      </c>
      <c r="AW164" s="140">
        <v>45880</v>
      </c>
      <c r="AX164" s="140">
        <v>45880</v>
      </c>
      <c r="AY164" s="140">
        <v>45880</v>
      </c>
      <c r="AZ164" s="140">
        <v>45880</v>
      </c>
      <c r="BA164" s="140">
        <v>45880</v>
      </c>
      <c r="BB164" s="140">
        <v>45880</v>
      </c>
      <c r="BC164" s="140">
        <v>45880</v>
      </c>
      <c r="BD164" s="140">
        <v>45880</v>
      </c>
      <c r="BE164" s="140">
        <v>45880</v>
      </c>
      <c r="BF164" s="140">
        <v>45880</v>
      </c>
      <c r="BG164" s="140">
        <v>45880</v>
      </c>
      <c r="BH164" s="140">
        <v>45880</v>
      </c>
      <c r="BI164" s="140">
        <v>45880</v>
      </c>
      <c r="BJ164" s="140">
        <v>45880</v>
      </c>
      <c r="BK164" s="140">
        <v>45880</v>
      </c>
      <c r="BL164" s="140">
        <v>45880</v>
      </c>
      <c r="BM164" s="140">
        <v>45880</v>
      </c>
      <c r="BN164" s="140">
        <v>45880</v>
      </c>
      <c r="BO164" s="140">
        <v>45880</v>
      </c>
      <c r="BP164" s="140"/>
      <c r="BQ164" s="140"/>
    </row>
    <row r="165" spans="3:69" s="22" customFormat="1" outlineLevel="2">
      <c r="C165" s="22" t="str">
        <v>Junction Core</v>
      </c>
      <c r="D165" s="143">
        <f>_xlfn.XLOOKUP(C165,Assumptions!$F$9:$F$34,Assumptions!$H$9:$H$34)</f>
        <v>129351</v>
      </c>
      <c r="E165" s="67" t="s">
        <v>1233</v>
      </c>
      <c r="F165" s="29" t="s">
        <v>1234</v>
      </c>
      <c r="G165" s="153">
        <v>16168.875</v>
      </c>
      <c r="H165" s="140">
        <v>16168.875</v>
      </c>
      <c r="I165" s="140">
        <v>16168.875</v>
      </c>
      <c r="J165" s="140">
        <v>16168.875</v>
      </c>
      <c r="K165" s="140">
        <v>16168.875</v>
      </c>
      <c r="L165" s="140">
        <v>16168.875</v>
      </c>
      <c r="M165" s="140">
        <v>16168.875</v>
      </c>
      <c r="N165" s="140">
        <v>16168.875</v>
      </c>
      <c r="O165" s="140">
        <v>16168.875</v>
      </c>
      <c r="P165" s="140">
        <v>16168.875</v>
      </c>
      <c r="Q165" s="140">
        <v>14372.333333333334</v>
      </c>
      <c r="R165" s="140">
        <v>14372.333333333334</v>
      </c>
      <c r="S165" s="140">
        <v>14372.333333333334</v>
      </c>
      <c r="T165" s="140">
        <v>14372.333333333334</v>
      </c>
      <c r="U165" s="140">
        <v>14372.333333333334</v>
      </c>
      <c r="V165" s="140">
        <v>14372.333333333334</v>
      </c>
      <c r="W165" s="140">
        <v>14372.333333333334</v>
      </c>
      <c r="X165" s="140">
        <v>14372.333333333334</v>
      </c>
      <c r="Y165" s="140">
        <v>14372.333333333334</v>
      </c>
      <c r="Z165" s="140">
        <v>14372.333333333334</v>
      </c>
      <c r="AA165" s="140">
        <v>14372.333333333334</v>
      </c>
      <c r="AB165" s="140">
        <v>14372.333333333334</v>
      </c>
      <c r="AC165" s="140">
        <v>14372.333333333334</v>
      </c>
      <c r="AD165" s="140">
        <v>14372.333333333334</v>
      </c>
      <c r="AE165" s="140">
        <v>14372.333333333334</v>
      </c>
      <c r="AF165" s="140">
        <v>14372.333333333334</v>
      </c>
      <c r="AG165" s="140">
        <v>14372.333333333334</v>
      </c>
      <c r="AH165" s="140">
        <v>14372.333333333334</v>
      </c>
      <c r="AI165" s="140">
        <v>14372.333333333334</v>
      </c>
      <c r="AJ165" s="140">
        <v>14372.333333333334</v>
      </c>
      <c r="AK165" s="140">
        <v>14372.333333333334</v>
      </c>
      <c r="AL165" s="140">
        <v>14372.333333333334</v>
      </c>
      <c r="AM165" s="140">
        <v>14372.333333333334</v>
      </c>
      <c r="AN165" s="140">
        <v>14372.333333333334</v>
      </c>
      <c r="AO165" s="140">
        <v>14372.333333333334</v>
      </c>
      <c r="AP165" s="140">
        <v>14372.333333333334</v>
      </c>
      <c r="AQ165" s="140">
        <v>12935.1</v>
      </c>
      <c r="AR165" s="140">
        <v>12935.1</v>
      </c>
      <c r="AS165" s="140">
        <v>12935.1</v>
      </c>
      <c r="AT165" s="140">
        <v>12935.1</v>
      </c>
      <c r="AU165" s="140">
        <v>12935.1</v>
      </c>
      <c r="AV165" s="140">
        <v>12935.1</v>
      </c>
      <c r="AW165" s="140">
        <v>12935.1</v>
      </c>
      <c r="AX165" s="140">
        <v>12935.1</v>
      </c>
      <c r="AY165" s="140">
        <v>12935.1</v>
      </c>
      <c r="AZ165" s="140">
        <v>12935.1</v>
      </c>
      <c r="BA165" s="140">
        <v>12935.1</v>
      </c>
      <c r="BB165" s="140">
        <v>12935.1</v>
      </c>
      <c r="BC165" s="140">
        <v>12935.1</v>
      </c>
      <c r="BD165" s="140">
        <v>12935.1</v>
      </c>
      <c r="BE165" s="140">
        <v>12935.1</v>
      </c>
      <c r="BF165" s="140">
        <v>12935.1</v>
      </c>
      <c r="BG165" s="140">
        <v>12935.1</v>
      </c>
      <c r="BH165" s="140">
        <v>12935.1</v>
      </c>
      <c r="BI165" s="140">
        <v>12935.1</v>
      </c>
      <c r="BJ165" s="140">
        <v>12935.1</v>
      </c>
      <c r="BK165" s="140">
        <v>12935.1</v>
      </c>
      <c r="BL165" s="140">
        <v>12935.1</v>
      </c>
      <c r="BM165" s="140">
        <v>12935.1</v>
      </c>
      <c r="BN165" s="140">
        <v>12935.1</v>
      </c>
      <c r="BO165" s="140">
        <v>12935.1</v>
      </c>
      <c r="BP165" s="140"/>
      <c r="BQ165" s="140"/>
    </row>
    <row r="166" spans="3:69" s="22" customFormat="1" outlineLevel="2">
      <c r="C166" s="22" t="str">
        <v>Kernel Heights</v>
      </c>
      <c r="D166" s="143">
        <f>_xlfn.XLOOKUP(C166,Assumptions!$F$9:$F$34,Assumptions!$H$9:$H$34)</f>
        <v>67975</v>
      </c>
      <c r="E166" s="67" t="s">
        <v>1233</v>
      </c>
      <c r="F166" s="29" t="s">
        <v>1234</v>
      </c>
      <c r="G166" s="153">
        <v>22658.333333333332</v>
      </c>
      <c r="H166" s="140">
        <v>22658.333333333332</v>
      </c>
      <c r="I166" s="140">
        <v>22658.333333333332</v>
      </c>
      <c r="J166" s="140">
        <v>22658.333333333332</v>
      </c>
      <c r="K166" s="140">
        <v>22658.333333333332</v>
      </c>
      <c r="L166" s="140">
        <v>22658.333333333332</v>
      </c>
      <c r="M166" s="140">
        <v>22658.333333333332</v>
      </c>
      <c r="N166" s="140">
        <v>22658.333333333332</v>
      </c>
      <c r="O166" s="140">
        <v>22658.333333333332</v>
      </c>
      <c r="P166" s="140">
        <v>22658.333333333332</v>
      </c>
      <c r="Q166" s="140">
        <v>22658.333333333332</v>
      </c>
      <c r="R166" s="140">
        <v>16993.75</v>
      </c>
      <c r="S166" s="140">
        <v>16993.75</v>
      </c>
      <c r="T166" s="140">
        <v>16993.75</v>
      </c>
      <c r="U166" s="140">
        <v>16993.75</v>
      </c>
      <c r="V166" s="140">
        <v>16993.75</v>
      </c>
      <c r="W166" s="140">
        <v>16993.75</v>
      </c>
      <c r="X166" s="140">
        <v>16993.75</v>
      </c>
      <c r="Y166" s="140">
        <v>16993.75</v>
      </c>
      <c r="Z166" s="140">
        <v>16993.75</v>
      </c>
      <c r="AA166" s="140">
        <v>16993.75</v>
      </c>
      <c r="AB166" s="140">
        <v>16993.75</v>
      </c>
      <c r="AC166" s="140">
        <v>16993.75</v>
      </c>
      <c r="AD166" s="140">
        <v>16993.75</v>
      </c>
      <c r="AE166" s="140">
        <v>16993.75</v>
      </c>
      <c r="AF166" s="140">
        <v>16993.75</v>
      </c>
      <c r="AG166" s="140">
        <v>16993.75</v>
      </c>
      <c r="AH166" s="140">
        <v>16993.75</v>
      </c>
      <c r="AI166" s="140">
        <v>16993.75</v>
      </c>
      <c r="AJ166" s="140">
        <v>16993.75</v>
      </c>
      <c r="AK166" s="140">
        <v>16993.75</v>
      </c>
      <c r="AL166" s="140">
        <v>16993.75</v>
      </c>
      <c r="AM166" s="140">
        <v>16993.75</v>
      </c>
      <c r="AN166" s="140">
        <v>16993.75</v>
      </c>
      <c r="AO166" s="140">
        <v>16993.75</v>
      </c>
      <c r="AP166" s="140">
        <v>16993.75</v>
      </c>
      <c r="AQ166" s="140">
        <v>16993.75</v>
      </c>
      <c r="AR166" s="140">
        <v>13595</v>
      </c>
      <c r="AS166" s="140">
        <v>13595</v>
      </c>
      <c r="AT166" s="140">
        <v>13595</v>
      </c>
      <c r="AU166" s="140">
        <v>13595</v>
      </c>
      <c r="AV166" s="140">
        <v>13595</v>
      </c>
      <c r="AW166" s="140">
        <v>13595</v>
      </c>
      <c r="AX166" s="140">
        <v>13595</v>
      </c>
      <c r="AY166" s="140">
        <v>13595</v>
      </c>
      <c r="AZ166" s="140">
        <v>13595</v>
      </c>
      <c r="BA166" s="140">
        <v>13595</v>
      </c>
      <c r="BB166" s="140">
        <v>13595</v>
      </c>
      <c r="BC166" s="140">
        <v>13595</v>
      </c>
      <c r="BD166" s="140">
        <v>13595</v>
      </c>
      <c r="BE166" s="140">
        <v>13595</v>
      </c>
      <c r="BF166" s="140">
        <v>13595</v>
      </c>
      <c r="BG166" s="140">
        <v>13595</v>
      </c>
      <c r="BH166" s="140">
        <v>13595</v>
      </c>
      <c r="BI166" s="140">
        <v>13595</v>
      </c>
      <c r="BJ166" s="140">
        <v>13595</v>
      </c>
      <c r="BK166" s="140">
        <v>13595</v>
      </c>
      <c r="BL166" s="140">
        <v>13595</v>
      </c>
      <c r="BM166" s="140">
        <v>13595</v>
      </c>
      <c r="BN166" s="140">
        <v>13595</v>
      </c>
      <c r="BO166" s="140">
        <v>13595</v>
      </c>
      <c r="BP166" s="140"/>
      <c r="BQ166" s="140"/>
    </row>
    <row r="167" spans="3:69" s="22" customFormat="1" outlineLevel="2">
      <c r="C167" s="22" t="str">
        <v>Logicridge</v>
      </c>
      <c r="D167" s="145">
        <f>_xlfn.XLOOKUP(C167,Assumptions!$F$9:$F$34,Assumptions!$H$9:$H$34)</f>
        <v>225699</v>
      </c>
      <c r="E167" s="67" t="s">
        <v>1233</v>
      </c>
      <c r="F167" s="29" t="s">
        <v>1234</v>
      </c>
      <c r="G167" s="153">
        <v>45139.8</v>
      </c>
      <c r="H167" s="140">
        <v>45139.8</v>
      </c>
      <c r="I167" s="140">
        <v>45139.8</v>
      </c>
      <c r="J167" s="140">
        <v>45139.8</v>
      </c>
      <c r="K167" s="140">
        <v>45139.8</v>
      </c>
      <c r="L167" s="140">
        <v>45139.8</v>
      </c>
      <c r="M167" s="140">
        <v>45139.8</v>
      </c>
      <c r="N167" s="140">
        <v>45139.8</v>
      </c>
      <c r="O167" s="140">
        <v>45139.8</v>
      </c>
      <c r="P167" s="140">
        <v>45139.8</v>
      </c>
      <c r="Q167" s="140">
        <v>45139.8</v>
      </c>
      <c r="R167" s="140">
        <v>45139.8</v>
      </c>
      <c r="S167" s="140">
        <v>37616.5</v>
      </c>
      <c r="T167" s="140">
        <v>37616.5</v>
      </c>
      <c r="U167" s="140">
        <v>37616.5</v>
      </c>
      <c r="V167" s="140">
        <v>37616.5</v>
      </c>
      <c r="W167" s="140">
        <v>37616.5</v>
      </c>
      <c r="X167" s="140">
        <v>37616.5</v>
      </c>
      <c r="Y167" s="140">
        <v>37616.5</v>
      </c>
      <c r="Z167" s="140">
        <v>37616.5</v>
      </c>
      <c r="AA167" s="140">
        <v>37616.5</v>
      </c>
      <c r="AB167" s="140">
        <v>37616.5</v>
      </c>
      <c r="AC167" s="140">
        <v>37616.5</v>
      </c>
      <c r="AD167" s="140">
        <v>37616.5</v>
      </c>
      <c r="AE167" s="140">
        <v>37616.5</v>
      </c>
      <c r="AF167" s="140">
        <v>37616.5</v>
      </c>
      <c r="AG167" s="140">
        <v>37616.5</v>
      </c>
      <c r="AH167" s="140">
        <v>37616.5</v>
      </c>
      <c r="AI167" s="140">
        <v>37616.5</v>
      </c>
      <c r="AJ167" s="140">
        <v>37616.5</v>
      </c>
      <c r="AK167" s="140">
        <v>37616.5</v>
      </c>
      <c r="AL167" s="140">
        <v>37616.5</v>
      </c>
      <c r="AM167" s="140">
        <v>37616.5</v>
      </c>
      <c r="AN167" s="140">
        <v>37616.5</v>
      </c>
      <c r="AO167" s="140">
        <v>37616.5</v>
      </c>
      <c r="AP167" s="140">
        <v>37616.5</v>
      </c>
      <c r="AQ167" s="140">
        <v>37616.5</v>
      </c>
      <c r="AR167" s="140">
        <v>37616.5</v>
      </c>
      <c r="AS167" s="140">
        <v>32242.714285714286</v>
      </c>
      <c r="AT167" s="140">
        <v>32242.714285714286</v>
      </c>
      <c r="AU167" s="140">
        <v>32242.714285714286</v>
      </c>
      <c r="AV167" s="140">
        <v>32242.714285714286</v>
      </c>
      <c r="AW167" s="140">
        <v>32242.714285714286</v>
      </c>
      <c r="AX167" s="140">
        <v>32242.714285714286</v>
      </c>
      <c r="AY167" s="140">
        <v>32242.714285714286</v>
      </c>
      <c r="AZ167" s="140">
        <v>32242.714285714286</v>
      </c>
      <c r="BA167" s="140">
        <v>32242.714285714286</v>
      </c>
      <c r="BB167" s="140">
        <v>32242.714285714286</v>
      </c>
      <c r="BC167" s="140">
        <v>32242.714285714286</v>
      </c>
      <c r="BD167" s="140">
        <v>32242.714285714286</v>
      </c>
      <c r="BE167" s="140">
        <v>32242.714285714286</v>
      </c>
      <c r="BF167" s="140">
        <v>32242.714285714286</v>
      </c>
      <c r="BG167" s="140">
        <v>32242.714285714286</v>
      </c>
      <c r="BH167" s="140">
        <v>32242.714285714286</v>
      </c>
      <c r="BI167" s="140">
        <v>32242.714285714286</v>
      </c>
      <c r="BJ167" s="140">
        <v>32242.714285714286</v>
      </c>
      <c r="BK167" s="140">
        <v>32242.714285714286</v>
      </c>
      <c r="BL167" s="140">
        <v>32242.714285714286</v>
      </c>
      <c r="BM167" s="140">
        <v>32242.714285714286</v>
      </c>
      <c r="BN167" s="140">
        <v>32242.714285714286</v>
      </c>
      <c r="BO167" s="140">
        <v>32242.714285714286</v>
      </c>
      <c r="BP167" s="140"/>
      <c r="BQ167" s="140"/>
    </row>
    <row r="168" spans="3:69" s="22" customFormat="1" outlineLevel="2">
      <c r="C168" s="22" t="str">
        <v>Megahub</v>
      </c>
      <c r="D168" s="143">
        <f>_xlfn.XLOOKUP(C168,Assumptions!$F$9:$F$34,Assumptions!$H$9:$H$34)</f>
        <v>11546</v>
      </c>
      <c r="E168" s="67" t="s">
        <v>1233</v>
      </c>
      <c r="F168" s="29" t="s">
        <v>1234</v>
      </c>
      <c r="G168" s="153">
        <v>11546</v>
      </c>
      <c r="H168" s="140">
        <v>11546</v>
      </c>
      <c r="I168" s="140">
        <v>11546</v>
      </c>
      <c r="J168" s="140">
        <v>11546</v>
      </c>
      <c r="K168" s="140">
        <v>11546</v>
      </c>
      <c r="L168" s="140">
        <v>11546</v>
      </c>
      <c r="M168" s="140">
        <v>11546</v>
      </c>
      <c r="N168" s="140">
        <v>11546</v>
      </c>
      <c r="O168" s="140">
        <v>11546</v>
      </c>
      <c r="P168" s="140">
        <v>11546</v>
      </c>
      <c r="Q168" s="140">
        <v>11546</v>
      </c>
      <c r="R168" s="140">
        <v>11546</v>
      </c>
      <c r="S168" s="140">
        <v>11546</v>
      </c>
      <c r="T168" s="140">
        <v>5773</v>
      </c>
      <c r="U168" s="140">
        <v>5773</v>
      </c>
      <c r="V168" s="140">
        <v>5773</v>
      </c>
      <c r="W168" s="140">
        <v>5773</v>
      </c>
      <c r="X168" s="140">
        <v>5773</v>
      </c>
      <c r="Y168" s="140">
        <v>5773</v>
      </c>
      <c r="Z168" s="140">
        <v>5773</v>
      </c>
      <c r="AA168" s="140">
        <v>5773</v>
      </c>
      <c r="AB168" s="140">
        <v>5773</v>
      </c>
      <c r="AC168" s="140">
        <v>5773</v>
      </c>
      <c r="AD168" s="140">
        <v>5773</v>
      </c>
      <c r="AE168" s="140">
        <v>5773</v>
      </c>
      <c r="AF168" s="140">
        <v>5773</v>
      </c>
      <c r="AG168" s="140">
        <v>5773</v>
      </c>
      <c r="AH168" s="140">
        <v>5773</v>
      </c>
      <c r="AI168" s="140">
        <v>5773</v>
      </c>
      <c r="AJ168" s="140">
        <v>5773</v>
      </c>
      <c r="AK168" s="140">
        <v>5773</v>
      </c>
      <c r="AL168" s="140">
        <v>5773</v>
      </c>
      <c r="AM168" s="140">
        <v>5773</v>
      </c>
      <c r="AN168" s="140">
        <v>5773</v>
      </c>
      <c r="AO168" s="140">
        <v>5773</v>
      </c>
      <c r="AP168" s="140">
        <v>5773</v>
      </c>
      <c r="AQ168" s="140">
        <v>5773</v>
      </c>
      <c r="AR168" s="140">
        <v>5773</v>
      </c>
      <c r="AS168" s="140">
        <v>5773</v>
      </c>
      <c r="AT168" s="140">
        <v>3848.6666666666665</v>
      </c>
      <c r="AU168" s="140">
        <v>3848.6666666666665</v>
      </c>
      <c r="AV168" s="140">
        <v>3848.6666666666665</v>
      </c>
      <c r="AW168" s="140">
        <v>3848.6666666666665</v>
      </c>
      <c r="AX168" s="140">
        <v>3848.6666666666665</v>
      </c>
      <c r="AY168" s="140">
        <v>3848.6666666666665</v>
      </c>
      <c r="AZ168" s="140">
        <v>3848.6666666666665</v>
      </c>
      <c r="BA168" s="140">
        <v>3848.6666666666665</v>
      </c>
      <c r="BB168" s="140">
        <v>3848.6666666666665</v>
      </c>
      <c r="BC168" s="140">
        <v>3848.6666666666665</v>
      </c>
      <c r="BD168" s="140">
        <v>3848.6666666666665</v>
      </c>
      <c r="BE168" s="140">
        <v>3848.6666666666665</v>
      </c>
      <c r="BF168" s="140">
        <v>3848.6666666666665</v>
      </c>
      <c r="BG168" s="140">
        <v>3848.6666666666665</v>
      </c>
      <c r="BH168" s="140">
        <v>3848.6666666666665</v>
      </c>
      <c r="BI168" s="140">
        <v>3848.6666666666665</v>
      </c>
      <c r="BJ168" s="140">
        <v>3848.6666666666665</v>
      </c>
      <c r="BK168" s="140">
        <v>3848.6666666666665</v>
      </c>
      <c r="BL168" s="140">
        <v>3848.6666666666665</v>
      </c>
      <c r="BM168" s="140">
        <v>3848.6666666666665</v>
      </c>
      <c r="BN168" s="140">
        <v>3848.6666666666665</v>
      </c>
      <c r="BO168" s="140">
        <v>3848.6666666666665</v>
      </c>
      <c r="BP168" s="140"/>
      <c r="BQ168" s="140"/>
    </row>
    <row r="169" spans="3:69" s="22" customFormat="1" outlineLevel="2">
      <c r="C169" s="22" t="str">
        <v>Nodeline</v>
      </c>
      <c r="D169" s="143">
        <f>_xlfn.XLOOKUP(C169,Assumptions!$F$9:$F$34,Assumptions!$H$9:$H$34)</f>
        <v>357386</v>
      </c>
      <c r="E169" s="67" t="s">
        <v>1233</v>
      </c>
      <c r="F169" s="29" t="s">
        <v>1234</v>
      </c>
      <c r="G169" s="153">
        <v>51055.142857142855</v>
      </c>
      <c r="H169" s="140">
        <v>51055.142857142855</v>
      </c>
      <c r="I169" s="140">
        <v>51055.142857142855</v>
      </c>
      <c r="J169" s="140">
        <v>51055.142857142855</v>
      </c>
      <c r="K169" s="140">
        <v>51055.142857142855</v>
      </c>
      <c r="L169" s="140">
        <v>51055.142857142855</v>
      </c>
      <c r="M169" s="140">
        <v>51055.142857142855</v>
      </c>
      <c r="N169" s="140">
        <v>51055.142857142855</v>
      </c>
      <c r="O169" s="140">
        <v>51055.142857142855</v>
      </c>
      <c r="P169" s="140">
        <v>51055.142857142855</v>
      </c>
      <c r="Q169" s="140">
        <v>51055.142857142855</v>
      </c>
      <c r="R169" s="140">
        <v>51055.142857142855</v>
      </c>
      <c r="S169" s="140">
        <v>51055.142857142855</v>
      </c>
      <c r="T169" s="140">
        <v>51055.142857142855</v>
      </c>
      <c r="U169" s="140">
        <v>44673.25</v>
      </c>
      <c r="V169" s="140">
        <v>44673.25</v>
      </c>
      <c r="W169" s="140">
        <v>44673.25</v>
      </c>
      <c r="X169" s="140">
        <v>44673.25</v>
      </c>
      <c r="Y169" s="140">
        <v>44673.25</v>
      </c>
      <c r="Z169" s="140">
        <v>44673.25</v>
      </c>
      <c r="AA169" s="140">
        <v>44673.25</v>
      </c>
      <c r="AB169" s="140">
        <v>44673.25</v>
      </c>
      <c r="AC169" s="140">
        <v>44673.25</v>
      </c>
      <c r="AD169" s="140">
        <v>44673.25</v>
      </c>
      <c r="AE169" s="140">
        <v>44673.25</v>
      </c>
      <c r="AF169" s="140">
        <v>44673.25</v>
      </c>
      <c r="AG169" s="140">
        <v>44673.25</v>
      </c>
      <c r="AH169" s="140">
        <v>44673.25</v>
      </c>
      <c r="AI169" s="140">
        <v>44673.25</v>
      </c>
      <c r="AJ169" s="140">
        <v>44673.25</v>
      </c>
      <c r="AK169" s="140">
        <v>44673.25</v>
      </c>
      <c r="AL169" s="140">
        <v>44673.25</v>
      </c>
      <c r="AM169" s="140">
        <v>44673.25</v>
      </c>
      <c r="AN169" s="140">
        <v>44673.25</v>
      </c>
      <c r="AO169" s="140">
        <v>44673.25</v>
      </c>
      <c r="AP169" s="140">
        <v>44673.25</v>
      </c>
      <c r="AQ169" s="140">
        <v>44673.25</v>
      </c>
      <c r="AR169" s="140">
        <v>44673.25</v>
      </c>
      <c r="AS169" s="140">
        <v>44673.25</v>
      </c>
      <c r="AT169" s="140">
        <v>44673.25</v>
      </c>
      <c r="AU169" s="140">
        <v>39709.555555555555</v>
      </c>
      <c r="AV169" s="140">
        <v>39709.555555555555</v>
      </c>
      <c r="AW169" s="140">
        <v>39709.555555555555</v>
      </c>
      <c r="AX169" s="140">
        <v>39709.555555555555</v>
      </c>
      <c r="AY169" s="140">
        <v>39709.555555555555</v>
      </c>
      <c r="AZ169" s="140">
        <v>39709.555555555555</v>
      </c>
      <c r="BA169" s="140">
        <v>39709.555555555555</v>
      </c>
      <c r="BB169" s="140">
        <v>39709.555555555555</v>
      </c>
      <c r="BC169" s="140">
        <v>39709.555555555555</v>
      </c>
      <c r="BD169" s="140">
        <v>39709.555555555555</v>
      </c>
      <c r="BE169" s="140">
        <v>39709.555555555555</v>
      </c>
      <c r="BF169" s="140">
        <v>39709.555555555555</v>
      </c>
      <c r="BG169" s="140">
        <v>39709.555555555555</v>
      </c>
      <c r="BH169" s="140">
        <v>39709.555555555555</v>
      </c>
      <c r="BI169" s="140">
        <v>39709.555555555555</v>
      </c>
      <c r="BJ169" s="140">
        <v>39709.555555555555</v>
      </c>
      <c r="BK169" s="140">
        <v>39709.555555555555</v>
      </c>
      <c r="BL169" s="140">
        <v>39709.555555555555</v>
      </c>
      <c r="BM169" s="140">
        <v>39709.555555555555</v>
      </c>
      <c r="BN169" s="140">
        <v>39709.555555555555</v>
      </c>
      <c r="BO169" s="140">
        <v>39709.555555555555</v>
      </c>
      <c r="BP169" s="140"/>
      <c r="BQ169" s="140"/>
    </row>
    <row r="170" spans="3:69" s="22" customFormat="1" outlineLevel="2">
      <c r="C170" s="22" t="str">
        <v>Overclock Oasis</v>
      </c>
      <c r="D170" s="143">
        <f>_xlfn.XLOOKUP(C170,Assumptions!$F$9:$F$34,Assumptions!$H$9:$H$34)</f>
        <v>2864910</v>
      </c>
      <c r="E170" s="67" t="s">
        <v>1233</v>
      </c>
      <c r="F170" s="29" t="s">
        <v>1234</v>
      </c>
      <c r="G170" s="153">
        <v>56174.705882352944</v>
      </c>
      <c r="H170" s="140">
        <v>56174.705882352944</v>
      </c>
      <c r="I170" s="140">
        <v>56174.705882352944</v>
      </c>
      <c r="J170" s="140">
        <v>56174.705882352944</v>
      </c>
      <c r="K170" s="140">
        <v>56174.705882352944</v>
      </c>
      <c r="L170" s="140">
        <v>56174.705882352944</v>
      </c>
      <c r="M170" s="140">
        <v>56174.705882352944</v>
      </c>
      <c r="N170" s="140">
        <v>56174.705882352944</v>
      </c>
      <c r="O170" s="140">
        <v>56174.705882352944</v>
      </c>
      <c r="P170" s="140">
        <v>56174.705882352944</v>
      </c>
      <c r="Q170" s="140">
        <v>56174.705882352944</v>
      </c>
      <c r="R170" s="140">
        <v>56174.705882352944</v>
      </c>
      <c r="S170" s="140">
        <v>56174.705882352944</v>
      </c>
      <c r="T170" s="140">
        <v>56174.705882352944</v>
      </c>
      <c r="U170" s="140">
        <v>56174.705882352944</v>
      </c>
      <c r="V170" s="140">
        <v>55094.423076923078</v>
      </c>
      <c r="W170" s="140">
        <v>55094.423076923078</v>
      </c>
      <c r="X170" s="140">
        <v>55094.423076923078</v>
      </c>
      <c r="Y170" s="140">
        <v>55094.423076923078</v>
      </c>
      <c r="Z170" s="140">
        <v>55094.423076923078</v>
      </c>
      <c r="AA170" s="140">
        <v>55094.423076923078</v>
      </c>
      <c r="AB170" s="140">
        <v>55094.423076923078</v>
      </c>
      <c r="AC170" s="140">
        <v>55094.423076923078</v>
      </c>
      <c r="AD170" s="140">
        <v>55094.423076923078</v>
      </c>
      <c r="AE170" s="140">
        <v>55094.423076923078</v>
      </c>
      <c r="AF170" s="140">
        <v>55094.423076923078</v>
      </c>
      <c r="AG170" s="140">
        <v>55094.423076923078</v>
      </c>
      <c r="AH170" s="140">
        <v>55094.423076923078</v>
      </c>
      <c r="AI170" s="140">
        <v>55094.423076923078</v>
      </c>
      <c r="AJ170" s="140">
        <v>55094.423076923078</v>
      </c>
      <c r="AK170" s="140">
        <v>55094.423076923078</v>
      </c>
      <c r="AL170" s="140">
        <v>55094.423076923078</v>
      </c>
      <c r="AM170" s="140">
        <v>55094.423076923078</v>
      </c>
      <c r="AN170" s="140">
        <v>55094.423076923078</v>
      </c>
      <c r="AO170" s="140">
        <v>55094.423076923078</v>
      </c>
      <c r="AP170" s="140">
        <v>55094.423076923078</v>
      </c>
      <c r="AQ170" s="140">
        <v>55094.423076923078</v>
      </c>
      <c r="AR170" s="140">
        <v>55094.423076923078</v>
      </c>
      <c r="AS170" s="140">
        <v>55094.423076923078</v>
      </c>
      <c r="AT170" s="140">
        <v>55094.423076923078</v>
      </c>
      <c r="AU170" s="140">
        <v>55094.423076923078</v>
      </c>
      <c r="AV170" s="140">
        <v>54054.905660377357</v>
      </c>
      <c r="AW170" s="140">
        <v>54054.905660377357</v>
      </c>
      <c r="AX170" s="140">
        <v>54054.905660377357</v>
      </c>
      <c r="AY170" s="140">
        <v>54054.905660377357</v>
      </c>
      <c r="AZ170" s="140">
        <v>54054.905660377357</v>
      </c>
      <c r="BA170" s="140">
        <v>54054.905660377357</v>
      </c>
      <c r="BB170" s="140">
        <v>54054.905660377357</v>
      </c>
      <c r="BC170" s="140">
        <v>54054.905660377357</v>
      </c>
      <c r="BD170" s="140">
        <v>54054.905660377357</v>
      </c>
      <c r="BE170" s="140">
        <v>54054.905660377357</v>
      </c>
      <c r="BF170" s="140">
        <v>54054.905660377357</v>
      </c>
      <c r="BG170" s="140">
        <v>54054.905660377357</v>
      </c>
      <c r="BH170" s="140">
        <v>54054.905660377357</v>
      </c>
      <c r="BI170" s="140">
        <v>54054.905660377357</v>
      </c>
      <c r="BJ170" s="140">
        <v>54054.905660377357</v>
      </c>
      <c r="BK170" s="140">
        <v>54054.905660377357</v>
      </c>
      <c r="BL170" s="140">
        <v>54054.905660377357</v>
      </c>
      <c r="BM170" s="140">
        <v>54054.905660377357</v>
      </c>
      <c r="BN170" s="140">
        <v>54054.905660377357</v>
      </c>
      <c r="BO170" s="140">
        <v>54054.905660377357</v>
      </c>
      <c r="BP170" s="140"/>
      <c r="BQ170" s="140"/>
    </row>
    <row r="171" spans="3:69" s="22" customFormat="1" outlineLevel="2">
      <c r="C171" s="22" t="str">
        <v>Pingborough</v>
      </c>
      <c r="D171" s="143">
        <f>_xlfn.XLOOKUP(C171,Assumptions!$F$9:$F$34,Assumptions!$H$9:$H$34)</f>
        <v>46298</v>
      </c>
      <c r="E171" s="67" t="s">
        <v>1233</v>
      </c>
      <c r="F171" s="29" t="s">
        <v>1234</v>
      </c>
      <c r="G171" s="153">
        <v>15432.666666666666</v>
      </c>
      <c r="H171" s="140">
        <v>15432.666666666666</v>
      </c>
      <c r="I171" s="140">
        <v>15432.666666666666</v>
      </c>
      <c r="J171" s="140">
        <v>15432.666666666666</v>
      </c>
      <c r="K171" s="140">
        <v>15432.666666666666</v>
      </c>
      <c r="L171" s="140">
        <v>15432.666666666666</v>
      </c>
      <c r="M171" s="140">
        <v>15432.666666666666</v>
      </c>
      <c r="N171" s="140">
        <v>15432.666666666666</v>
      </c>
      <c r="O171" s="140">
        <v>15432.666666666666</v>
      </c>
      <c r="P171" s="140">
        <v>15432.666666666666</v>
      </c>
      <c r="Q171" s="140">
        <v>15432.666666666666</v>
      </c>
      <c r="R171" s="140">
        <v>15432.666666666666</v>
      </c>
      <c r="S171" s="140">
        <v>15432.666666666666</v>
      </c>
      <c r="T171" s="140">
        <v>15432.666666666666</v>
      </c>
      <c r="U171" s="140">
        <v>15432.666666666666</v>
      </c>
      <c r="V171" s="140">
        <v>15432.666666666666</v>
      </c>
      <c r="W171" s="140">
        <v>11574.5</v>
      </c>
      <c r="X171" s="140">
        <v>11574.5</v>
      </c>
      <c r="Y171" s="140">
        <v>11574.5</v>
      </c>
      <c r="Z171" s="140">
        <v>11574.5</v>
      </c>
      <c r="AA171" s="140">
        <v>11574.5</v>
      </c>
      <c r="AB171" s="140">
        <v>11574.5</v>
      </c>
      <c r="AC171" s="140">
        <v>11574.5</v>
      </c>
      <c r="AD171" s="140">
        <v>11574.5</v>
      </c>
      <c r="AE171" s="140">
        <v>11574.5</v>
      </c>
      <c r="AF171" s="140">
        <v>11574.5</v>
      </c>
      <c r="AG171" s="140">
        <v>11574.5</v>
      </c>
      <c r="AH171" s="140">
        <v>11574.5</v>
      </c>
      <c r="AI171" s="140">
        <v>11574.5</v>
      </c>
      <c r="AJ171" s="140">
        <v>11574.5</v>
      </c>
      <c r="AK171" s="140">
        <v>11574.5</v>
      </c>
      <c r="AL171" s="140">
        <v>11574.5</v>
      </c>
      <c r="AM171" s="140">
        <v>11574.5</v>
      </c>
      <c r="AN171" s="140">
        <v>11574.5</v>
      </c>
      <c r="AO171" s="140">
        <v>11574.5</v>
      </c>
      <c r="AP171" s="140">
        <v>11574.5</v>
      </c>
      <c r="AQ171" s="140">
        <v>11574.5</v>
      </c>
      <c r="AR171" s="140">
        <v>11574.5</v>
      </c>
      <c r="AS171" s="140">
        <v>11574.5</v>
      </c>
      <c r="AT171" s="140">
        <v>11574.5</v>
      </c>
      <c r="AU171" s="140">
        <v>11574.5</v>
      </c>
      <c r="AV171" s="140">
        <v>11574.5</v>
      </c>
      <c r="AW171" s="140">
        <v>9259.6</v>
      </c>
      <c r="AX171" s="140">
        <v>9259.6</v>
      </c>
      <c r="AY171" s="140">
        <v>9259.6</v>
      </c>
      <c r="AZ171" s="140">
        <v>9259.6</v>
      </c>
      <c r="BA171" s="140">
        <v>9259.6</v>
      </c>
      <c r="BB171" s="140">
        <v>9259.6</v>
      </c>
      <c r="BC171" s="140">
        <v>9259.6</v>
      </c>
      <c r="BD171" s="140">
        <v>9259.6</v>
      </c>
      <c r="BE171" s="140">
        <v>9259.6</v>
      </c>
      <c r="BF171" s="140">
        <v>9259.6</v>
      </c>
      <c r="BG171" s="140">
        <v>9259.6</v>
      </c>
      <c r="BH171" s="140">
        <v>9259.6</v>
      </c>
      <c r="BI171" s="140">
        <v>9259.6</v>
      </c>
      <c r="BJ171" s="140">
        <v>9259.6</v>
      </c>
      <c r="BK171" s="140">
        <v>9259.6</v>
      </c>
      <c r="BL171" s="140">
        <v>9259.6</v>
      </c>
      <c r="BM171" s="140">
        <v>9259.6</v>
      </c>
      <c r="BN171" s="140">
        <v>9259.6</v>
      </c>
      <c r="BO171" s="140">
        <v>9259.6</v>
      </c>
      <c r="BP171" s="140"/>
      <c r="BQ171" s="140"/>
    </row>
    <row r="172" spans="3:69" s="22" customFormat="1" outlineLevel="2">
      <c r="C172" s="22" t="str">
        <v>Quantum Quay</v>
      </c>
      <c r="D172" s="143">
        <f>_xlfn.XLOOKUP(C172,Assumptions!$F$9:$F$34,Assumptions!$H$9:$H$34)</f>
        <v>279623</v>
      </c>
      <c r="E172" s="67" t="s">
        <v>1233</v>
      </c>
      <c r="F172" s="29" t="s">
        <v>1234</v>
      </c>
      <c r="G172" s="153">
        <v>34952.875</v>
      </c>
      <c r="H172" s="140">
        <v>34952.875</v>
      </c>
      <c r="I172" s="140">
        <v>34952.875</v>
      </c>
      <c r="J172" s="140">
        <v>34952.875</v>
      </c>
      <c r="K172" s="140">
        <v>34952.875</v>
      </c>
      <c r="L172" s="140">
        <v>34952.875</v>
      </c>
      <c r="M172" s="140">
        <v>34952.875</v>
      </c>
      <c r="N172" s="140">
        <v>34952.875</v>
      </c>
      <c r="O172" s="140">
        <v>34952.875</v>
      </c>
      <c r="P172" s="140">
        <v>34952.875</v>
      </c>
      <c r="Q172" s="140">
        <v>34952.875</v>
      </c>
      <c r="R172" s="140">
        <v>34952.875</v>
      </c>
      <c r="S172" s="140">
        <v>34952.875</v>
      </c>
      <c r="T172" s="140">
        <v>34952.875</v>
      </c>
      <c r="U172" s="140">
        <v>34952.875</v>
      </c>
      <c r="V172" s="140">
        <v>34952.875</v>
      </c>
      <c r="W172" s="140">
        <v>34952.875</v>
      </c>
      <c r="X172" s="140">
        <v>31069.222222222223</v>
      </c>
      <c r="Y172" s="140">
        <v>31069.222222222223</v>
      </c>
      <c r="Z172" s="140">
        <v>31069.222222222223</v>
      </c>
      <c r="AA172" s="140">
        <v>31069.222222222223</v>
      </c>
      <c r="AB172" s="140">
        <v>31069.222222222223</v>
      </c>
      <c r="AC172" s="140">
        <v>31069.222222222223</v>
      </c>
      <c r="AD172" s="140">
        <v>31069.222222222223</v>
      </c>
      <c r="AE172" s="140">
        <v>31069.222222222223</v>
      </c>
      <c r="AF172" s="140">
        <v>31069.222222222223</v>
      </c>
      <c r="AG172" s="140">
        <v>31069.222222222223</v>
      </c>
      <c r="AH172" s="140">
        <v>31069.222222222223</v>
      </c>
      <c r="AI172" s="140">
        <v>31069.222222222223</v>
      </c>
      <c r="AJ172" s="140">
        <v>31069.222222222223</v>
      </c>
      <c r="AK172" s="140">
        <v>31069.222222222223</v>
      </c>
      <c r="AL172" s="140">
        <v>31069.222222222223</v>
      </c>
      <c r="AM172" s="140">
        <v>31069.222222222223</v>
      </c>
      <c r="AN172" s="140">
        <v>31069.222222222223</v>
      </c>
      <c r="AO172" s="140">
        <v>31069.222222222223</v>
      </c>
      <c r="AP172" s="140">
        <v>31069.222222222223</v>
      </c>
      <c r="AQ172" s="140">
        <v>31069.222222222223</v>
      </c>
      <c r="AR172" s="140">
        <v>31069.222222222223</v>
      </c>
      <c r="AS172" s="140">
        <v>31069.222222222223</v>
      </c>
      <c r="AT172" s="140">
        <v>31069.222222222223</v>
      </c>
      <c r="AU172" s="140">
        <v>31069.222222222223</v>
      </c>
      <c r="AV172" s="140">
        <v>31069.222222222223</v>
      </c>
      <c r="AW172" s="140">
        <v>31069.222222222223</v>
      </c>
      <c r="AX172" s="140">
        <v>27962.3</v>
      </c>
      <c r="AY172" s="140">
        <v>27962.3</v>
      </c>
      <c r="AZ172" s="140">
        <v>27962.3</v>
      </c>
      <c r="BA172" s="140">
        <v>27962.3</v>
      </c>
      <c r="BB172" s="140">
        <v>27962.3</v>
      </c>
      <c r="BC172" s="140">
        <v>27962.3</v>
      </c>
      <c r="BD172" s="140">
        <v>27962.3</v>
      </c>
      <c r="BE172" s="140">
        <v>27962.3</v>
      </c>
      <c r="BF172" s="140">
        <v>27962.3</v>
      </c>
      <c r="BG172" s="140">
        <v>27962.3</v>
      </c>
      <c r="BH172" s="140">
        <v>27962.3</v>
      </c>
      <c r="BI172" s="140">
        <v>27962.3</v>
      </c>
      <c r="BJ172" s="140">
        <v>27962.3</v>
      </c>
      <c r="BK172" s="140">
        <v>27962.3</v>
      </c>
      <c r="BL172" s="140">
        <v>27962.3</v>
      </c>
      <c r="BM172" s="140">
        <v>27962.3</v>
      </c>
      <c r="BN172" s="140">
        <v>27962.3</v>
      </c>
      <c r="BO172" s="140">
        <v>27962.3</v>
      </c>
      <c r="BP172" s="140"/>
      <c r="BQ172" s="140"/>
    </row>
    <row r="173" spans="3:69" s="22" customFormat="1" outlineLevel="2">
      <c r="C173" s="22" t="str">
        <v>Renderburg</v>
      </c>
      <c r="D173" s="145">
        <f>_xlfn.XLOOKUP(C173,Assumptions!$F$9:$F$34,Assumptions!$H$9:$H$34)</f>
        <v>4725450</v>
      </c>
      <c r="E173" s="67" t="s">
        <v>1233</v>
      </c>
      <c r="F173" s="29" t="s">
        <v>1234</v>
      </c>
      <c r="G173" s="153">
        <v>25269.786096256685</v>
      </c>
      <c r="H173" s="140">
        <v>25269.786096256685</v>
      </c>
      <c r="I173" s="140">
        <v>25269.786096256685</v>
      </c>
      <c r="J173" s="140">
        <v>25269.786096256685</v>
      </c>
      <c r="K173" s="140">
        <v>25269.786096256685</v>
      </c>
      <c r="L173" s="140">
        <v>25269.786096256685</v>
      </c>
      <c r="M173" s="140">
        <v>25269.786096256685</v>
      </c>
      <c r="N173" s="140">
        <v>25269.786096256685</v>
      </c>
      <c r="O173" s="140">
        <v>25269.786096256685</v>
      </c>
      <c r="P173" s="140">
        <v>25269.786096256685</v>
      </c>
      <c r="Q173" s="140">
        <v>25269.786096256685</v>
      </c>
      <c r="R173" s="140">
        <v>25269.786096256685</v>
      </c>
      <c r="S173" s="140">
        <v>25269.786096256685</v>
      </c>
      <c r="T173" s="140">
        <v>25269.786096256685</v>
      </c>
      <c r="U173" s="140">
        <v>25269.786096256685</v>
      </c>
      <c r="V173" s="140">
        <v>25269.786096256685</v>
      </c>
      <c r="W173" s="140">
        <v>25269.786096256685</v>
      </c>
      <c r="X173" s="140">
        <v>25269.786096256685</v>
      </c>
      <c r="Y173" s="140">
        <v>25135.372340425532</v>
      </c>
      <c r="Z173" s="140">
        <v>25135.372340425532</v>
      </c>
      <c r="AA173" s="140">
        <v>25135.372340425532</v>
      </c>
      <c r="AB173" s="140">
        <v>25135.372340425532</v>
      </c>
      <c r="AC173" s="140">
        <v>25135.372340425532</v>
      </c>
      <c r="AD173" s="140">
        <v>25135.372340425532</v>
      </c>
      <c r="AE173" s="140">
        <v>25135.372340425532</v>
      </c>
      <c r="AF173" s="140">
        <v>25135.372340425532</v>
      </c>
      <c r="AG173" s="140">
        <v>25135.372340425532</v>
      </c>
      <c r="AH173" s="140">
        <v>25135.372340425532</v>
      </c>
      <c r="AI173" s="140">
        <v>25135.372340425532</v>
      </c>
      <c r="AJ173" s="140">
        <v>25135.372340425532</v>
      </c>
      <c r="AK173" s="140">
        <v>25135.372340425532</v>
      </c>
      <c r="AL173" s="140">
        <v>25135.372340425532</v>
      </c>
      <c r="AM173" s="140">
        <v>25135.372340425532</v>
      </c>
      <c r="AN173" s="140">
        <v>25135.372340425532</v>
      </c>
      <c r="AO173" s="140">
        <v>25135.372340425532</v>
      </c>
      <c r="AP173" s="140">
        <v>25135.372340425532</v>
      </c>
      <c r="AQ173" s="140">
        <v>25135.372340425532</v>
      </c>
      <c r="AR173" s="140">
        <v>25135.372340425532</v>
      </c>
      <c r="AS173" s="140">
        <v>25135.372340425532</v>
      </c>
      <c r="AT173" s="140">
        <v>25135.372340425532</v>
      </c>
      <c r="AU173" s="140">
        <v>25135.372340425532</v>
      </c>
      <c r="AV173" s="140">
        <v>25135.372340425532</v>
      </c>
      <c r="AW173" s="140">
        <v>25135.372340425532</v>
      </c>
      <c r="AX173" s="140">
        <v>25135.372340425532</v>
      </c>
      <c r="AY173" s="140">
        <v>25002.380952380954</v>
      </c>
      <c r="AZ173" s="140">
        <v>25002.380952380954</v>
      </c>
      <c r="BA173" s="140">
        <v>25002.380952380954</v>
      </c>
      <c r="BB173" s="140">
        <v>25002.380952380954</v>
      </c>
      <c r="BC173" s="140">
        <v>25002.380952380954</v>
      </c>
      <c r="BD173" s="140">
        <v>25002.380952380954</v>
      </c>
      <c r="BE173" s="140">
        <v>25002.380952380954</v>
      </c>
      <c r="BF173" s="140">
        <v>25002.380952380954</v>
      </c>
      <c r="BG173" s="140">
        <v>25002.380952380954</v>
      </c>
      <c r="BH173" s="140">
        <v>25002.380952380954</v>
      </c>
      <c r="BI173" s="140">
        <v>25002.380952380954</v>
      </c>
      <c r="BJ173" s="140">
        <v>25002.380952380954</v>
      </c>
      <c r="BK173" s="140">
        <v>25002.380952380954</v>
      </c>
      <c r="BL173" s="140">
        <v>25002.380952380954</v>
      </c>
      <c r="BM173" s="140">
        <v>25002.380952380954</v>
      </c>
      <c r="BN173" s="140">
        <v>25002.380952380954</v>
      </c>
      <c r="BO173" s="140">
        <v>25002.380952380954</v>
      </c>
      <c r="BP173" s="140"/>
      <c r="BQ173" s="140"/>
    </row>
    <row r="174" spans="3:69" s="22" customFormat="1" outlineLevel="2">
      <c r="C174" s="22" t="str">
        <v>Socket Springs</v>
      </c>
      <c r="D174" s="143">
        <f>_xlfn.XLOOKUP(C174,Assumptions!$F$9:$F$34,Assumptions!$H$9:$H$34)</f>
        <v>7896730</v>
      </c>
      <c r="E174" s="67" t="s">
        <v>1233</v>
      </c>
      <c r="F174" s="29" t="s">
        <v>1234</v>
      </c>
      <c r="G174" s="153">
        <v>47004.345238095237</v>
      </c>
      <c r="H174" s="140">
        <v>47004.345238095237</v>
      </c>
      <c r="I174" s="140">
        <v>47004.345238095237</v>
      </c>
      <c r="J174" s="140">
        <v>47004.345238095237</v>
      </c>
      <c r="K174" s="140">
        <v>47004.345238095237</v>
      </c>
      <c r="L174" s="140">
        <v>47004.345238095237</v>
      </c>
      <c r="M174" s="140">
        <v>47004.345238095237</v>
      </c>
      <c r="N174" s="140">
        <v>47004.345238095237</v>
      </c>
      <c r="O174" s="140">
        <v>47004.345238095237</v>
      </c>
      <c r="P174" s="140">
        <v>47004.345238095237</v>
      </c>
      <c r="Q174" s="140">
        <v>47004.345238095237</v>
      </c>
      <c r="R174" s="140">
        <v>47004.345238095237</v>
      </c>
      <c r="S174" s="140">
        <v>47004.345238095237</v>
      </c>
      <c r="T174" s="140">
        <v>47004.345238095237</v>
      </c>
      <c r="U174" s="140">
        <v>47004.345238095237</v>
      </c>
      <c r="V174" s="140">
        <v>47004.345238095237</v>
      </c>
      <c r="W174" s="140">
        <v>47004.345238095237</v>
      </c>
      <c r="X174" s="140">
        <v>47004.345238095237</v>
      </c>
      <c r="Y174" s="140">
        <v>47004.345238095237</v>
      </c>
      <c r="Z174" s="140">
        <v>46726.213017751477</v>
      </c>
      <c r="AA174" s="140">
        <v>46726.213017751477</v>
      </c>
      <c r="AB174" s="140">
        <v>46726.213017751477</v>
      </c>
      <c r="AC174" s="140">
        <v>46726.213017751477</v>
      </c>
      <c r="AD174" s="140">
        <v>46726.213017751477</v>
      </c>
      <c r="AE174" s="140">
        <v>46726.213017751477</v>
      </c>
      <c r="AF174" s="140">
        <v>46726.213017751477</v>
      </c>
      <c r="AG174" s="140">
        <v>46726.213017751477</v>
      </c>
      <c r="AH174" s="140">
        <v>46726.213017751477</v>
      </c>
      <c r="AI174" s="140">
        <v>46726.213017751477</v>
      </c>
      <c r="AJ174" s="140">
        <v>46726.213017751477</v>
      </c>
      <c r="AK174" s="140">
        <v>46726.213017751477</v>
      </c>
      <c r="AL174" s="140">
        <v>46726.213017751477</v>
      </c>
      <c r="AM174" s="140">
        <v>46726.213017751477</v>
      </c>
      <c r="AN174" s="140">
        <v>46726.213017751477</v>
      </c>
      <c r="AO174" s="140">
        <v>46726.213017751477</v>
      </c>
      <c r="AP174" s="140">
        <v>46726.213017751477</v>
      </c>
      <c r="AQ174" s="140">
        <v>46726.213017751477</v>
      </c>
      <c r="AR174" s="140">
        <v>46726.213017751477</v>
      </c>
      <c r="AS174" s="140">
        <v>46726.213017751477</v>
      </c>
      <c r="AT174" s="140">
        <v>46726.213017751477</v>
      </c>
      <c r="AU174" s="140">
        <v>46726.213017751477</v>
      </c>
      <c r="AV174" s="140">
        <v>46726.213017751477</v>
      </c>
      <c r="AW174" s="140">
        <v>46726.213017751477</v>
      </c>
      <c r="AX174" s="140">
        <v>46726.213017751477</v>
      </c>
      <c r="AY174" s="140">
        <v>46726.213017751477</v>
      </c>
      <c r="AZ174" s="140">
        <v>46451.352941176468</v>
      </c>
      <c r="BA174" s="140">
        <v>46451.352941176468</v>
      </c>
      <c r="BB174" s="140">
        <v>46451.352941176468</v>
      </c>
      <c r="BC174" s="140">
        <v>46451.352941176468</v>
      </c>
      <c r="BD174" s="140">
        <v>46451.352941176468</v>
      </c>
      <c r="BE174" s="140">
        <v>46451.352941176468</v>
      </c>
      <c r="BF174" s="140">
        <v>46451.352941176468</v>
      </c>
      <c r="BG174" s="140">
        <v>46451.352941176468</v>
      </c>
      <c r="BH174" s="140">
        <v>46451.352941176468</v>
      </c>
      <c r="BI174" s="140">
        <v>46451.352941176468</v>
      </c>
      <c r="BJ174" s="140">
        <v>46451.352941176468</v>
      </c>
      <c r="BK174" s="140">
        <v>46451.352941176468</v>
      </c>
      <c r="BL174" s="140">
        <v>46451.352941176468</v>
      </c>
      <c r="BM174" s="140">
        <v>46451.352941176468</v>
      </c>
      <c r="BN174" s="140">
        <v>46451.352941176468</v>
      </c>
      <c r="BO174" s="140">
        <v>46451.352941176468</v>
      </c>
      <c r="BP174" s="140"/>
      <c r="BQ174" s="140"/>
    </row>
    <row r="175" spans="3:69" s="22" customFormat="1" outlineLevel="2">
      <c r="C175" s="22" t="str">
        <v>TerraTask</v>
      </c>
      <c r="D175" s="143">
        <f>_xlfn.XLOOKUP(C175,Assumptions!$F$9:$F$34,Assumptions!$H$9:$H$34)</f>
        <v>2383564</v>
      </c>
      <c r="E175" s="67" t="s">
        <v>1233</v>
      </c>
      <c r="F175" s="29" t="s">
        <v>1234</v>
      </c>
      <c r="G175" s="153">
        <v>43337.527272727275</v>
      </c>
      <c r="H175" s="140">
        <v>43337.527272727275</v>
      </c>
      <c r="I175" s="140">
        <v>43337.527272727275</v>
      </c>
      <c r="J175" s="140">
        <v>43337.527272727275</v>
      </c>
      <c r="K175" s="140">
        <v>43337.527272727275</v>
      </c>
      <c r="L175" s="140">
        <v>43337.527272727275</v>
      </c>
      <c r="M175" s="140">
        <v>43337.527272727275</v>
      </c>
      <c r="N175" s="140">
        <v>43337.527272727275</v>
      </c>
      <c r="O175" s="140">
        <v>43337.527272727275</v>
      </c>
      <c r="P175" s="140">
        <v>43337.527272727275</v>
      </c>
      <c r="Q175" s="140">
        <v>43337.527272727275</v>
      </c>
      <c r="R175" s="140">
        <v>43337.527272727275</v>
      </c>
      <c r="S175" s="140">
        <v>43337.527272727275</v>
      </c>
      <c r="T175" s="140">
        <v>43337.527272727275</v>
      </c>
      <c r="U175" s="140">
        <v>43337.527272727275</v>
      </c>
      <c r="V175" s="140">
        <v>43337.527272727275</v>
      </c>
      <c r="W175" s="140">
        <v>43337.527272727275</v>
      </c>
      <c r="X175" s="140">
        <v>43337.527272727275</v>
      </c>
      <c r="Y175" s="140">
        <v>43337.527272727275</v>
      </c>
      <c r="Z175" s="140">
        <v>43337.527272727275</v>
      </c>
      <c r="AA175" s="140">
        <v>42563.642857142855</v>
      </c>
      <c r="AB175" s="140">
        <v>42563.642857142855</v>
      </c>
      <c r="AC175" s="140">
        <v>42563.642857142855</v>
      </c>
      <c r="AD175" s="140">
        <v>42563.642857142855</v>
      </c>
      <c r="AE175" s="140">
        <v>42563.642857142855</v>
      </c>
      <c r="AF175" s="140">
        <v>42563.642857142855</v>
      </c>
      <c r="AG175" s="140">
        <v>42563.642857142855</v>
      </c>
      <c r="AH175" s="140">
        <v>42563.642857142855</v>
      </c>
      <c r="AI175" s="140">
        <v>42563.642857142855</v>
      </c>
      <c r="AJ175" s="140">
        <v>42563.642857142855</v>
      </c>
      <c r="AK175" s="140">
        <v>42563.642857142855</v>
      </c>
      <c r="AL175" s="140">
        <v>42563.642857142855</v>
      </c>
      <c r="AM175" s="140">
        <v>42563.642857142855</v>
      </c>
      <c r="AN175" s="140">
        <v>42563.642857142855</v>
      </c>
      <c r="AO175" s="140">
        <v>42563.642857142855</v>
      </c>
      <c r="AP175" s="140">
        <v>42563.642857142855</v>
      </c>
      <c r="AQ175" s="140">
        <v>42563.642857142855</v>
      </c>
      <c r="AR175" s="140">
        <v>42563.642857142855</v>
      </c>
      <c r="AS175" s="140">
        <v>42563.642857142855</v>
      </c>
      <c r="AT175" s="140">
        <v>42563.642857142855</v>
      </c>
      <c r="AU175" s="140">
        <v>42563.642857142855</v>
      </c>
      <c r="AV175" s="140">
        <v>42563.642857142855</v>
      </c>
      <c r="AW175" s="140">
        <v>42563.642857142855</v>
      </c>
      <c r="AX175" s="140">
        <v>42563.642857142855</v>
      </c>
      <c r="AY175" s="140">
        <v>42563.642857142855</v>
      </c>
      <c r="AZ175" s="140">
        <v>42563.642857142855</v>
      </c>
      <c r="BA175" s="140">
        <v>41816.912280701756</v>
      </c>
      <c r="BB175" s="140">
        <v>41816.912280701756</v>
      </c>
      <c r="BC175" s="140">
        <v>41816.912280701756</v>
      </c>
      <c r="BD175" s="140">
        <v>41816.912280701756</v>
      </c>
      <c r="BE175" s="140">
        <v>41816.912280701756</v>
      </c>
      <c r="BF175" s="140">
        <v>41816.912280701756</v>
      </c>
      <c r="BG175" s="140">
        <v>41816.912280701756</v>
      </c>
      <c r="BH175" s="140">
        <v>41816.912280701756</v>
      </c>
      <c r="BI175" s="140">
        <v>41816.912280701756</v>
      </c>
      <c r="BJ175" s="140">
        <v>41816.912280701756</v>
      </c>
      <c r="BK175" s="140">
        <v>41816.912280701756</v>
      </c>
      <c r="BL175" s="140">
        <v>41816.912280701756</v>
      </c>
      <c r="BM175" s="140">
        <v>41816.912280701756</v>
      </c>
      <c r="BN175" s="140">
        <v>41816.912280701756</v>
      </c>
      <c r="BO175" s="140">
        <v>41816.912280701756</v>
      </c>
      <c r="BP175" s="140"/>
      <c r="BQ175" s="140"/>
    </row>
    <row r="176" spans="3:69" s="22" customFormat="1" outlineLevel="2">
      <c r="C176" s="22" t="str">
        <v>Uploadia</v>
      </c>
      <c r="D176" s="143">
        <f>_xlfn.XLOOKUP(C176,Assumptions!$F$9:$F$34,Assumptions!$H$9:$H$34)</f>
        <v>12705</v>
      </c>
      <c r="E176" s="67" t="s">
        <v>1233</v>
      </c>
      <c r="F176" s="29" t="s">
        <v>1234</v>
      </c>
      <c r="G176" s="153">
        <v>12705</v>
      </c>
      <c r="H176" s="140">
        <v>12705</v>
      </c>
      <c r="I176" s="140">
        <v>12705</v>
      </c>
      <c r="J176" s="140">
        <v>12705</v>
      </c>
      <c r="K176" s="140">
        <v>12705</v>
      </c>
      <c r="L176" s="140">
        <v>12705</v>
      </c>
      <c r="M176" s="140">
        <v>12705</v>
      </c>
      <c r="N176" s="140">
        <v>12705</v>
      </c>
      <c r="O176" s="140">
        <v>12705</v>
      </c>
      <c r="P176" s="140">
        <v>12705</v>
      </c>
      <c r="Q176" s="140">
        <v>12705</v>
      </c>
      <c r="R176" s="140">
        <v>12705</v>
      </c>
      <c r="S176" s="140">
        <v>12705</v>
      </c>
      <c r="T176" s="140">
        <v>12705</v>
      </c>
      <c r="U176" s="140">
        <v>12705</v>
      </c>
      <c r="V176" s="140">
        <v>12705</v>
      </c>
      <c r="W176" s="140">
        <v>12705</v>
      </c>
      <c r="X176" s="140">
        <v>12705</v>
      </c>
      <c r="Y176" s="140">
        <v>12705</v>
      </c>
      <c r="Z176" s="140">
        <v>12705</v>
      </c>
      <c r="AA176" s="140">
        <v>12705</v>
      </c>
      <c r="AB176" s="140">
        <v>6352.5</v>
      </c>
      <c r="AC176" s="140">
        <v>6352.5</v>
      </c>
      <c r="AD176" s="140">
        <v>6352.5</v>
      </c>
      <c r="AE176" s="140">
        <v>6352.5</v>
      </c>
      <c r="AF176" s="140">
        <v>6352.5</v>
      </c>
      <c r="AG176" s="140">
        <v>6352.5</v>
      </c>
      <c r="AH176" s="140">
        <v>6352.5</v>
      </c>
      <c r="AI176" s="140">
        <v>6352.5</v>
      </c>
      <c r="AJ176" s="140">
        <v>6352.5</v>
      </c>
      <c r="AK176" s="140">
        <v>6352.5</v>
      </c>
      <c r="AL176" s="140">
        <v>6352.5</v>
      </c>
      <c r="AM176" s="140">
        <v>6352.5</v>
      </c>
      <c r="AN176" s="140">
        <v>6352.5</v>
      </c>
      <c r="AO176" s="140">
        <v>6352.5</v>
      </c>
      <c r="AP176" s="140">
        <v>6352.5</v>
      </c>
      <c r="AQ176" s="140">
        <v>6352.5</v>
      </c>
      <c r="AR176" s="140">
        <v>6352.5</v>
      </c>
      <c r="AS176" s="140">
        <v>6352.5</v>
      </c>
      <c r="AT176" s="140">
        <v>6352.5</v>
      </c>
      <c r="AU176" s="140">
        <v>6352.5</v>
      </c>
      <c r="AV176" s="140">
        <v>6352.5</v>
      </c>
      <c r="AW176" s="140">
        <v>6352.5</v>
      </c>
      <c r="AX176" s="140">
        <v>6352.5</v>
      </c>
      <c r="AY176" s="140">
        <v>6352.5</v>
      </c>
      <c r="AZ176" s="140">
        <v>6352.5</v>
      </c>
      <c r="BA176" s="140">
        <v>6352.5</v>
      </c>
      <c r="BB176" s="140">
        <v>4235</v>
      </c>
      <c r="BC176" s="140">
        <v>4235</v>
      </c>
      <c r="BD176" s="140">
        <v>4235</v>
      </c>
      <c r="BE176" s="140">
        <v>4235</v>
      </c>
      <c r="BF176" s="140">
        <v>4235</v>
      </c>
      <c r="BG176" s="140">
        <v>4235</v>
      </c>
      <c r="BH176" s="140">
        <v>4235</v>
      </c>
      <c r="BI176" s="140">
        <v>4235</v>
      </c>
      <c r="BJ176" s="140">
        <v>4235</v>
      </c>
      <c r="BK176" s="140">
        <v>4235</v>
      </c>
      <c r="BL176" s="140">
        <v>4235</v>
      </c>
      <c r="BM176" s="140">
        <v>4235</v>
      </c>
      <c r="BN176" s="140">
        <v>4235</v>
      </c>
      <c r="BO176" s="140">
        <v>4235</v>
      </c>
      <c r="BP176" s="140"/>
      <c r="BQ176" s="140"/>
    </row>
    <row r="177" spans="2:69" s="22" customFormat="1" outlineLevel="2">
      <c r="C177" s="22" t="str">
        <v>Vector Valley</v>
      </c>
      <c r="D177" s="143">
        <f>_xlfn.XLOOKUP(C177,Assumptions!$F$9:$F$34,Assumptions!$H$9:$H$34)</f>
        <v>558221</v>
      </c>
      <c r="E177" s="67" t="s">
        <v>1233</v>
      </c>
      <c r="F177" s="29" t="s">
        <v>1234</v>
      </c>
      <c r="G177" s="153">
        <v>21470.038461538461</v>
      </c>
      <c r="H177" s="140">
        <v>21470.038461538461</v>
      </c>
      <c r="I177" s="140">
        <v>21470.038461538461</v>
      </c>
      <c r="J177" s="140">
        <v>21470.038461538461</v>
      </c>
      <c r="K177" s="140">
        <v>21470.038461538461</v>
      </c>
      <c r="L177" s="140">
        <v>21470.038461538461</v>
      </c>
      <c r="M177" s="140">
        <v>21470.038461538461</v>
      </c>
      <c r="N177" s="140">
        <v>21470.038461538461</v>
      </c>
      <c r="O177" s="140">
        <v>21470.038461538461</v>
      </c>
      <c r="P177" s="140">
        <v>21470.038461538461</v>
      </c>
      <c r="Q177" s="140">
        <v>21470.038461538461</v>
      </c>
      <c r="R177" s="140">
        <v>21470.038461538461</v>
      </c>
      <c r="S177" s="140">
        <v>21470.038461538461</v>
      </c>
      <c r="T177" s="140">
        <v>21470.038461538461</v>
      </c>
      <c r="U177" s="140">
        <v>21470.038461538461</v>
      </c>
      <c r="V177" s="140">
        <v>21470.038461538461</v>
      </c>
      <c r="W177" s="140">
        <v>21470.038461538461</v>
      </c>
      <c r="X177" s="140">
        <v>21470.038461538461</v>
      </c>
      <c r="Y177" s="140">
        <v>21470.038461538461</v>
      </c>
      <c r="Z177" s="140">
        <v>21470.038461538461</v>
      </c>
      <c r="AA177" s="140">
        <v>21470.038461538461</v>
      </c>
      <c r="AB177" s="140">
        <v>21470.038461538461</v>
      </c>
      <c r="AC177" s="140">
        <v>20674.85185185185</v>
      </c>
      <c r="AD177" s="140">
        <v>20674.85185185185</v>
      </c>
      <c r="AE177" s="140">
        <v>20674.85185185185</v>
      </c>
      <c r="AF177" s="140">
        <v>20674.85185185185</v>
      </c>
      <c r="AG177" s="140">
        <v>20674.85185185185</v>
      </c>
      <c r="AH177" s="140">
        <v>20674.85185185185</v>
      </c>
      <c r="AI177" s="140">
        <v>20674.85185185185</v>
      </c>
      <c r="AJ177" s="140">
        <v>20674.85185185185</v>
      </c>
      <c r="AK177" s="140">
        <v>20674.85185185185</v>
      </c>
      <c r="AL177" s="140">
        <v>20674.85185185185</v>
      </c>
      <c r="AM177" s="140">
        <v>20674.85185185185</v>
      </c>
      <c r="AN177" s="140">
        <v>20674.85185185185</v>
      </c>
      <c r="AO177" s="140">
        <v>20674.85185185185</v>
      </c>
      <c r="AP177" s="140">
        <v>20674.85185185185</v>
      </c>
      <c r="AQ177" s="140">
        <v>20674.85185185185</v>
      </c>
      <c r="AR177" s="140">
        <v>20674.85185185185</v>
      </c>
      <c r="AS177" s="140">
        <v>20674.85185185185</v>
      </c>
      <c r="AT177" s="140">
        <v>20674.85185185185</v>
      </c>
      <c r="AU177" s="140">
        <v>20674.85185185185</v>
      </c>
      <c r="AV177" s="140">
        <v>20674.85185185185</v>
      </c>
      <c r="AW177" s="140">
        <v>20674.85185185185</v>
      </c>
      <c r="AX177" s="140">
        <v>20674.85185185185</v>
      </c>
      <c r="AY177" s="140">
        <v>20674.85185185185</v>
      </c>
      <c r="AZ177" s="140">
        <v>20674.85185185185</v>
      </c>
      <c r="BA177" s="140">
        <v>20674.85185185185</v>
      </c>
      <c r="BB177" s="140">
        <v>20674.85185185185</v>
      </c>
      <c r="BC177" s="140">
        <v>19936.464285714286</v>
      </c>
      <c r="BD177" s="140">
        <v>19936.464285714286</v>
      </c>
      <c r="BE177" s="140">
        <v>19936.464285714286</v>
      </c>
      <c r="BF177" s="140">
        <v>19936.464285714286</v>
      </c>
      <c r="BG177" s="140">
        <v>19936.464285714286</v>
      </c>
      <c r="BH177" s="140">
        <v>19936.464285714286</v>
      </c>
      <c r="BI177" s="140">
        <v>19936.464285714286</v>
      </c>
      <c r="BJ177" s="140">
        <v>19936.464285714286</v>
      </c>
      <c r="BK177" s="140">
        <v>19936.464285714286</v>
      </c>
      <c r="BL177" s="140">
        <v>19936.464285714286</v>
      </c>
      <c r="BM177" s="140">
        <v>19936.464285714286</v>
      </c>
      <c r="BN177" s="140">
        <v>19936.464285714286</v>
      </c>
      <c r="BO177" s="140">
        <v>19936.464285714286</v>
      </c>
      <c r="BP177" s="140"/>
      <c r="BQ177" s="140"/>
    </row>
    <row r="178" spans="2:69" s="22" customFormat="1" outlineLevel="2">
      <c r="C178" s="22" t="str">
        <v>Wiredown</v>
      </c>
      <c r="D178" s="143">
        <f>_xlfn.XLOOKUP(C178,Assumptions!$F$9:$F$34,Assumptions!$H$9:$H$34)</f>
        <v>351937</v>
      </c>
      <c r="E178" s="67" t="s">
        <v>1233</v>
      </c>
      <c r="F178" s="29" t="s">
        <v>1234</v>
      </c>
      <c r="G178" s="153">
        <v>50276.714285714283</v>
      </c>
      <c r="H178" s="140">
        <v>50276.714285714283</v>
      </c>
      <c r="I178" s="140">
        <v>50276.714285714283</v>
      </c>
      <c r="J178" s="140">
        <v>50276.714285714283</v>
      </c>
      <c r="K178" s="140">
        <v>50276.714285714283</v>
      </c>
      <c r="L178" s="140">
        <v>50276.714285714283</v>
      </c>
      <c r="M178" s="140">
        <v>50276.714285714283</v>
      </c>
      <c r="N178" s="140">
        <v>50276.714285714283</v>
      </c>
      <c r="O178" s="140">
        <v>50276.714285714283</v>
      </c>
      <c r="P178" s="140">
        <v>50276.714285714283</v>
      </c>
      <c r="Q178" s="140">
        <v>50276.714285714283</v>
      </c>
      <c r="R178" s="140">
        <v>50276.714285714283</v>
      </c>
      <c r="S178" s="140">
        <v>50276.714285714283</v>
      </c>
      <c r="T178" s="140">
        <v>50276.714285714283</v>
      </c>
      <c r="U178" s="140">
        <v>50276.714285714283</v>
      </c>
      <c r="V178" s="140">
        <v>50276.714285714283</v>
      </c>
      <c r="W178" s="140">
        <v>50276.714285714283</v>
      </c>
      <c r="X178" s="140">
        <v>50276.714285714283</v>
      </c>
      <c r="Y178" s="140">
        <v>50276.714285714283</v>
      </c>
      <c r="Z178" s="140">
        <v>50276.714285714283</v>
      </c>
      <c r="AA178" s="140">
        <v>50276.714285714283</v>
      </c>
      <c r="AB178" s="140">
        <v>50276.714285714283</v>
      </c>
      <c r="AC178" s="140">
        <v>50276.714285714283</v>
      </c>
      <c r="AD178" s="140">
        <v>43992.125</v>
      </c>
      <c r="AE178" s="140">
        <v>43992.125</v>
      </c>
      <c r="AF178" s="140">
        <v>43992.125</v>
      </c>
      <c r="AG178" s="140">
        <v>43992.125</v>
      </c>
      <c r="AH178" s="140">
        <v>43992.125</v>
      </c>
      <c r="AI178" s="140">
        <v>43992.125</v>
      </c>
      <c r="AJ178" s="140">
        <v>43992.125</v>
      </c>
      <c r="AK178" s="140">
        <v>43992.125</v>
      </c>
      <c r="AL178" s="140">
        <v>43992.125</v>
      </c>
      <c r="AM178" s="140">
        <v>43992.125</v>
      </c>
      <c r="AN178" s="140">
        <v>43992.125</v>
      </c>
      <c r="AO178" s="140">
        <v>43992.125</v>
      </c>
      <c r="AP178" s="140">
        <v>43992.125</v>
      </c>
      <c r="AQ178" s="140">
        <v>43992.125</v>
      </c>
      <c r="AR178" s="140">
        <v>43992.125</v>
      </c>
      <c r="AS178" s="140">
        <v>43992.125</v>
      </c>
      <c r="AT178" s="140">
        <v>43992.125</v>
      </c>
      <c r="AU178" s="140">
        <v>43992.125</v>
      </c>
      <c r="AV178" s="140">
        <v>43992.125</v>
      </c>
      <c r="AW178" s="140">
        <v>43992.125</v>
      </c>
      <c r="AX178" s="140">
        <v>43992.125</v>
      </c>
      <c r="AY178" s="140">
        <v>43992.125</v>
      </c>
      <c r="AZ178" s="140">
        <v>43992.125</v>
      </c>
      <c r="BA178" s="140">
        <v>43992.125</v>
      </c>
      <c r="BB178" s="140">
        <v>43992.125</v>
      </c>
      <c r="BC178" s="140">
        <v>43992.125</v>
      </c>
      <c r="BD178" s="140">
        <v>39104.111111111109</v>
      </c>
      <c r="BE178" s="140">
        <v>39104.111111111109</v>
      </c>
      <c r="BF178" s="140">
        <v>39104.111111111109</v>
      </c>
      <c r="BG178" s="140">
        <v>39104.111111111109</v>
      </c>
      <c r="BH178" s="140">
        <v>39104.111111111109</v>
      </c>
      <c r="BI178" s="140">
        <v>39104.111111111109</v>
      </c>
      <c r="BJ178" s="140">
        <v>39104.111111111109</v>
      </c>
      <c r="BK178" s="140">
        <v>39104.111111111109</v>
      </c>
      <c r="BL178" s="140">
        <v>39104.111111111109</v>
      </c>
      <c r="BM178" s="140">
        <v>39104.111111111109</v>
      </c>
      <c r="BN178" s="140">
        <v>39104.111111111109</v>
      </c>
      <c r="BO178" s="140">
        <v>39104.111111111109</v>
      </c>
      <c r="BP178" s="140"/>
      <c r="BQ178" s="140"/>
    </row>
    <row r="179" spans="2:69" s="22" customFormat="1" outlineLevel="2">
      <c r="C179" s="22" t="str">
        <v>Xenocode City</v>
      </c>
      <c r="D179" s="145">
        <f>_xlfn.XLOOKUP(C179,Assumptions!$F$9:$F$34,Assumptions!$H$9:$H$34)</f>
        <v>41805</v>
      </c>
      <c r="E179" s="67" t="s">
        <v>1233</v>
      </c>
      <c r="F179" s="29" t="s">
        <v>1234</v>
      </c>
      <c r="G179" s="153">
        <v>10451.25</v>
      </c>
      <c r="H179" s="140">
        <v>10451.25</v>
      </c>
      <c r="I179" s="140">
        <v>10451.25</v>
      </c>
      <c r="J179" s="140">
        <v>10451.25</v>
      </c>
      <c r="K179" s="140">
        <v>10451.25</v>
      </c>
      <c r="L179" s="140">
        <v>10451.25</v>
      </c>
      <c r="M179" s="140">
        <v>10451.25</v>
      </c>
      <c r="N179" s="140">
        <v>10451.25</v>
      </c>
      <c r="O179" s="140">
        <v>10451.25</v>
      </c>
      <c r="P179" s="140">
        <v>10451.25</v>
      </c>
      <c r="Q179" s="140">
        <v>10451.25</v>
      </c>
      <c r="R179" s="140">
        <v>10451.25</v>
      </c>
      <c r="S179" s="140">
        <v>10451.25</v>
      </c>
      <c r="T179" s="140">
        <v>10451.25</v>
      </c>
      <c r="U179" s="140">
        <v>10451.25</v>
      </c>
      <c r="V179" s="140">
        <v>10451.25</v>
      </c>
      <c r="W179" s="140">
        <v>10451.25</v>
      </c>
      <c r="X179" s="140">
        <v>10451.25</v>
      </c>
      <c r="Y179" s="140">
        <v>10451.25</v>
      </c>
      <c r="Z179" s="140">
        <v>10451.25</v>
      </c>
      <c r="AA179" s="140">
        <v>10451.25</v>
      </c>
      <c r="AB179" s="140">
        <v>10451.25</v>
      </c>
      <c r="AC179" s="140">
        <v>10451.25</v>
      </c>
      <c r="AD179" s="140">
        <v>10451.25</v>
      </c>
      <c r="AE179" s="140">
        <v>8361</v>
      </c>
      <c r="AF179" s="140">
        <v>8361</v>
      </c>
      <c r="AG179" s="140">
        <v>8361</v>
      </c>
      <c r="AH179" s="140">
        <v>8361</v>
      </c>
      <c r="AI179" s="140">
        <v>8361</v>
      </c>
      <c r="AJ179" s="140">
        <v>8361</v>
      </c>
      <c r="AK179" s="140">
        <v>8361</v>
      </c>
      <c r="AL179" s="140">
        <v>8361</v>
      </c>
      <c r="AM179" s="140">
        <v>8361</v>
      </c>
      <c r="AN179" s="140">
        <v>8361</v>
      </c>
      <c r="AO179" s="140">
        <v>8361</v>
      </c>
      <c r="AP179" s="140">
        <v>8361</v>
      </c>
      <c r="AQ179" s="140">
        <v>8361</v>
      </c>
      <c r="AR179" s="140">
        <v>8361</v>
      </c>
      <c r="AS179" s="140">
        <v>8361</v>
      </c>
      <c r="AT179" s="140">
        <v>8361</v>
      </c>
      <c r="AU179" s="140">
        <v>8361</v>
      </c>
      <c r="AV179" s="140">
        <v>8361</v>
      </c>
      <c r="AW179" s="140">
        <v>8361</v>
      </c>
      <c r="AX179" s="140">
        <v>8361</v>
      </c>
      <c r="AY179" s="140">
        <v>8361</v>
      </c>
      <c r="AZ179" s="140">
        <v>8361</v>
      </c>
      <c r="BA179" s="140">
        <v>8361</v>
      </c>
      <c r="BB179" s="140">
        <v>8361</v>
      </c>
      <c r="BC179" s="140">
        <v>8361</v>
      </c>
      <c r="BD179" s="140">
        <v>8361</v>
      </c>
      <c r="BE179" s="140">
        <v>6967.5</v>
      </c>
      <c r="BF179" s="140">
        <v>6967.5</v>
      </c>
      <c r="BG179" s="140">
        <v>6967.5</v>
      </c>
      <c r="BH179" s="140">
        <v>6967.5</v>
      </c>
      <c r="BI179" s="140">
        <v>6967.5</v>
      </c>
      <c r="BJ179" s="140">
        <v>6967.5</v>
      </c>
      <c r="BK179" s="140">
        <v>6967.5</v>
      </c>
      <c r="BL179" s="140">
        <v>6967.5</v>
      </c>
      <c r="BM179" s="140">
        <v>6967.5</v>
      </c>
      <c r="BN179" s="140">
        <v>6967.5</v>
      </c>
      <c r="BO179" s="140">
        <v>6967.5</v>
      </c>
      <c r="BP179" s="140"/>
      <c r="BQ179" s="140"/>
    </row>
    <row r="180" spans="2:69" s="22" customFormat="1" outlineLevel="2">
      <c r="C180" s="22" t="str">
        <v>Yieldville</v>
      </c>
      <c r="D180" s="143">
        <f>_xlfn.XLOOKUP(C180,Assumptions!$F$9:$F$34,Assumptions!$H$9:$H$34)</f>
        <v>68307</v>
      </c>
      <c r="E180" s="67" t="s">
        <v>1233</v>
      </c>
      <c r="F180" s="29" t="s">
        <v>1234</v>
      </c>
      <c r="G180" s="153">
        <v>22769</v>
      </c>
      <c r="H180" s="140">
        <v>22769</v>
      </c>
      <c r="I180" s="140">
        <v>22769</v>
      </c>
      <c r="J180" s="140">
        <v>22769</v>
      </c>
      <c r="K180" s="140">
        <v>22769</v>
      </c>
      <c r="L180" s="140">
        <v>22769</v>
      </c>
      <c r="M180" s="140">
        <v>22769</v>
      </c>
      <c r="N180" s="140">
        <v>22769</v>
      </c>
      <c r="O180" s="140">
        <v>22769</v>
      </c>
      <c r="P180" s="140">
        <v>22769</v>
      </c>
      <c r="Q180" s="140">
        <v>22769</v>
      </c>
      <c r="R180" s="140">
        <v>22769</v>
      </c>
      <c r="S180" s="140">
        <v>22769</v>
      </c>
      <c r="T180" s="140">
        <v>22769</v>
      </c>
      <c r="U180" s="140">
        <v>22769</v>
      </c>
      <c r="V180" s="140">
        <v>22769</v>
      </c>
      <c r="W180" s="140">
        <v>22769</v>
      </c>
      <c r="X180" s="140">
        <v>22769</v>
      </c>
      <c r="Y180" s="140">
        <v>22769</v>
      </c>
      <c r="Z180" s="140">
        <v>22769</v>
      </c>
      <c r="AA180" s="140">
        <v>22769</v>
      </c>
      <c r="AB180" s="140">
        <v>22769</v>
      </c>
      <c r="AC180" s="140">
        <v>22769</v>
      </c>
      <c r="AD180" s="140">
        <v>22769</v>
      </c>
      <c r="AE180" s="140">
        <v>22769</v>
      </c>
      <c r="AF180" s="140">
        <v>17076.75</v>
      </c>
      <c r="AG180" s="140">
        <v>17076.75</v>
      </c>
      <c r="AH180" s="140">
        <v>17076.75</v>
      </c>
      <c r="AI180" s="140">
        <v>17076.75</v>
      </c>
      <c r="AJ180" s="140">
        <v>17076.75</v>
      </c>
      <c r="AK180" s="140">
        <v>17076.75</v>
      </c>
      <c r="AL180" s="140">
        <v>17076.75</v>
      </c>
      <c r="AM180" s="140">
        <v>17076.75</v>
      </c>
      <c r="AN180" s="140">
        <v>17076.75</v>
      </c>
      <c r="AO180" s="140">
        <v>17076.75</v>
      </c>
      <c r="AP180" s="140">
        <v>17076.75</v>
      </c>
      <c r="AQ180" s="140">
        <v>17076.75</v>
      </c>
      <c r="AR180" s="140">
        <v>17076.75</v>
      </c>
      <c r="AS180" s="140">
        <v>17076.75</v>
      </c>
      <c r="AT180" s="140">
        <v>17076.75</v>
      </c>
      <c r="AU180" s="140">
        <v>17076.75</v>
      </c>
      <c r="AV180" s="140">
        <v>17076.75</v>
      </c>
      <c r="AW180" s="140">
        <v>17076.75</v>
      </c>
      <c r="AX180" s="140">
        <v>17076.75</v>
      </c>
      <c r="AY180" s="140">
        <v>17076.75</v>
      </c>
      <c r="AZ180" s="140">
        <v>17076.75</v>
      </c>
      <c r="BA180" s="140">
        <v>17076.75</v>
      </c>
      <c r="BB180" s="140">
        <v>17076.75</v>
      </c>
      <c r="BC180" s="140">
        <v>17076.75</v>
      </c>
      <c r="BD180" s="140">
        <v>17076.75</v>
      </c>
      <c r="BE180" s="140">
        <v>17076.75</v>
      </c>
      <c r="BF180" s="140">
        <v>13661.4</v>
      </c>
      <c r="BG180" s="140">
        <v>13661.4</v>
      </c>
      <c r="BH180" s="140">
        <v>13661.4</v>
      </c>
      <c r="BI180" s="140">
        <v>13661.4</v>
      </c>
      <c r="BJ180" s="140">
        <v>13661.4</v>
      </c>
      <c r="BK180" s="140">
        <v>13661.4</v>
      </c>
      <c r="BL180" s="140">
        <v>13661.4</v>
      </c>
      <c r="BM180" s="140">
        <v>13661.4</v>
      </c>
      <c r="BN180" s="140">
        <v>13661.4</v>
      </c>
      <c r="BO180" s="140">
        <v>13661.4</v>
      </c>
      <c r="BP180" s="140"/>
      <c r="BQ180" s="140"/>
    </row>
    <row r="181" spans="2:69" s="22" customFormat="1" outlineLevel="2">
      <c r="C181" s="22" t="str">
        <v>ZeroDay Zone</v>
      </c>
      <c r="D181" s="144">
        <f>_xlfn.XLOOKUP(C181,Assumptions!$F$9:$F$34,Assumptions!$H$9:$H$34)</f>
        <v>60150</v>
      </c>
      <c r="E181" s="68" t="s">
        <v>1233</v>
      </c>
      <c r="F181" s="29" t="s">
        <v>1234</v>
      </c>
      <c r="G181" s="153">
        <v>60150</v>
      </c>
      <c r="H181" s="140">
        <v>60150</v>
      </c>
      <c r="I181" s="140">
        <v>60150</v>
      </c>
      <c r="J181" s="140">
        <v>60150</v>
      </c>
      <c r="K181" s="140">
        <v>60150</v>
      </c>
      <c r="L181" s="140">
        <v>60150</v>
      </c>
      <c r="M181" s="140">
        <v>60150</v>
      </c>
      <c r="N181" s="140">
        <v>60150</v>
      </c>
      <c r="O181" s="140">
        <v>60150</v>
      </c>
      <c r="P181" s="140">
        <v>60150</v>
      </c>
      <c r="Q181" s="140">
        <v>60150</v>
      </c>
      <c r="R181" s="140">
        <v>60150</v>
      </c>
      <c r="S181" s="140">
        <v>60150</v>
      </c>
      <c r="T181" s="140">
        <v>60150</v>
      </c>
      <c r="U181" s="140">
        <v>60150</v>
      </c>
      <c r="V181" s="140">
        <v>60150</v>
      </c>
      <c r="W181" s="140">
        <v>60150</v>
      </c>
      <c r="X181" s="140">
        <v>60150</v>
      </c>
      <c r="Y181" s="140">
        <v>60150</v>
      </c>
      <c r="Z181" s="140">
        <v>60150</v>
      </c>
      <c r="AA181" s="140">
        <v>60150</v>
      </c>
      <c r="AB181" s="140">
        <v>60150</v>
      </c>
      <c r="AC181" s="140">
        <v>60150</v>
      </c>
      <c r="AD181" s="140">
        <v>60150</v>
      </c>
      <c r="AE181" s="140">
        <v>60150</v>
      </c>
      <c r="AF181" s="140">
        <v>60150</v>
      </c>
      <c r="AG181" s="140">
        <v>30075</v>
      </c>
      <c r="AH181" s="140">
        <v>30075</v>
      </c>
      <c r="AI181" s="140">
        <v>30075</v>
      </c>
      <c r="AJ181" s="140">
        <v>30075</v>
      </c>
      <c r="AK181" s="140">
        <v>30075</v>
      </c>
      <c r="AL181" s="140">
        <v>30075</v>
      </c>
      <c r="AM181" s="140">
        <v>30075</v>
      </c>
      <c r="AN181" s="140">
        <v>30075</v>
      </c>
      <c r="AO181" s="140">
        <v>30075</v>
      </c>
      <c r="AP181" s="140">
        <v>30075</v>
      </c>
      <c r="AQ181" s="140">
        <v>30075</v>
      </c>
      <c r="AR181" s="140">
        <v>30075</v>
      </c>
      <c r="AS181" s="140">
        <v>30075</v>
      </c>
      <c r="AT181" s="140">
        <v>30075</v>
      </c>
      <c r="AU181" s="140">
        <v>30075</v>
      </c>
      <c r="AV181" s="140">
        <v>30075</v>
      </c>
      <c r="AW181" s="140">
        <v>30075</v>
      </c>
      <c r="AX181" s="140">
        <v>30075</v>
      </c>
      <c r="AY181" s="140">
        <v>30075</v>
      </c>
      <c r="AZ181" s="140">
        <v>30075</v>
      </c>
      <c r="BA181" s="140">
        <v>30075</v>
      </c>
      <c r="BB181" s="140">
        <v>30075</v>
      </c>
      <c r="BC181" s="140">
        <v>30075</v>
      </c>
      <c r="BD181" s="140">
        <v>30075</v>
      </c>
      <c r="BE181" s="140">
        <v>30075</v>
      </c>
      <c r="BF181" s="140">
        <v>30075</v>
      </c>
      <c r="BG181" s="140">
        <v>20050</v>
      </c>
      <c r="BH181" s="140">
        <v>20050</v>
      </c>
      <c r="BI181" s="140">
        <v>20050</v>
      </c>
      <c r="BJ181" s="140">
        <v>20050</v>
      </c>
      <c r="BK181" s="140">
        <v>20050</v>
      </c>
      <c r="BL181" s="140">
        <v>20050</v>
      </c>
      <c r="BM181" s="140">
        <v>20050</v>
      </c>
      <c r="BN181" s="140">
        <v>20050</v>
      </c>
      <c r="BO181" s="140">
        <v>20050</v>
      </c>
      <c r="BP181" s="140"/>
      <c r="BQ181" s="140"/>
    </row>
    <row r="182" spans="2:69" s="22" customFormat="1" outlineLevel="2">
      <c r="D182" s="156"/>
      <c r="E182" s="157"/>
      <c r="F182" s="29"/>
      <c r="G182" s="66"/>
    </row>
    <row r="183" spans="2:69" s="22" customFormat="1" outlineLevel="2">
      <c r="B183" s="69" t="s">
        <v>1235</v>
      </c>
      <c r="D183" s="144">
        <f>Assumptions!H39</f>
        <v>10000</v>
      </c>
      <c r="E183" s="68" t="s">
        <v>1236</v>
      </c>
      <c r="F183" s="29"/>
      <c r="G183" s="66"/>
    </row>
    <row r="184" spans="2:69" s="22" customFormat="1" ht="9.75" customHeight="1" outlineLevel="2">
      <c r="B184" s="69"/>
      <c r="D184" s="158"/>
      <c r="E184" s="159"/>
      <c r="F184" s="29"/>
      <c r="G184" s="66"/>
    </row>
    <row r="185" spans="2:69" s="22" customFormat="1" outlineLevel="2">
      <c r="B185" s="69" t="s">
        <v>1237</v>
      </c>
      <c r="D185" s="155">
        <f>Assumptions!H40</f>
        <v>-0.2</v>
      </c>
      <c r="E185" s="68" t="s">
        <v>1238</v>
      </c>
      <c r="F185" s="29"/>
      <c r="G185" s="66"/>
    </row>
    <row r="186" spans="2:69" s="22" customFormat="1" outlineLevel="2">
      <c r="E186" s="28"/>
      <c r="F186" s="29"/>
      <c r="G186" s="66"/>
    </row>
    <row r="187" spans="2:69" s="22" customFormat="1" outlineLevel="2">
      <c r="B187" s="32" t="s">
        <v>1239</v>
      </c>
      <c r="E187" s="28"/>
      <c r="F187" s="29"/>
      <c r="G187" s="66"/>
    </row>
    <row r="188" spans="2:69" s="22" customFormat="1" outlineLevel="2">
      <c r="C188" s="22" t="str" cm="1">
        <f t="array" ref="C188:C213">_xlfn._xlws.SORT(_xlfn.UNIQUE('Existing Stores'!D9:D1008),,1)</f>
        <v>Axisbyte</v>
      </c>
      <c r="D188" s="146"/>
      <c r="E188" s="147"/>
      <c r="F188" s="29" t="s">
        <v>1240</v>
      </c>
      <c r="G188" s="251" cm="1">
        <f t="array" ref="G188:BO213">IF(_xlfn.ANCHORARRAY(G156)&lt;=$D$183,1+$D$185,1)</f>
        <v>1</v>
      </c>
      <c r="H188" s="154">
        <v>1</v>
      </c>
      <c r="I188" s="154">
        <v>1</v>
      </c>
      <c r="J188" s="154">
        <v>1</v>
      </c>
      <c r="K188" s="154">
        <v>1</v>
      </c>
      <c r="L188" s="154">
        <v>1</v>
      </c>
      <c r="M188" s="154">
        <v>1</v>
      </c>
      <c r="N188" s="154">
        <v>1</v>
      </c>
      <c r="O188" s="154">
        <v>1</v>
      </c>
      <c r="P188" s="154">
        <v>1</v>
      </c>
      <c r="Q188" s="154">
        <v>1</v>
      </c>
      <c r="R188" s="154">
        <v>1</v>
      </c>
      <c r="S188" s="154">
        <v>1</v>
      </c>
      <c r="T188" s="154">
        <v>1</v>
      </c>
      <c r="U188" s="154">
        <v>1</v>
      </c>
      <c r="V188" s="154">
        <v>1</v>
      </c>
      <c r="W188" s="154">
        <v>1</v>
      </c>
      <c r="X188" s="154">
        <v>1</v>
      </c>
      <c r="Y188" s="154">
        <v>1</v>
      </c>
      <c r="Z188" s="154">
        <v>1</v>
      </c>
      <c r="AA188" s="154">
        <v>1</v>
      </c>
      <c r="AB188" s="154">
        <v>1</v>
      </c>
      <c r="AC188" s="154">
        <v>1</v>
      </c>
      <c r="AD188" s="154">
        <v>1</v>
      </c>
      <c r="AE188" s="154">
        <v>1</v>
      </c>
      <c r="AF188" s="154">
        <v>1</v>
      </c>
      <c r="AG188" s="154">
        <v>1</v>
      </c>
      <c r="AH188" s="154">
        <v>1</v>
      </c>
      <c r="AI188" s="154">
        <v>1</v>
      </c>
      <c r="AJ188" s="154">
        <v>1</v>
      </c>
      <c r="AK188" s="154">
        <v>1</v>
      </c>
      <c r="AL188" s="154">
        <v>1</v>
      </c>
      <c r="AM188" s="154">
        <v>1</v>
      </c>
      <c r="AN188" s="154">
        <v>1</v>
      </c>
      <c r="AO188" s="154">
        <v>1</v>
      </c>
      <c r="AP188" s="154">
        <v>1</v>
      </c>
      <c r="AQ188" s="154">
        <v>1</v>
      </c>
      <c r="AR188" s="154">
        <v>1</v>
      </c>
      <c r="AS188" s="154">
        <v>1</v>
      </c>
      <c r="AT188" s="154">
        <v>1</v>
      </c>
      <c r="AU188" s="154">
        <v>1</v>
      </c>
      <c r="AV188" s="154">
        <v>1</v>
      </c>
      <c r="AW188" s="154">
        <v>1</v>
      </c>
      <c r="AX188" s="154">
        <v>1</v>
      </c>
      <c r="AY188" s="154">
        <v>1</v>
      </c>
      <c r="AZ188" s="154">
        <v>1</v>
      </c>
      <c r="BA188" s="154">
        <v>1</v>
      </c>
      <c r="BB188" s="154">
        <v>1</v>
      </c>
      <c r="BC188" s="154">
        <v>1</v>
      </c>
      <c r="BD188" s="154">
        <v>1</v>
      </c>
      <c r="BE188" s="154">
        <v>1</v>
      </c>
      <c r="BF188" s="154">
        <v>1</v>
      </c>
      <c r="BG188" s="154">
        <v>1</v>
      </c>
      <c r="BH188" s="154">
        <v>1</v>
      </c>
      <c r="BI188" s="154">
        <v>1</v>
      </c>
      <c r="BJ188" s="154">
        <v>1</v>
      </c>
      <c r="BK188" s="154">
        <v>1</v>
      </c>
      <c r="BL188" s="154">
        <v>1</v>
      </c>
      <c r="BM188" s="154">
        <v>1</v>
      </c>
      <c r="BN188" s="154">
        <v>1</v>
      </c>
      <c r="BO188" s="154">
        <v>1</v>
      </c>
      <c r="BP188" s="154"/>
      <c r="BQ188" s="154"/>
    </row>
    <row r="189" spans="2:69" s="22" customFormat="1" outlineLevel="2">
      <c r="C189" s="22" t="str">
        <v>Bootwell</v>
      </c>
      <c r="D189" s="146"/>
      <c r="E189" s="147"/>
      <c r="F189" s="29" t="s">
        <v>1240</v>
      </c>
      <c r="G189" s="251">
        <v>1</v>
      </c>
      <c r="H189" s="154">
        <v>1</v>
      </c>
      <c r="I189" s="154">
        <v>1</v>
      </c>
      <c r="J189" s="154">
        <v>1</v>
      </c>
      <c r="K189" s="154">
        <v>1</v>
      </c>
      <c r="L189" s="154">
        <v>1</v>
      </c>
      <c r="M189" s="154">
        <v>1</v>
      </c>
      <c r="N189" s="154">
        <v>1</v>
      </c>
      <c r="O189" s="154">
        <v>1</v>
      </c>
      <c r="P189" s="154">
        <v>1</v>
      </c>
      <c r="Q189" s="154">
        <v>1</v>
      </c>
      <c r="R189" s="154">
        <v>1</v>
      </c>
      <c r="S189" s="154">
        <v>1</v>
      </c>
      <c r="T189" s="154">
        <v>1</v>
      </c>
      <c r="U189" s="154">
        <v>1</v>
      </c>
      <c r="V189" s="154">
        <v>1</v>
      </c>
      <c r="W189" s="154">
        <v>1</v>
      </c>
      <c r="X189" s="154">
        <v>1</v>
      </c>
      <c r="Y189" s="154">
        <v>1</v>
      </c>
      <c r="Z189" s="154">
        <v>1</v>
      </c>
      <c r="AA189" s="154">
        <v>1</v>
      </c>
      <c r="AB189" s="154">
        <v>1</v>
      </c>
      <c r="AC189" s="154">
        <v>1</v>
      </c>
      <c r="AD189" s="154">
        <v>1</v>
      </c>
      <c r="AE189" s="154">
        <v>1</v>
      </c>
      <c r="AF189" s="154">
        <v>1</v>
      </c>
      <c r="AG189" s="154">
        <v>1</v>
      </c>
      <c r="AH189" s="154">
        <v>1</v>
      </c>
      <c r="AI189" s="154">
        <v>1</v>
      </c>
      <c r="AJ189" s="154">
        <v>1</v>
      </c>
      <c r="AK189" s="154">
        <v>1</v>
      </c>
      <c r="AL189" s="154">
        <v>1</v>
      </c>
      <c r="AM189" s="154">
        <v>1</v>
      </c>
      <c r="AN189" s="154">
        <v>1</v>
      </c>
      <c r="AO189" s="154">
        <v>1</v>
      </c>
      <c r="AP189" s="154">
        <v>1</v>
      </c>
      <c r="AQ189" s="154">
        <v>1</v>
      </c>
      <c r="AR189" s="154">
        <v>1</v>
      </c>
      <c r="AS189" s="154">
        <v>1</v>
      </c>
      <c r="AT189" s="154">
        <v>1</v>
      </c>
      <c r="AU189" s="154">
        <v>1</v>
      </c>
      <c r="AV189" s="154">
        <v>1</v>
      </c>
      <c r="AW189" s="154">
        <v>1</v>
      </c>
      <c r="AX189" s="154">
        <v>1</v>
      </c>
      <c r="AY189" s="154">
        <v>1</v>
      </c>
      <c r="AZ189" s="154">
        <v>1</v>
      </c>
      <c r="BA189" s="154">
        <v>1</v>
      </c>
      <c r="BB189" s="154">
        <v>1</v>
      </c>
      <c r="BC189" s="154">
        <v>1</v>
      </c>
      <c r="BD189" s="154">
        <v>1</v>
      </c>
      <c r="BE189" s="154">
        <v>1</v>
      </c>
      <c r="BF189" s="154">
        <v>1</v>
      </c>
      <c r="BG189" s="154">
        <v>1</v>
      </c>
      <c r="BH189" s="154">
        <v>1</v>
      </c>
      <c r="BI189" s="154">
        <v>1</v>
      </c>
      <c r="BJ189" s="154">
        <v>1</v>
      </c>
      <c r="BK189" s="154">
        <v>1</v>
      </c>
      <c r="BL189" s="154">
        <v>1</v>
      </c>
      <c r="BM189" s="154">
        <v>1</v>
      </c>
      <c r="BN189" s="154">
        <v>1</v>
      </c>
      <c r="BO189" s="154">
        <v>1</v>
      </c>
      <c r="BP189" s="154"/>
      <c r="BQ189" s="154"/>
    </row>
    <row r="190" spans="2:69" s="22" customFormat="1" outlineLevel="2">
      <c r="C190" s="22" t="str">
        <v>Cacheford</v>
      </c>
      <c r="D190" s="146"/>
      <c r="E190" s="147"/>
      <c r="F190" s="29" t="s">
        <v>1240</v>
      </c>
      <c r="G190" s="251">
        <v>1</v>
      </c>
      <c r="H190" s="154">
        <v>1</v>
      </c>
      <c r="I190" s="154">
        <v>1</v>
      </c>
      <c r="J190" s="154">
        <v>0.8</v>
      </c>
      <c r="K190" s="154">
        <v>0.8</v>
      </c>
      <c r="L190" s="154">
        <v>0.8</v>
      </c>
      <c r="M190" s="154">
        <v>0.8</v>
      </c>
      <c r="N190" s="154">
        <v>0.8</v>
      </c>
      <c r="O190" s="154">
        <v>0.8</v>
      </c>
      <c r="P190" s="154">
        <v>0.8</v>
      </c>
      <c r="Q190" s="154">
        <v>0.8</v>
      </c>
      <c r="R190" s="154">
        <v>0.8</v>
      </c>
      <c r="S190" s="154">
        <v>0.8</v>
      </c>
      <c r="T190" s="154">
        <v>0.8</v>
      </c>
      <c r="U190" s="154">
        <v>0.8</v>
      </c>
      <c r="V190" s="154">
        <v>0.8</v>
      </c>
      <c r="W190" s="154">
        <v>0.8</v>
      </c>
      <c r="X190" s="154">
        <v>0.8</v>
      </c>
      <c r="Y190" s="154">
        <v>0.8</v>
      </c>
      <c r="Z190" s="154">
        <v>0.8</v>
      </c>
      <c r="AA190" s="154">
        <v>0.8</v>
      </c>
      <c r="AB190" s="154">
        <v>0.8</v>
      </c>
      <c r="AC190" s="154">
        <v>0.8</v>
      </c>
      <c r="AD190" s="154">
        <v>0.8</v>
      </c>
      <c r="AE190" s="154">
        <v>0.8</v>
      </c>
      <c r="AF190" s="154">
        <v>0.8</v>
      </c>
      <c r="AG190" s="154">
        <v>0.8</v>
      </c>
      <c r="AH190" s="154">
        <v>0.8</v>
      </c>
      <c r="AI190" s="154">
        <v>0.8</v>
      </c>
      <c r="AJ190" s="154">
        <v>0.8</v>
      </c>
      <c r="AK190" s="154">
        <v>0.8</v>
      </c>
      <c r="AL190" s="154">
        <v>0.8</v>
      </c>
      <c r="AM190" s="154">
        <v>0.8</v>
      </c>
      <c r="AN190" s="154">
        <v>0.8</v>
      </c>
      <c r="AO190" s="154">
        <v>0.8</v>
      </c>
      <c r="AP190" s="154">
        <v>0.8</v>
      </c>
      <c r="AQ190" s="154">
        <v>0.8</v>
      </c>
      <c r="AR190" s="154">
        <v>0.8</v>
      </c>
      <c r="AS190" s="154">
        <v>0.8</v>
      </c>
      <c r="AT190" s="154">
        <v>0.8</v>
      </c>
      <c r="AU190" s="154">
        <v>0.8</v>
      </c>
      <c r="AV190" s="154">
        <v>0.8</v>
      </c>
      <c r="AW190" s="154">
        <v>0.8</v>
      </c>
      <c r="AX190" s="154">
        <v>0.8</v>
      </c>
      <c r="AY190" s="154">
        <v>0.8</v>
      </c>
      <c r="AZ190" s="154">
        <v>0.8</v>
      </c>
      <c r="BA190" s="154">
        <v>0.8</v>
      </c>
      <c r="BB190" s="154">
        <v>0.8</v>
      </c>
      <c r="BC190" s="154">
        <v>0.8</v>
      </c>
      <c r="BD190" s="154">
        <v>0.8</v>
      </c>
      <c r="BE190" s="154">
        <v>0.8</v>
      </c>
      <c r="BF190" s="154">
        <v>0.8</v>
      </c>
      <c r="BG190" s="154">
        <v>0.8</v>
      </c>
      <c r="BH190" s="154">
        <v>0.8</v>
      </c>
      <c r="BI190" s="154">
        <v>0.8</v>
      </c>
      <c r="BJ190" s="154">
        <v>0.8</v>
      </c>
      <c r="BK190" s="154">
        <v>0.8</v>
      </c>
      <c r="BL190" s="154">
        <v>0.8</v>
      </c>
      <c r="BM190" s="154">
        <v>0.8</v>
      </c>
      <c r="BN190" s="154">
        <v>0.8</v>
      </c>
      <c r="BO190" s="154">
        <v>0.8</v>
      </c>
      <c r="BP190" s="154"/>
      <c r="BQ190" s="154"/>
    </row>
    <row r="191" spans="2:69" s="22" customFormat="1" outlineLevel="2">
      <c r="C191" s="22" t="str">
        <v>Datahaven</v>
      </c>
      <c r="D191" s="146"/>
      <c r="E191" s="147"/>
      <c r="F191" s="29" t="s">
        <v>1240</v>
      </c>
      <c r="G191" s="251">
        <v>1</v>
      </c>
      <c r="H191" s="154">
        <v>1</v>
      </c>
      <c r="I191" s="154">
        <v>1</v>
      </c>
      <c r="J191" s="154">
        <v>1</v>
      </c>
      <c r="K191" s="154">
        <v>1</v>
      </c>
      <c r="L191" s="154">
        <v>1</v>
      </c>
      <c r="M191" s="154">
        <v>1</v>
      </c>
      <c r="N191" s="154">
        <v>1</v>
      </c>
      <c r="O191" s="154">
        <v>1</v>
      </c>
      <c r="P191" s="154">
        <v>1</v>
      </c>
      <c r="Q191" s="154">
        <v>1</v>
      </c>
      <c r="R191" s="154">
        <v>1</v>
      </c>
      <c r="S191" s="154">
        <v>1</v>
      </c>
      <c r="T191" s="154">
        <v>1</v>
      </c>
      <c r="U191" s="154">
        <v>1</v>
      </c>
      <c r="V191" s="154">
        <v>1</v>
      </c>
      <c r="W191" s="154">
        <v>1</v>
      </c>
      <c r="X191" s="154">
        <v>1</v>
      </c>
      <c r="Y191" s="154">
        <v>1</v>
      </c>
      <c r="Z191" s="154">
        <v>1</v>
      </c>
      <c r="AA191" s="154">
        <v>1</v>
      </c>
      <c r="AB191" s="154">
        <v>1</v>
      </c>
      <c r="AC191" s="154">
        <v>1</v>
      </c>
      <c r="AD191" s="154">
        <v>1</v>
      </c>
      <c r="AE191" s="154">
        <v>1</v>
      </c>
      <c r="AF191" s="154">
        <v>1</v>
      </c>
      <c r="AG191" s="154">
        <v>1</v>
      </c>
      <c r="AH191" s="154">
        <v>1</v>
      </c>
      <c r="AI191" s="154">
        <v>1</v>
      </c>
      <c r="AJ191" s="154">
        <v>1</v>
      </c>
      <c r="AK191" s="154">
        <v>1</v>
      </c>
      <c r="AL191" s="154">
        <v>1</v>
      </c>
      <c r="AM191" s="154">
        <v>1</v>
      </c>
      <c r="AN191" s="154">
        <v>1</v>
      </c>
      <c r="AO191" s="154">
        <v>1</v>
      </c>
      <c r="AP191" s="154">
        <v>1</v>
      </c>
      <c r="AQ191" s="154">
        <v>1</v>
      </c>
      <c r="AR191" s="154">
        <v>1</v>
      </c>
      <c r="AS191" s="154">
        <v>1</v>
      </c>
      <c r="AT191" s="154">
        <v>1</v>
      </c>
      <c r="AU191" s="154">
        <v>1</v>
      </c>
      <c r="AV191" s="154">
        <v>1</v>
      </c>
      <c r="AW191" s="154">
        <v>1</v>
      </c>
      <c r="AX191" s="154">
        <v>1</v>
      </c>
      <c r="AY191" s="154">
        <v>1</v>
      </c>
      <c r="AZ191" s="154">
        <v>1</v>
      </c>
      <c r="BA191" s="154">
        <v>1</v>
      </c>
      <c r="BB191" s="154">
        <v>1</v>
      </c>
      <c r="BC191" s="154">
        <v>1</v>
      </c>
      <c r="BD191" s="154">
        <v>1</v>
      </c>
      <c r="BE191" s="154">
        <v>1</v>
      </c>
      <c r="BF191" s="154">
        <v>1</v>
      </c>
      <c r="BG191" s="154">
        <v>1</v>
      </c>
      <c r="BH191" s="154">
        <v>1</v>
      </c>
      <c r="BI191" s="154">
        <v>1</v>
      </c>
      <c r="BJ191" s="154">
        <v>1</v>
      </c>
      <c r="BK191" s="154">
        <v>1</v>
      </c>
      <c r="BL191" s="154">
        <v>1</v>
      </c>
      <c r="BM191" s="154">
        <v>1</v>
      </c>
      <c r="BN191" s="154">
        <v>1</v>
      </c>
      <c r="BO191" s="154">
        <v>1</v>
      </c>
      <c r="BP191" s="154"/>
      <c r="BQ191" s="154"/>
    </row>
    <row r="192" spans="2:69" s="22" customFormat="1" outlineLevel="2">
      <c r="C192" s="22" t="str">
        <v>Etherport</v>
      </c>
      <c r="D192" s="146"/>
      <c r="E192" s="147"/>
      <c r="F192" s="29" t="s">
        <v>1240</v>
      </c>
      <c r="G192" s="251">
        <v>1</v>
      </c>
      <c r="H192" s="154">
        <v>1</v>
      </c>
      <c r="I192" s="154">
        <v>1</v>
      </c>
      <c r="J192" s="154">
        <v>1</v>
      </c>
      <c r="K192" s="154">
        <v>1</v>
      </c>
      <c r="L192" s="154">
        <v>1</v>
      </c>
      <c r="M192" s="154">
        <v>1</v>
      </c>
      <c r="N192" s="154">
        <v>1</v>
      </c>
      <c r="O192" s="154">
        <v>1</v>
      </c>
      <c r="P192" s="154">
        <v>1</v>
      </c>
      <c r="Q192" s="154">
        <v>1</v>
      </c>
      <c r="R192" s="154">
        <v>1</v>
      </c>
      <c r="S192" s="154">
        <v>1</v>
      </c>
      <c r="T192" s="154">
        <v>1</v>
      </c>
      <c r="U192" s="154">
        <v>1</v>
      </c>
      <c r="V192" s="154">
        <v>1</v>
      </c>
      <c r="W192" s="154">
        <v>1</v>
      </c>
      <c r="X192" s="154">
        <v>1</v>
      </c>
      <c r="Y192" s="154">
        <v>1</v>
      </c>
      <c r="Z192" s="154">
        <v>1</v>
      </c>
      <c r="AA192" s="154">
        <v>1</v>
      </c>
      <c r="AB192" s="154">
        <v>1</v>
      </c>
      <c r="AC192" s="154">
        <v>1</v>
      </c>
      <c r="AD192" s="154">
        <v>1</v>
      </c>
      <c r="AE192" s="154">
        <v>1</v>
      </c>
      <c r="AF192" s="154">
        <v>1</v>
      </c>
      <c r="AG192" s="154">
        <v>1</v>
      </c>
      <c r="AH192" s="154">
        <v>1</v>
      </c>
      <c r="AI192" s="154">
        <v>1</v>
      </c>
      <c r="AJ192" s="154">
        <v>1</v>
      </c>
      <c r="AK192" s="154">
        <v>1</v>
      </c>
      <c r="AL192" s="154">
        <v>1</v>
      </c>
      <c r="AM192" s="154">
        <v>1</v>
      </c>
      <c r="AN192" s="154">
        <v>1</v>
      </c>
      <c r="AO192" s="154">
        <v>1</v>
      </c>
      <c r="AP192" s="154">
        <v>1</v>
      </c>
      <c r="AQ192" s="154">
        <v>1</v>
      </c>
      <c r="AR192" s="154">
        <v>1</v>
      </c>
      <c r="AS192" s="154">
        <v>1</v>
      </c>
      <c r="AT192" s="154">
        <v>1</v>
      </c>
      <c r="AU192" s="154">
        <v>1</v>
      </c>
      <c r="AV192" s="154">
        <v>1</v>
      </c>
      <c r="AW192" s="154">
        <v>1</v>
      </c>
      <c r="AX192" s="154">
        <v>1</v>
      </c>
      <c r="AY192" s="154">
        <v>1</v>
      </c>
      <c r="AZ192" s="154">
        <v>1</v>
      </c>
      <c r="BA192" s="154">
        <v>1</v>
      </c>
      <c r="BB192" s="154">
        <v>1</v>
      </c>
      <c r="BC192" s="154">
        <v>1</v>
      </c>
      <c r="BD192" s="154">
        <v>1</v>
      </c>
      <c r="BE192" s="154">
        <v>1</v>
      </c>
      <c r="BF192" s="154">
        <v>1</v>
      </c>
      <c r="BG192" s="154">
        <v>1</v>
      </c>
      <c r="BH192" s="154">
        <v>1</v>
      </c>
      <c r="BI192" s="154">
        <v>1</v>
      </c>
      <c r="BJ192" s="154">
        <v>1</v>
      </c>
      <c r="BK192" s="154">
        <v>1</v>
      </c>
      <c r="BL192" s="154">
        <v>1</v>
      </c>
      <c r="BM192" s="154">
        <v>1</v>
      </c>
      <c r="BN192" s="154">
        <v>1</v>
      </c>
      <c r="BO192" s="154">
        <v>1</v>
      </c>
      <c r="BP192" s="154"/>
      <c r="BQ192" s="154"/>
    </row>
    <row r="193" spans="3:69" s="22" customFormat="1" outlineLevel="2">
      <c r="C193" s="22" t="str">
        <v>Fiberfall</v>
      </c>
      <c r="D193" s="146"/>
      <c r="E193" s="147"/>
      <c r="F193" s="29" t="s">
        <v>1240</v>
      </c>
      <c r="G193" s="251">
        <v>1</v>
      </c>
      <c r="H193" s="154">
        <v>1</v>
      </c>
      <c r="I193" s="154">
        <v>1</v>
      </c>
      <c r="J193" s="154">
        <v>1</v>
      </c>
      <c r="K193" s="154">
        <v>1</v>
      </c>
      <c r="L193" s="154">
        <v>1</v>
      </c>
      <c r="M193" s="154">
        <v>0.8</v>
      </c>
      <c r="N193" s="154">
        <v>0.8</v>
      </c>
      <c r="O193" s="154">
        <v>0.8</v>
      </c>
      <c r="P193" s="154">
        <v>0.8</v>
      </c>
      <c r="Q193" s="154">
        <v>0.8</v>
      </c>
      <c r="R193" s="154">
        <v>0.8</v>
      </c>
      <c r="S193" s="154">
        <v>0.8</v>
      </c>
      <c r="T193" s="154">
        <v>0.8</v>
      </c>
      <c r="U193" s="154">
        <v>0.8</v>
      </c>
      <c r="V193" s="154">
        <v>0.8</v>
      </c>
      <c r="W193" s="154">
        <v>0.8</v>
      </c>
      <c r="X193" s="154">
        <v>0.8</v>
      </c>
      <c r="Y193" s="154">
        <v>0.8</v>
      </c>
      <c r="Z193" s="154">
        <v>0.8</v>
      </c>
      <c r="AA193" s="154">
        <v>0.8</v>
      </c>
      <c r="AB193" s="154">
        <v>0.8</v>
      </c>
      <c r="AC193" s="154">
        <v>0.8</v>
      </c>
      <c r="AD193" s="154">
        <v>0.8</v>
      </c>
      <c r="AE193" s="154">
        <v>0.8</v>
      </c>
      <c r="AF193" s="154">
        <v>0.8</v>
      </c>
      <c r="AG193" s="154">
        <v>0.8</v>
      </c>
      <c r="AH193" s="154">
        <v>0.8</v>
      </c>
      <c r="AI193" s="154">
        <v>0.8</v>
      </c>
      <c r="AJ193" s="154">
        <v>0.8</v>
      </c>
      <c r="AK193" s="154">
        <v>0.8</v>
      </c>
      <c r="AL193" s="154">
        <v>0.8</v>
      </c>
      <c r="AM193" s="154">
        <v>0.8</v>
      </c>
      <c r="AN193" s="154">
        <v>0.8</v>
      </c>
      <c r="AO193" s="154">
        <v>0.8</v>
      </c>
      <c r="AP193" s="154">
        <v>0.8</v>
      </c>
      <c r="AQ193" s="154">
        <v>0.8</v>
      </c>
      <c r="AR193" s="154">
        <v>0.8</v>
      </c>
      <c r="AS193" s="154">
        <v>0.8</v>
      </c>
      <c r="AT193" s="154">
        <v>0.8</v>
      </c>
      <c r="AU193" s="154">
        <v>0.8</v>
      </c>
      <c r="AV193" s="154">
        <v>0.8</v>
      </c>
      <c r="AW193" s="154">
        <v>0.8</v>
      </c>
      <c r="AX193" s="154">
        <v>0.8</v>
      </c>
      <c r="AY193" s="154">
        <v>0.8</v>
      </c>
      <c r="AZ193" s="154">
        <v>0.8</v>
      </c>
      <c r="BA193" s="154">
        <v>0.8</v>
      </c>
      <c r="BB193" s="154">
        <v>0.8</v>
      </c>
      <c r="BC193" s="154">
        <v>0.8</v>
      </c>
      <c r="BD193" s="154">
        <v>0.8</v>
      </c>
      <c r="BE193" s="154">
        <v>0.8</v>
      </c>
      <c r="BF193" s="154">
        <v>0.8</v>
      </c>
      <c r="BG193" s="154">
        <v>0.8</v>
      </c>
      <c r="BH193" s="154">
        <v>0.8</v>
      </c>
      <c r="BI193" s="154">
        <v>0.8</v>
      </c>
      <c r="BJ193" s="154">
        <v>0.8</v>
      </c>
      <c r="BK193" s="154">
        <v>0.8</v>
      </c>
      <c r="BL193" s="154">
        <v>0.8</v>
      </c>
      <c r="BM193" s="154">
        <v>0.8</v>
      </c>
      <c r="BN193" s="154">
        <v>0.8</v>
      </c>
      <c r="BO193" s="154">
        <v>0.8</v>
      </c>
      <c r="BP193" s="154"/>
      <c r="BQ193" s="154"/>
    </row>
    <row r="194" spans="3:69" s="22" customFormat="1" outlineLevel="2">
      <c r="C194" s="22" t="str">
        <v>Gigatown</v>
      </c>
      <c r="D194" s="146"/>
      <c r="E194" s="147"/>
      <c r="F194" s="29" t="s">
        <v>1240</v>
      </c>
      <c r="G194" s="251">
        <v>1</v>
      </c>
      <c r="H194" s="154">
        <v>1</v>
      </c>
      <c r="I194" s="154">
        <v>1</v>
      </c>
      <c r="J194" s="154">
        <v>1</v>
      </c>
      <c r="K194" s="154">
        <v>1</v>
      </c>
      <c r="L194" s="154">
        <v>1</v>
      </c>
      <c r="M194" s="154">
        <v>1</v>
      </c>
      <c r="N194" s="154">
        <v>1</v>
      </c>
      <c r="O194" s="154">
        <v>1</v>
      </c>
      <c r="P194" s="154">
        <v>1</v>
      </c>
      <c r="Q194" s="154">
        <v>1</v>
      </c>
      <c r="R194" s="154">
        <v>1</v>
      </c>
      <c r="S194" s="154">
        <v>1</v>
      </c>
      <c r="T194" s="154">
        <v>1</v>
      </c>
      <c r="U194" s="154">
        <v>1</v>
      </c>
      <c r="V194" s="154">
        <v>1</v>
      </c>
      <c r="W194" s="154">
        <v>1</v>
      </c>
      <c r="X194" s="154">
        <v>1</v>
      </c>
      <c r="Y194" s="154">
        <v>1</v>
      </c>
      <c r="Z194" s="154">
        <v>1</v>
      </c>
      <c r="AA194" s="154">
        <v>1</v>
      </c>
      <c r="AB194" s="154">
        <v>1</v>
      </c>
      <c r="AC194" s="154">
        <v>1</v>
      </c>
      <c r="AD194" s="154">
        <v>1</v>
      </c>
      <c r="AE194" s="154">
        <v>1</v>
      </c>
      <c r="AF194" s="154">
        <v>1</v>
      </c>
      <c r="AG194" s="154">
        <v>1</v>
      </c>
      <c r="AH194" s="154">
        <v>1</v>
      </c>
      <c r="AI194" s="154">
        <v>1</v>
      </c>
      <c r="AJ194" s="154">
        <v>1</v>
      </c>
      <c r="AK194" s="154">
        <v>1</v>
      </c>
      <c r="AL194" s="154">
        <v>1</v>
      </c>
      <c r="AM194" s="154">
        <v>1</v>
      </c>
      <c r="AN194" s="154">
        <v>1</v>
      </c>
      <c r="AO194" s="154">
        <v>1</v>
      </c>
      <c r="AP194" s="154">
        <v>1</v>
      </c>
      <c r="AQ194" s="154">
        <v>1</v>
      </c>
      <c r="AR194" s="154">
        <v>1</v>
      </c>
      <c r="AS194" s="154">
        <v>1</v>
      </c>
      <c r="AT194" s="154">
        <v>1</v>
      </c>
      <c r="AU194" s="154">
        <v>1</v>
      </c>
      <c r="AV194" s="154">
        <v>1</v>
      </c>
      <c r="AW194" s="154">
        <v>1</v>
      </c>
      <c r="AX194" s="154">
        <v>1</v>
      </c>
      <c r="AY194" s="154">
        <v>1</v>
      </c>
      <c r="AZ194" s="154">
        <v>1</v>
      </c>
      <c r="BA194" s="154">
        <v>1</v>
      </c>
      <c r="BB194" s="154">
        <v>1</v>
      </c>
      <c r="BC194" s="154">
        <v>1</v>
      </c>
      <c r="BD194" s="154">
        <v>1</v>
      </c>
      <c r="BE194" s="154">
        <v>1</v>
      </c>
      <c r="BF194" s="154">
        <v>1</v>
      </c>
      <c r="BG194" s="154">
        <v>1</v>
      </c>
      <c r="BH194" s="154">
        <v>1</v>
      </c>
      <c r="BI194" s="154">
        <v>1</v>
      </c>
      <c r="BJ194" s="154">
        <v>1</v>
      </c>
      <c r="BK194" s="154">
        <v>1</v>
      </c>
      <c r="BL194" s="154">
        <v>1</v>
      </c>
      <c r="BM194" s="154">
        <v>1</v>
      </c>
      <c r="BN194" s="154">
        <v>1</v>
      </c>
      <c r="BO194" s="154">
        <v>1</v>
      </c>
      <c r="BP194" s="154"/>
      <c r="BQ194" s="154"/>
    </row>
    <row r="195" spans="3:69" s="22" customFormat="1" outlineLevel="2">
      <c r="C195" s="22" t="str">
        <v>Hexavale</v>
      </c>
      <c r="D195" s="146"/>
      <c r="E195" s="147"/>
      <c r="F195" s="29" t="s">
        <v>1240</v>
      </c>
      <c r="G195" s="251">
        <v>1</v>
      </c>
      <c r="H195" s="154">
        <v>1</v>
      </c>
      <c r="I195" s="154">
        <v>1</v>
      </c>
      <c r="J195" s="154">
        <v>1</v>
      </c>
      <c r="K195" s="154">
        <v>1</v>
      </c>
      <c r="L195" s="154">
        <v>1</v>
      </c>
      <c r="M195" s="154">
        <v>1</v>
      </c>
      <c r="N195" s="154">
        <v>1</v>
      </c>
      <c r="O195" s="154">
        <v>1</v>
      </c>
      <c r="P195" s="154">
        <v>1</v>
      </c>
      <c r="Q195" s="154">
        <v>1</v>
      </c>
      <c r="R195" s="154">
        <v>1</v>
      </c>
      <c r="S195" s="154">
        <v>1</v>
      </c>
      <c r="T195" s="154">
        <v>1</v>
      </c>
      <c r="U195" s="154">
        <v>1</v>
      </c>
      <c r="V195" s="154">
        <v>1</v>
      </c>
      <c r="W195" s="154">
        <v>1</v>
      </c>
      <c r="X195" s="154">
        <v>1</v>
      </c>
      <c r="Y195" s="154">
        <v>1</v>
      </c>
      <c r="Z195" s="154">
        <v>1</v>
      </c>
      <c r="AA195" s="154">
        <v>1</v>
      </c>
      <c r="AB195" s="154">
        <v>1</v>
      </c>
      <c r="AC195" s="154">
        <v>1</v>
      </c>
      <c r="AD195" s="154">
        <v>1</v>
      </c>
      <c r="AE195" s="154">
        <v>1</v>
      </c>
      <c r="AF195" s="154">
        <v>1</v>
      </c>
      <c r="AG195" s="154">
        <v>1</v>
      </c>
      <c r="AH195" s="154">
        <v>1</v>
      </c>
      <c r="AI195" s="154">
        <v>1</v>
      </c>
      <c r="AJ195" s="154">
        <v>1</v>
      </c>
      <c r="AK195" s="154">
        <v>1</v>
      </c>
      <c r="AL195" s="154">
        <v>1</v>
      </c>
      <c r="AM195" s="154">
        <v>1</v>
      </c>
      <c r="AN195" s="154">
        <v>1</v>
      </c>
      <c r="AO195" s="154">
        <v>1</v>
      </c>
      <c r="AP195" s="154">
        <v>1</v>
      </c>
      <c r="AQ195" s="154">
        <v>1</v>
      </c>
      <c r="AR195" s="154">
        <v>1</v>
      </c>
      <c r="AS195" s="154">
        <v>1</v>
      </c>
      <c r="AT195" s="154">
        <v>1</v>
      </c>
      <c r="AU195" s="154">
        <v>1</v>
      </c>
      <c r="AV195" s="154">
        <v>1</v>
      </c>
      <c r="AW195" s="154">
        <v>1</v>
      </c>
      <c r="AX195" s="154">
        <v>1</v>
      </c>
      <c r="AY195" s="154">
        <v>1</v>
      </c>
      <c r="AZ195" s="154">
        <v>1</v>
      </c>
      <c r="BA195" s="154">
        <v>1</v>
      </c>
      <c r="BB195" s="154">
        <v>1</v>
      </c>
      <c r="BC195" s="154">
        <v>1</v>
      </c>
      <c r="BD195" s="154">
        <v>1</v>
      </c>
      <c r="BE195" s="154">
        <v>1</v>
      </c>
      <c r="BF195" s="154">
        <v>1</v>
      </c>
      <c r="BG195" s="154">
        <v>1</v>
      </c>
      <c r="BH195" s="154">
        <v>1</v>
      </c>
      <c r="BI195" s="154">
        <v>1</v>
      </c>
      <c r="BJ195" s="154">
        <v>1</v>
      </c>
      <c r="BK195" s="154">
        <v>1</v>
      </c>
      <c r="BL195" s="154">
        <v>1</v>
      </c>
      <c r="BM195" s="154">
        <v>1</v>
      </c>
      <c r="BN195" s="154">
        <v>1</v>
      </c>
      <c r="BO195" s="154">
        <v>1</v>
      </c>
      <c r="BP195" s="154"/>
      <c r="BQ195" s="154"/>
    </row>
    <row r="196" spans="3:69" s="22" customFormat="1" outlineLevel="2">
      <c r="C196" s="22" t="str">
        <v>Input City</v>
      </c>
      <c r="D196" s="146"/>
      <c r="E196" s="147"/>
      <c r="F196" s="29" t="s">
        <v>1240</v>
      </c>
      <c r="G196" s="251">
        <v>1</v>
      </c>
      <c r="H196" s="154">
        <v>1</v>
      </c>
      <c r="I196" s="154">
        <v>1</v>
      </c>
      <c r="J196" s="154">
        <v>1</v>
      </c>
      <c r="K196" s="154">
        <v>1</v>
      </c>
      <c r="L196" s="154">
        <v>1</v>
      </c>
      <c r="M196" s="154">
        <v>1</v>
      </c>
      <c r="N196" s="154">
        <v>1</v>
      </c>
      <c r="O196" s="154">
        <v>1</v>
      </c>
      <c r="P196" s="154">
        <v>1</v>
      </c>
      <c r="Q196" s="154">
        <v>1</v>
      </c>
      <c r="R196" s="154">
        <v>1</v>
      </c>
      <c r="S196" s="154">
        <v>1</v>
      </c>
      <c r="T196" s="154">
        <v>1</v>
      </c>
      <c r="U196" s="154">
        <v>1</v>
      </c>
      <c r="V196" s="154">
        <v>1</v>
      </c>
      <c r="W196" s="154">
        <v>1</v>
      </c>
      <c r="X196" s="154">
        <v>1</v>
      </c>
      <c r="Y196" s="154">
        <v>1</v>
      </c>
      <c r="Z196" s="154">
        <v>1</v>
      </c>
      <c r="AA196" s="154">
        <v>1</v>
      </c>
      <c r="AB196" s="154">
        <v>1</v>
      </c>
      <c r="AC196" s="154">
        <v>1</v>
      </c>
      <c r="AD196" s="154">
        <v>1</v>
      </c>
      <c r="AE196" s="154">
        <v>1</v>
      </c>
      <c r="AF196" s="154">
        <v>1</v>
      </c>
      <c r="AG196" s="154">
        <v>1</v>
      </c>
      <c r="AH196" s="154">
        <v>1</v>
      </c>
      <c r="AI196" s="154">
        <v>1</v>
      </c>
      <c r="AJ196" s="154">
        <v>1</v>
      </c>
      <c r="AK196" s="154">
        <v>1</v>
      </c>
      <c r="AL196" s="154">
        <v>1</v>
      </c>
      <c r="AM196" s="154">
        <v>1</v>
      </c>
      <c r="AN196" s="154">
        <v>1</v>
      </c>
      <c r="AO196" s="154">
        <v>1</v>
      </c>
      <c r="AP196" s="154">
        <v>1</v>
      </c>
      <c r="AQ196" s="154">
        <v>1</v>
      </c>
      <c r="AR196" s="154">
        <v>1</v>
      </c>
      <c r="AS196" s="154">
        <v>1</v>
      </c>
      <c r="AT196" s="154">
        <v>1</v>
      </c>
      <c r="AU196" s="154">
        <v>1</v>
      </c>
      <c r="AV196" s="154">
        <v>1</v>
      </c>
      <c r="AW196" s="154">
        <v>1</v>
      </c>
      <c r="AX196" s="154">
        <v>1</v>
      </c>
      <c r="AY196" s="154">
        <v>1</v>
      </c>
      <c r="AZ196" s="154">
        <v>1</v>
      </c>
      <c r="BA196" s="154">
        <v>1</v>
      </c>
      <c r="BB196" s="154">
        <v>1</v>
      </c>
      <c r="BC196" s="154">
        <v>1</v>
      </c>
      <c r="BD196" s="154">
        <v>1</v>
      </c>
      <c r="BE196" s="154">
        <v>1</v>
      </c>
      <c r="BF196" s="154">
        <v>1</v>
      </c>
      <c r="BG196" s="154">
        <v>1</v>
      </c>
      <c r="BH196" s="154">
        <v>1</v>
      </c>
      <c r="BI196" s="154">
        <v>1</v>
      </c>
      <c r="BJ196" s="154">
        <v>1</v>
      </c>
      <c r="BK196" s="154">
        <v>1</v>
      </c>
      <c r="BL196" s="154">
        <v>1</v>
      </c>
      <c r="BM196" s="154">
        <v>1</v>
      </c>
      <c r="BN196" s="154">
        <v>1</v>
      </c>
      <c r="BO196" s="154">
        <v>1</v>
      </c>
      <c r="BP196" s="154"/>
      <c r="BQ196" s="154"/>
    </row>
    <row r="197" spans="3:69" s="22" customFormat="1" outlineLevel="2">
      <c r="C197" s="22" t="str">
        <v>Junction Core</v>
      </c>
      <c r="D197" s="146"/>
      <c r="E197" s="147"/>
      <c r="F197" s="29" t="s">
        <v>1240</v>
      </c>
      <c r="G197" s="251">
        <v>1</v>
      </c>
      <c r="H197" s="154">
        <v>1</v>
      </c>
      <c r="I197" s="154">
        <v>1</v>
      </c>
      <c r="J197" s="154">
        <v>1</v>
      </c>
      <c r="K197" s="154">
        <v>1</v>
      </c>
      <c r="L197" s="154">
        <v>1</v>
      </c>
      <c r="M197" s="154">
        <v>1</v>
      </c>
      <c r="N197" s="154">
        <v>1</v>
      </c>
      <c r="O197" s="154">
        <v>1</v>
      </c>
      <c r="P197" s="154">
        <v>1</v>
      </c>
      <c r="Q197" s="154">
        <v>1</v>
      </c>
      <c r="R197" s="154">
        <v>1</v>
      </c>
      <c r="S197" s="154">
        <v>1</v>
      </c>
      <c r="T197" s="154">
        <v>1</v>
      </c>
      <c r="U197" s="154">
        <v>1</v>
      </c>
      <c r="V197" s="154">
        <v>1</v>
      </c>
      <c r="W197" s="154">
        <v>1</v>
      </c>
      <c r="X197" s="154">
        <v>1</v>
      </c>
      <c r="Y197" s="154">
        <v>1</v>
      </c>
      <c r="Z197" s="154">
        <v>1</v>
      </c>
      <c r="AA197" s="154">
        <v>1</v>
      </c>
      <c r="AB197" s="154">
        <v>1</v>
      </c>
      <c r="AC197" s="154">
        <v>1</v>
      </c>
      <c r="AD197" s="154">
        <v>1</v>
      </c>
      <c r="AE197" s="154">
        <v>1</v>
      </c>
      <c r="AF197" s="154">
        <v>1</v>
      </c>
      <c r="AG197" s="154">
        <v>1</v>
      </c>
      <c r="AH197" s="154">
        <v>1</v>
      </c>
      <c r="AI197" s="154">
        <v>1</v>
      </c>
      <c r="AJ197" s="154">
        <v>1</v>
      </c>
      <c r="AK197" s="154">
        <v>1</v>
      </c>
      <c r="AL197" s="154">
        <v>1</v>
      </c>
      <c r="AM197" s="154">
        <v>1</v>
      </c>
      <c r="AN197" s="154">
        <v>1</v>
      </c>
      <c r="AO197" s="154">
        <v>1</v>
      </c>
      <c r="AP197" s="154">
        <v>1</v>
      </c>
      <c r="AQ197" s="154">
        <v>1</v>
      </c>
      <c r="AR197" s="154">
        <v>1</v>
      </c>
      <c r="AS197" s="154">
        <v>1</v>
      </c>
      <c r="AT197" s="154">
        <v>1</v>
      </c>
      <c r="AU197" s="154">
        <v>1</v>
      </c>
      <c r="AV197" s="154">
        <v>1</v>
      </c>
      <c r="AW197" s="154">
        <v>1</v>
      </c>
      <c r="AX197" s="154">
        <v>1</v>
      </c>
      <c r="AY197" s="154">
        <v>1</v>
      </c>
      <c r="AZ197" s="154">
        <v>1</v>
      </c>
      <c r="BA197" s="154">
        <v>1</v>
      </c>
      <c r="BB197" s="154">
        <v>1</v>
      </c>
      <c r="BC197" s="154">
        <v>1</v>
      </c>
      <c r="BD197" s="154">
        <v>1</v>
      </c>
      <c r="BE197" s="154">
        <v>1</v>
      </c>
      <c r="BF197" s="154">
        <v>1</v>
      </c>
      <c r="BG197" s="154">
        <v>1</v>
      </c>
      <c r="BH197" s="154">
        <v>1</v>
      </c>
      <c r="BI197" s="154">
        <v>1</v>
      </c>
      <c r="BJ197" s="154">
        <v>1</v>
      </c>
      <c r="BK197" s="154">
        <v>1</v>
      </c>
      <c r="BL197" s="154">
        <v>1</v>
      </c>
      <c r="BM197" s="154">
        <v>1</v>
      </c>
      <c r="BN197" s="154">
        <v>1</v>
      </c>
      <c r="BO197" s="154">
        <v>1</v>
      </c>
      <c r="BP197" s="154"/>
      <c r="BQ197" s="154"/>
    </row>
    <row r="198" spans="3:69" s="22" customFormat="1" outlineLevel="2">
      <c r="C198" s="22" t="str">
        <v>Kernel Heights</v>
      </c>
      <c r="D198" s="146"/>
      <c r="E198" s="147"/>
      <c r="F198" s="29" t="s">
        <v>1240</v>
      </c>
      <c r="G198" s="251">
        <v>1</v>
      </c>
      <c r="H198" s="154">
        <v>1</v>
      </c>
      <c r="I198" s="154">
        <v>1</v>
      </c>
      <c r="J198" s="154">
        <v>1</v>
      </c>
      <c r="K198" s="154">
        <v>1</v>
      </c>
      <c r="L198" s="154">
        <v>1</v>
      </c>
      <c r="M198" s="154">
        <v>1</v>
      </c>
      <c r="N198" s="154">
        <v>1</v>
      </c>
      <c r="O198" s="154">
        <v>1</v>
      </c>
      <c r="P198" s="154">
        <v>1</v>
      </c>
      <c r="Q198" s="154">
        <v>1</v>
      </c>
      <c r="R198" s="154">
        <v>1</v>
      </c>
      <c r="S198" s="154">
        <v>1</v>
      </c>
      <c r="T198" s="154">
        <v>1</v>
      </c>
      <c r="U198" s="154">
        <v>1</v>
      </c>
      <c r="V198" s="154">
        <v>1</v>
      </c>
      <c r="W198" s="154">
        <v>1</v>
      </c>
      <c r="X198" s="154">
        <v>1</v>
      </c>
      <c r="Y198" s="154">
        <v>1</v>
      </c>
      <c r="Z198" s="154">
        <v>1</v>
      </c>
      <c r="AA198" s="154">
        <v>1</v>
      </c>
      <c r="AB198" s="154">
        <v>1</v>
      </c>
      <c r="AC198" s="154">
        <v>1</v>
      </c>
      <c r="AD198" s="154">
        <v>1</v>
      </c>
      <c r="AE198" s="154">
        <v>1</v>
      </c>
      <c r="AF198" s="154">
        <v>1</v>
      </c>
      <c r="AG198" s="154">
        <v>1</v>
      </c>
      <c r="AH198" s="154">
        <v>1</v>
      </c>
      <c r="AI198" s="154">
        <v>1</v>
      </c>
      <c r="AJ198" s="154">
        <v>1</v>
      </c>
      <c r="AK198" s="154">
        <v>1</v>
      </c>
      <c r="AL198" s="154">
        <v>1</v>
      </c>
      <c r="AM198" s="154">
        <v>1</v>
      </c>
      <c r="AN198" s="154">
        <v>1</v>
      </c>
      <c r="AO198" s="154">
        <v>1</v>
      </c>
      <c r="AP198" s="154">
        <v>1</v>
      </c>
      <c r="AQ198" s="154">
        <v>1</v>
      </c>
      <c r="AR198" s="154">
        <v>1</v>
      </c>
      <c r="AS198" s="154">
        <v>1</v>
      </c>
      <c r="AT198" s="154">
        <v>1</v>
      </c>
      <c r="AU198" s="154">
        <v>1</v>
      </c>
      <c r="AV198" s="154">
        <v>1</v>
      </c>
      <c r="AW198" s="154">
        <v>1</v>
      </c>
      <c r="AX198" s="154">
        <v>1</v>
      </c>
      <c r="AY198" s="154">
        <v>1</v>
      </c>
      <c r="AZ198" s="154">
        <v>1</v>
      </c>
      <c r="BA198" s="154">
        <v>1</v>
      </c>
      <c r="BB198" s="154">
        <v>1</v>
      </c>
      <c r="BC198" s="154">
        <v>1</v>
      </c>
      <c r="BD198" s="154">
        <v>1</v>
      </c>
      <c r="BE198" s="154">
        <v>1</v>
      </c>
      <c r="BF198" s="154">
        <v>1</v>
      </c>
      <c r="BG198" s="154">
        <v>1</v>
      </c>
      <c r="BH198" s="154">
        <v>1</v>
      </c>
      <c r="BI198" s="154">
        <v>1</v>
      </c>
      <c r="BJ198" s="154">
        <v>1</v>
      </c>
      <c r="BK198" s="154">
        <v>1</v>
      </c>
      <c r="BL198" s="154">
        <v>1</v>
      </c>
      <c r="BM198" s="154">
        <v>1</v>
      </c>
      <c r="BN198" s="154">
        <v>1</v>
      </c>
      <c r="BO198" s="154">
        <v>1</v>
      </c>
      <c r="BP198" s="154"/>
      <c r="BQ198" s="154"/>
    </row>
    <row r="199" spans="3:69" s="22" customFormat="1" outlineLevel="2">
      <c r="C199" s="22" t="str">
        <v>Logicridge</v>
      </c>
      <c r="D199" s="146"/>
      <c r="E199" s="147"/>
      <c r="F199" s="29" t="s">
        <v>1240</v>
      </c>
      <c r="G199" s="251">
        <v>1</v>
      </c>
      <c r="H199" s="154">
        <v>1</v>
      </c>
      <c r="I199" s="154">
        <v>1</v>
      </c>
      <c r="J199" s="154">
        <v>1</v>
      </c>
      <c r="K199" s="154">
        <v>1</v>
      </c>
      <c r="L199" s="154">
        <v>1</v>
      </c>
      <c r="M199" s="154">
        <v>1</v>
      </c>
      <c r="N199" s="154">
        <v>1</v>
      </c>
      <c r="O199" s="154">
        <v>1</v>
      </c>
      <c r="P199" s="154">
        <v>1</v>
      </c>
      <c r="Q199" s="154">
        <v>1</v>
      </c>
      <c r="R199" s="154">
        <v>1</v>
      </c>
      <c r="S199" s="154">
        <v>1</v>
      </c>
      <c r="T199" s="154">
        <v>1</v>
      </c>
      <c r="U199" s="154">
        <v>1</v>
      </c>
      <c r="V199" s="154">
        <v>1</v>
      </c>
      <c r="W199" s="154">
        <v>1</v>
      </c>
      <c r="X199" s="154">
        <v>1</v>
      </c>
      <c r="Y199" s="154">
        <v>1</v>
      </c>
      <c r="Z199" s="154">
        <v>1</v>
      </c>
      <c r="AA199" s="154">
        <v>1</v>
      </c>
      <c r="AB199" s="154">
        <v>1</v>
      </c>
      <c r="AC199" s="154">
        <v>1</v>
      </c>
      <c r="AD199" s="154">
        <v>1</v>
      </c>
      <c r="AE199" s="154">
        <v>1</v>
      </c>
      <c r="AF199" s="154">
        <v>1</v>
      </c>
      <c r="AG199" s="154">
        <v>1</v>
      </c>
      <c r="AH199" s="154">
        <v>1</v>
      </c>
      <c r="AI199" s="154">
        <v>1</v>
      </c>
      <c r="AJ199" s="154">
        <v>1</v>
      </c>
      <c r="AK199" s="154">
        <v>1</v>
      </c>
      <c r="AL199" s="154">
        <v>1</v>
      </c>
      <c r="AM199" s="154">
        <v>1</v>
      </c>
      <c r="AN199" s="154">
        <v>1</v>
      </c>
      <c r="AO199" s="154">
        <v>1</v>
      </c>
      <c r="AP199" s="154">
        <v>1</v>
      </c>
      <c r="AQ199" s="154">
        <v>1</v>
      </c>
      <c r="AR199" s="154">
        <v>1</v>
      </c>
      <c r="AS199" s="154">
        <v>1</v>
      </c>
      <c r="AT199" s="154">
        <v>1</v>
      </c>
      <c r="AU199" s="154">
        <v>1</v>
      </c>
      <c r="AV199" s="154">
        <v>1</v>
      </c>
      <c r="AW199" s="154">
        <v>1</v>
      </c>
      <c r="AX199" s="154">
        <v>1</v>
      </c>
      <c r="AY199" s="154">
        <v>1</v>
      </c>
      <c r="AZ199" s="154">
        <v>1</v>
      </c>
      <c r="BA199" s="154">
        <v>1</v>
      </c>
      <c r="BB199" s="154">
        <v>1</v>
      </c>
      <c r="BC199" s="154">
        <v>1</v>
      </c>
      <c r="BD199" s="154">
        <v>1</v>
      </c>
      <c r="BE199" s="154">
        <v>1</v>
      </c>
      <c r="BF199" s="154">
        <v>1</v>
      </c>
      <c r="BG199" s="154">
        <v>1</v>
      </c>
      <c r="BH199" s="154">
        <v>1</v>
      </c>
      <c r="BI199" s="154">
        <v>1</v>
      </c>
      <c r="BJ199" s="154">
        <v>1</v>
      </c>
      <c r="BK199" s="154">
        <v>1</v>
      </c>
      <c r="BL199" s="154">
        <v>1</v>
      </c>
      <c r="BM199" s="154">
        <v>1</v>
      </c>
      <c r="BN199" s="154">
        <v>1</v>
      </c>
      <c r="BO199" s="154">
        <v>1</v>
      </c>
      <c r="BP199" s="154"/>
      <c r="BQ199" s="154"/>
    </row>
    <row r="200" spans="3:69" s="22" customFormat="1" outlineLevel="2">
      <c r="C200" s="22" t="str">
        <v>Megahub</v>
      </c>
      <c r="D200" s="146"/>
      <c r="E200" s="147"/>
      <c r="F200" s="29" t="s">
        <v>1240</v>
      </c>
      <c r="G200" s="251">
        <v>1</v>
      </c>
      <c r="H200" s="154">
        <v>1</v>
      </c>
      <c r="I200" s="154">
        <v>1</v>
      </c>
      <c r="J200" s="154">
        <v>1</v>
      </c>
      <c r="K200" s="154">
        <v>1</v>
      </c>
      <c r="L200" s="154">
        <v>1</v>
      </c>
      <c r="M200" s="154">
        <v>1</v>
      </c>
      <c r="N200" s="154">
        <v>1</v>
      </c>
      <c r="O200" s="154">
        <v>1</v>
      </c>
      <c r="P200" s="154">
        <v>1</v>
      </c>
      <c r="Q200" s="154">
        <v>1</v>
      </c>
      <c r="R200" s="154">
        <v>1</v>
      </c>
      <c r="S200" s="154">
        <v>1</v>
      </c>
      <c r="T200" s="154">
        <v>0.8</v>
      </c>
      <c r="U200" s="154">
        <v>0.8</v>
      </c>
      <c r="V200" s="154">
        <v>0.8</v>
      </c>
      <c r="W200" s="154">
        <v>0.8</v>
      </c>
      <c r="X200" s="154">
        <v>0.8</v>
      </c>
      <c r="Y200" s="154">
        <v>0.8</v>
      </c>
      <c r="Z200" s="154">
        <v>0.8</v>
      </c>
      <c r="AA200" s="154">
        <v>0.8</v>
      </c>
      <c r="AB200" s="154">
        <v>0.8</v>
      </c>
      <c r="AC200" s="154">
        <v>0.8</v>
      </c>
      <c r="AD200" s="154">
        <v>0.8</v>
      </c>
      <c r="AE200" s="154">
        <v>0.8</v>
      </c>
      <c r="AF200" s="154">
        <v>0.8</v>
      </c>
      <c r="AG200" s="154">
        <v>0.8</v>
      </c>
      <c r="AH200" s="154">
        <v>0.8</v>
      </c>
      <c r="AI200" s="154">
        <v>0.8</v>
      </c>
      <c r="AJ200" s="154">
        <v>0.8</v>
      </c>
      <c r="AK200" s="154">
        <v>0.8</v>
      </c>
      <c r="AL200" s="154">
        <v>0.8</v>
      </c>
      <c r="AM200" s="154">
        <v>0.8</v>
      </c>
      <c r="AN200" s="154">
        <v>0.8</v>
      </c>
      <c r="AO200" s="154">
        <v>0.8</v>
      </c>
      <c r="AP200" s="154">
        <v>0.8</v>
      </c>
      <c r="AQ200" s="154">
        <v>0.8</v>
      </c>
      <c r="AR200" s="154">
        <v>0.8</v>
      </c>
      <c r="AS200" s="154">
        <v>0.8</v>
      </c>
      <c r="AT200" s="154">
        <v>0.8</v>
      </c>
      <c r="AU200" s="154">
        <v>0.8</v>
      </c>
      <c r="AV200" s="154">
        <v>0.8</v>
      </c>
      <c r="AW200" s="154">
        <v>0.8</v>
      </c>
      <c r="AX200" s="154">
        <v>0.8</v>
      </c>
      <c r="AY200" s="154">
        <v>0.8</v>
      </c>
      <c r="AZ200" s="154">
        <v>0.8</v>
      </c>
      <c r="BA200" s="154">
        <v>0.8</v>
      </c>
      <c r="BB200" s="154">
        <v>0.8</v>
      </c>
      <c r="BC200" s="154">
        <v>0.8</v>
      </c>
      <c r="BD200" s="154">
        <v>0.8</v>
      </c>
      <c r="BE200" s="154">
        <v>0.8</v>
      </c>
      <c r="BF200" s="154">
        <v>0.8</v>
      </c>
      <c r="BG200" s="154">
        <v>0.8</v>
      </c>
      <c r="BH200" s="154">
        <v>0.8</v>
      </c>
      <c r="BI200" s="154">
        <v>0.8</v>
      </c>
      <c r="BJ200" s="154">
        <v>0.8</v>
      </c>
      <c r="BK200" s="154">
        <v>0.8</v>
      </c>
      <c r="BL200" s="154">
        <v>0.8</v>
      </c>
      <c r="BM200" s="154">
        <v>0.8</v>
      </c>
      <c r="BN200" s="154">
        <v>0.8</v>
      </c>
      <c r="BO200" s="154">
        <v>0.8</v>
      </c>
      <c r="BP200" s="154"/>
      <c r="BQ200" s="154"/>
    </row>
    <row r="201" spans="3:69" s="22" customFormat="1" outlineLevel="2">
      <c r="C201" s="22" t="str">
        <v>Nodeline</v>
      </c>
      <c r="D201" s="146"/>
      <c r="E201" s="147"/>
      <c r="F201" s="29" t="s">
        <v>1240</v>
      </c>
      <c r="G201" s="251">
        <v>1</v>
      </c>
      <c r="H201" s="154">
        <v>1</v>
      </c>
      <c r="I201" s="154">
        <v>1</v>
      </c>
      <c r="J201" s="154">
        <v>1</v>
      </c>
      <c r="K201" s="154">
        <v>1</v>
      </c>
      <c r="L201" s="154">
        <v>1</v>
      </c>
      <c r="M201" s="154">
        <v>1</v>
      </c>
      <c r="N201" s="154">
        <v>1</v>
      </c>
      <c r="O201" s="154">
        <v>1</v>
      </c>
      <c r="P201" s="154">
        <v>1</v>
      </c>
      <c r="Q201" s="154">
        <v>1</v>
      </c>
      <c r="R201" s="154">
        <v>1</v>
      </c>
      <c r="S201" s="154">
        <v>1</v>
      </c>
      <c r="T201" s="154">
        <v>1</v>
      </c>
      <c r="U201" s="154">
        <v>1</v>
      </c>
      <c r="V201" s="154">
        <v>1</v>
      </c>
      <c r="W201" s="154">
        <v>1</v>
      </c>
      <c r="X201" s="154">
        <v>1</v>
      </c>
      <c r="Y201" s="154">
        <v>1</v>
      </c>
      <c r="Z201" s="154">
        <v>1</v>
      </c>
      <c r="AA201" s="154">
        <v>1</v>
      </c>
      <c r="AB201" s="154">
        <v>1</v>
      </c>
      <c r="AC201" s="154">
        <v>1</v>
      </c>
      <c r="AD201" s="154">
        <v>1</v>
      </c>
      <c r="AE201" s="154">
        <v>1</v>
      </c>
      <c r="AF201" s="154">
        <v>1</v>
      </c>
      <c r="AG201" s="154">
        <v>1</v>
      </c>
      <c r="AH201" s="154">
        <v>1</v>
      </c>
      <c r="AI201" s="154">
        <v>1</v>
      </c>
      <c r="AJ201" s="154">
        <v>1</v>
      </c>
      <c r="AK201" s="154">
        <v>1</v>
      </c>
      <c r="AL201" s="154">
        <v>1</v>
      </c>
      <c r="AM201" s="154">
        <v>1</v>
      </c>
      <c r="AN201" s="154">
        <v>1</v>
      </c>
      <c r="AO201" s="154">
        <v>1</v>
      </c>
      <c r="AP201" s="154">
        <v>1</v>
      </c>
      <c r="AQ201" s="154">
        <v>1</v>
      </c>
      <c r="AR201" s="154">
        <v>1</v>
      </c>
      <c r="AS201" s="154">
        <v>1</v>
      </c>
      <c r="AT201" s="154">
        <v>1</v>
      </c>
      <c r="AU201" s="154">
        <v>1</v>
      </c>
      <c r="AV201" s="154">
        <v>1</v>
      </c>
      <c r="AW201" s="154">
        <v>1</v>
      </c>
      <c r="AX201" s="154">
        <v>1</v>
      </c>
      <c r="AY201" s="154">
        <v>1</v>
      </c>
      <c r="AZ201" s="154">
        <v>1</v>
      </c>
      <c r="BA201" s="154">
        <v>1</v>
      </c>
      <c r="BB201" s="154">
        <v>1</v>
      </c>
      <c r="BC201" s="154">
        <v>1</v>
      </c>
      <c r="BD201" s="154">
        <v>1</v>
      </c>
      <c r="BE201" s="154">
        <v>1</v>
      </c>
      <c r="BF201" s="154">
        <v>1</v>
      </c>
      <c r="BG201" s="154">
        <v>1</v>
      </c>
      <c r="BH201" s="154">
        <v>1</v>
      </c>
      <c r="BI201" s="154">
        <v>1</v>
      </c>
      <c r="BJ201" s="154">
        <v>1</v>
      </c>
      <c r="BK201" s="154">
        <v>1</v>
      </c>
      <c r="BL201" s="154">
        <v>1</v>
      </c>
      <c r="BM201" s="154">
        <v>1</v>
      </c>
      <c r="BN201" s="154">
        <v>1</v>
      </c>
      <c r="BO201" s="154">
        <v>1</v>
      </c>
      <c r="BP201" s="154"/>
      <c r="BQ201" s="154"/>
    </row>
    <row r="202" spans="3:69" s="22" customFormat="1" outlineLevel="2">
      <c r="C202" s="22" t="str">
        <v>Overclock Oasis</v>
      </c>
      <c r="D202" s="146"/>
      <c r="E202" s="147"/>
      <c r="F202" s="29" t="s">
        <v>1240</v>
      </c>
      <c r="G202" s="251">
        <v>1</v>
      </c>
      <c r="H202" s="154">
        <v>1</v>
      </c>
      <c r="I202" s="154">
        <v>1</v>
      </c>
      <c r="J202" s="154">
        <v>1</v>
      </c>
      <c r="K202" s="154">
        <v>1</v>
      </c>
      <c r="L202" s="154">
        <v>1</v>
      </c>
      <c r="M202" s="154">
        <v>1</v>
      </c>
      <c r="N202" s="154">
        <v>1</v>
      </c>
      <c r="O202" s="154">
        <v>1</v>
      </c>
      <c r="P202" s="154">
        <v>1</v>
      </c>
      <c r="Q202" s="154">
        <v>1</v>
      </c>
      <c r="R202" s="154">
        <v>1</v>
      </c>
      <c r="S202" s="154">
        <v>1</v>
      </c>
      <c r="T202" s="154">
        <v>1</v>
      </c>
      <c r="U202" s="154">
        <v>1</v>
      </c>
      <c r="V202" s="154">
        <v>1</v>
      </c>
      <c r="W202" s="154">
        <v>1</v>
      </c>
      <c r="X202" s="154">
        <v>1</v>
      </c>
      <c r="Y202" s="154">
        <v>1</v>
      </c>
      <c r="Z202" s="154">
        <v>1</v>
      </c>
      <c r="AA202" s="154">
        <v>1</v>
      </c>
      <c r="AB202" s="154">
        <v>1</v>
      </c>
      <c r="AC202" s="154">
        <v>1</v>
      </c>
      <c r="AD202" s="154">
        <v>1</v>
      </c>
      <c r="AE202" s="154">
        <v>1</v>
      </c>
      <c r="AF202" s="154">
        <v>1</v>
      </c>
      <c r="AG202" s="154">
        <v>1</v>
      </c>
      <c r="AH202" s="154">
        <v>1</v>
      </c>
      <c r="AI202" s="154">
        <v>1</v>
      </c>
      <c r="AJ202" s="154">
        <v>1</v>
      </c>
      <c r="AK202" s="154">
        <v>1</v>
      </c>
      <c r="AL202" s="154">
        <v>1</v>
      </c>
      <c r="AM202" s="154">
        <v>1</v>
      </c>
      <c r="AN202" s="154">
        <v>1</v>
      </c>
      <c r="AO202" s="154">
        <v>1</v>
      </c>
      <c r="AP202" s="154">
        <v>1</v>
      </c>
      <c r="AQ202" s="154">
        <v>1</v>
      </c>
      <c r="AR202" s="154">
        <v>1</v>
      </c>
      <c r="AS202" s="154">
        <v>1</v>
      </c>
      <c r="AT202" s="154">
        <v>1</v>
      </c>
      <c r="AU202" s="154">
        <v>1</v>
      </c>
      <c r="AV202" s="154">
        <v>1</v>
      </c>
      <c r="AW202" s="154">
        <v>1</v>
      </c>
      <c r="AX202" s="154">
        <v>1</v>
      </c>
      <c r="AY202" s="154">
        <v>1</v>
      </c>
      <c r="AZ202" s="154">
        <v>1</v>
      </c>
      <c r="BA202" s="154">
        <v>1</v>
      </c>
      <c r="BB202" s="154">
        <v>1</v>
      </c>
      <c r="BC202" s="154">
        <v>1</v>
      </c>
      <c r="BD202" s="154">
        <v>1</v>
      </c>
      <c r="BE202" s="154">
        <v>1</v>
      </c>
      <c r="BF202" s="154">
        <v>1</v>
      </c>
      <c r="BG202" s="154">
        <v>1</v>
      </c>
      <c r="BH202" s="154">
        <v>1</v>
      </c>
      <c r="BI202" s="154">
        <v>1</v>
      </c>
      <c r="BJ202" s="154">
        <v>1</v>
      </c>
      <c r="BK202" s="154">
        <v>1</v>
      </c>
      <c r="BL202" s="154">
        <v>1</v>
      </c>
      <c r="BM202" s="154">
        <v>1</v>
      </c>
      <c r="BN202" s="154">
        <v>1</v>
      </c>
      <c r="BO202" s="154">
        <v>1</v>
      </c>
      <c r="BP202" s="154"/>
      <c r="BQ202" s="154"/>
    </row>
    <row r="203" spans="3:69" s="22" customFormat="1" outlineLevel="2">
      <c r="C203" s="22" t="str">
        <v>Pingborough</v>
      </c>
      <c r="D203" s="146"/>
      <c r="E203" s="147"/>
      <c r="F203" s="29" t="s">
        <v>1240</v>
      </c>
      <c r="G203" s="251">
        <v>1</v>
      </c>
      <c r="H203" s="154">
        <v>1</v>
      </c>
      <c r="I203" s="154">
        <v>1</v>
      </c>
      <c r="J203" s="154">
        <v>1</v>
      </c>
      <c r="K203" s="154">
        <v>1</v>
      </c>
      <c r="L203" s="154">
        <v>1</v>
      </c>
      <c r="M203" s="154">
        <v>1</v>
      </c>
      <c r="N203" s="154">
        <v>1</v>
      </c>
      <c r="O203" s="154">
        <v>1</v>
      </c>
      <c r="P203" s="154">
        <v>1</v>
      </c>
      <c r="Q203" s="154">
        <v>1</v>
      </c>
      <c r="R203" s="154">
        <v>1</v>
      </c>
      <c r="S203" s="154">
        <v>1</v>
      </c>
      <c r="T203" s="154">
        <v>1</v>
      </c>
      <c r="U203" s="154">
        <v>1</v>
      </c>
      <c r="V203" s="154">
        <v>1</v>
      </c>
      <c r="W203" s="154">
        <v>1</v>
      </c>
      <c r="X203" s="154">
        <v>1</v>
      </c>
      <c r="Y203" s="154">
        <v>1</v>
      </c>
      <c r="Z203" s="154">
        <v>1</v>
      </c>
      <c r="AA203" s="154">
        <v>1</v>
      </c>
      <c r="AB203" s="154">
        <v>1</v>
      </c>
      <c r="AC203" s="154">
        <v>1</v>
      </c>
      <c r="AD203" s="154">
        <v>1</v>
      </c>
      <c r="AE203" s="154">
        <v>1</v>
      </c>
      <c r="AF203" s="154">
        <v>1</v>
      </c>
      <c r="AG203" s="154">
        <v>1</v>
      </c>
      <c r="AH203" s="154">
        <v>1</v>
      </c>
      <c r="AI203" s="154">
        <v>1</v>
      </c>
      <c r="AJ203" s="154">
        <v>1</v>
      </c>
      <c r="AK203" s="154">
        <v>1</v>
      </c>
      <c r="AL203" s="154">
        <v>1</v>
      </c>
      <c r="AM203" s="154">
        <v>1</v>
      </c>
      <c r="AN203" s="154">
        <v>1</v>
      </c>
      <c r="AO203" s="154">
        <v>1</v>
      </c>
      <c r="AP203" s="154">
        <v>1</v>
      </c>
      <c r="AQ203" s="154">
        <v>1</v>
      </c>
      <c r="AR203" s="154">
        <v>1</v>
      </c>
      <c r="AS203" s="154">
        <v>1</v>
      </c>
      <c r="AT203" s="154">
        <v>1</v>
      </c>
      <c r="AU203" s="154">
        <v>1</v>
      </c>
      <c r="AV203" s="154">
        <v>1</v>
      </c>
      <c r="AW203" s="154">
        <v>0.8</v>
      </c>
      <c r="AX203" s="154">
        <v>0.8</v>
      </c>
      <c r="AY203" s="154">
        <v>0.8</v>
      </c>
      <c r="AZ203" s="154">
        <v>0.8</v>
      </c>
      <c r="BA203" s="154">
        <v>0.8</v>
      </c>
      <c r="BB203" s="154">
        <v>0.8</v>
      </c>
      <c r="BC203" s="154">
        <v>0.8</v>
      </c>
      <c r="BD203" s="154">
        <v>0.8</v>
      </c>
      <c r="BE203" s="154">
        <v>0.8</v>
      </c>
      <c r="BF203" s="154">
        <v>0.8</v>
      </c>
      <c r="BG203" s="154">
        <v>0.8</v>
      </c>
      <c r="BH203" s="154">
        <v>0.8</v>
      </c>
      <c r="BI203" s="154">
        <v>0.8</v>
      </c>
      <c r="BJ203" s="154">
        <v>0.8</v>
      </c>
      <c r="BK203" s="154">
        <v>0.8</v>
      </c>
      <c r="BL203" s="154">
        <v>0.8</v>
      </c>
      <c r="BM203" s="154">
        <v>0.8</v>
      </c>
      <c r="BN203" s="154">
        <v>0.8</v>
      </c>
      <c r="BO203" s="154">
        <v>0.8</v>
      </c>
      <c r="BP203" s="154"/>
      <c r="BQ203" s="154"/>
    </row>
    <row r="204" spans="3:69" s="22" customFormat="1" outlineLevel="2">
      <c r="C204" s="22" t="str">
        <v>Quantum Quay</v>
      </c>
      <c r="D204" s="146"/>
      <c r="E204" s="147"/>
      <c r="F204" s="29" t="s">
        <v>1240</v>
      </c>
      <c r="G204" s="251">
        <v>1</v>
      </c>
      <c r="H204" s="154">
        <v>1</v>
      </c>
      <c r="I204" s="154">
        <v>1</v>
      </c>
      <c r="J204" s="154">
        <v>1</v>
      </c>
      <c r="K204" s="154">
        <v>1</v>
      </c>
      <c r="L204" s="154">
        <v>1</v>
      </c>
      <c r="M204" s="154">
        <v>1</v>
      </c>
      <c r="N204" s="154">
        <v>1</v>
      </c>
      <c r="O204" s="154">
        <v>1</v>
      </c>
      <c r="P204" s="154">
        <v>1</v>
      </c>
      <c r="Q204" s="154">
        <v>1</v>
      </c>
      <c r="R204" s="154">
        <v>1</v>
      </c>
      <c r="S204" s="154">
        <v>1</v>
      </c>
      <c r="T204" s="154">
        <v>1</v>
      </c>
      <c r="U204" s="154">
        <v>1</v>
      </c>
      <c r="V204" s="154">
        <v>1</v>
      </c>
      <c r="W204" s="154">
        <v>1</v>
      </c>
      <c r="X204" s="154">
        <v>1</v>
      </c>
      <c r="Y204" s="154">
        <v>1</v>
      </c>
      <c r="Z204" s="154">
        <v>1</v>
      </c>
      <c r="AA204" s="154">
        <v>1</v>
      </c>
      <c r="AB204" s="154">
        <v>1</v>
      </c>
      <c r="AC204" s="154">
        <v>1</v>
      </c>
      <c r="AD204" s="154">
        <v>1</v>
      </c>
      <c r="AE204" s="154">
        <v>1</v>
      </c>
      <c r="AF204" s="154">
        <v>1</v>
      </c>
      <c r="AG204" s="154">
        <v>1</v>
      </c>
      <c r="AH204" s="154">
        <v>1</v>
      </c>
      <c r="AI204" s="154">
        <v>1</v>
      </c>
      <c r="AJ204" s="154">
        <v>1</v>
      </c>
      <c r="AK204" s="154">
        <v>1</v>
      </c>
      <c r="AL204" s="154">
        <v>1</v>
      </c>
      <c r="AM204" s="154">
        <v>1</v>
      </c>
      <c r="AN204" s="154">
        <v>1</v>
      </c>
      <c r="AO204" s="154">
        <v>1</v>
      </c>
      <c r="AP204" s="154">
        <v>1</v>
      </c>
      <c r="AQ204" s="154">
        <v>1</v>
      </c>
      <c r="AR204" s="154">
        <v>1</v>
      </c>
      <c r="AS204" s="154">
        <v>1</v>
      </c>
      <c r="AT204" s="154">
        <v>1</v>
      </c>
      <c r="AU204" s="154">
        <v>1</v>
      </c>
      <c r="AV204" s="154">
        <v>1</v>
      </c>
      <c r="AW204" s="154">
        <v>1</v>
      </c>
      <c r="AX204" s="154">
        <v>1</v>
      </c>
      <c r="AY204" s="154">
        <v>1</v>
      </c>
      <c r="AZ204" s="154">
        <v>1</v>
      </c>
      <c r="BA204" s="154">
        <v>1</v>
      </c>
      <c r="BB204" s="154">
        <v>1</v>
      </c>
      <c r="BC204" s="154">
        <v>1</v>
      </c>
      <c r="BD204" s="154">
        <v>1</v>
      </c>
      <c r="BE204" s="154">
        <v>1</v>
      </c>
      <c r="BF204" s="154">
        <v>1</v>
      </c>
      <c r="BG204" s="154">
        <v>1</v>
      </c>
      <c r="BH204" s="154">
        <v>1</v>
      </c>
      <c r="BI204" s="154">
        <v>1</v>
      </c>
      <c r="BJ204" s="154">
        <v>1</v>
      </c>
      <c r="BK204" s="154">
        <v>1</v>
      </c>
      <c r="BL204" s="154">
        <v>1</v>
      </c>
      <c r="BM204" s="154">
        <v>1</v>
      </c>
      <c r="BN204" s="154">
        <v>1</v>
      </c>
      <c r="BO204" s="154">
        <v>1</v>
      </c>
      <c r="BP204" s="154"/>
      <c r="BQ204" s="154"/>
    </row>
    <row r="205" spans="3:69" s="22" customFormat="1" outlineLevel="2">
      <c r="C205" s="22" t="str">
        <v>Renderburg</v>
      </c>
      <c r="D205" s="146"/>
      <c r="E205" s="147"/>
      <c r="F205" s="29" t="s">
        <v>1240</v>
      </c>
      <c r="G205" s="251">
        <v>1</v>
      </c>
      <c r="H205" s="154">
        <v>1</v>
      </c>
      <c r="I205" s="154">
        <v>1</v>
      </c>
      <c r="J205" s="154">
        <v>1</v>
      </c>
      <c r="K205" s="154">
        <v>1</v>
      </c>
      <c r="L205" s="154">
        <v>1</v>
      </c>
      <c r="M205" s="154">
        <v>1</v>
      </c>
      <c r="N205" s="154">
        <v>1</v>
      </c>
      <c r="O205" s="154">
        <v>1</v>
      </c>
      <c r="P205" s="154">
        <v>1</v>
      </c>
      <c r="Q205" s="154">
        <v>1</v>
      </c>
      <c r="R205" s="154">
        <v>1</v>
      </c>
      <c r="S205" s="154">
        <v>1</v>
      </c>
      <c r="T205" s="154">
        <v>1</v>
      </c>
      <c r="U205" s="154">
        <v>1</v>
      </c>
      <c r="V205" s="154">
        <v>1</v>
      </c>
      <c r="W205" s="154">
        <v>1</v>
      </c>
      <c r="X205" s="154">
        <v>1</v>
      </c>
      <c r="Y205" s="154">
        <v>1</v>
      </c>
      <c r="Z205" s="154">
        <v>1</v>
      </c>
      <c r="AA205" s="154">
        <v>1</v>
      </c>
      <c r="AB205" s="154">
        <v>1</v>
      </c>
      <c r="AC205" s="154">
        <v>1</v>
      </c>
      <c r="AD205" s="154">
        <v>1</v>
      </c>
      <c r="AE205" s="154">
        <v>1</v>
      </c>
      <c r="AF205" s="154">
        <v>1</v>
      </c>
      <c r="AG205" s="154">
        <v>1</v>
      </c>
      <c r="AH205" s="154">
        <v>1</v>
      </c>
      <c r="AI205" s="154">
        <v>1</v>
      </c>
      <c r="AJ205" s="154">
        <v>1</v>
      </c>
      <c r="AK205" s="154">
        <v>1</v>
      </c>
      <c r="AL205" s="154">
        <v>1</v>
      </c>
      <c r="AM205" s="154">
        <v>1</v>
      </c>
      <c r="AN205" s="154">
        <v>1</v>
      </c>
      <c r="AO205" s="154">
        <v>1</v>
      </c>
      <c r="AP205" s="154">
        <v>1</v>
      </c>
      <c r="AQ205" s="154">
        <v>1</v>
      </c>
      <c r="AR205" s="154">
        <v>1</v>
      </c>
      <c r="AS205" s="154">
        <v>1</v>
      </c>
      <c r="AT205" s="154">
        <v>1</v>
      </c>
      <c r="AU205" s="154">
        <v>1</v>
      </c>
      <c r="AV205" s="154">
        <v>1</v>
      </c>
      <c r="AW205" s="154">
        <v>1</v>
      </c>
      <c r="AX205" s="154">
        <v>1</v>
      </c>
      <c r="AY205" s="154">
        <v>1</v>
      </c>
      <c r="AZ205" s="154">
        <v>1</v>
      </c>
      <c r="BA205" s="154">
        <v>1</v>
      </c>
      <c r="BB205" s="154">
        <v>1</v>
      </c>
      <c r="BC205" s="154">
        <v>1</v>
      </c>
      <c r="BD205" s="154">
        <v>1</v>
      </c>
      <c r="BE205" s="154">
        <v>1</v>
      </c>
      <c r="BF205" s="154">
        <v>1</v>
      </c>
      <c r="BG205" s="154">
        <v>1</v>
      </c>
      <c r="BH205" s="154">
        <v>1</v>
      </c>
      <c r="BI205" s="154">
        <v>1</v>
      </c>
      <c r="BJ205" s="154">
        <v>1</v>
      </c>
      <c r="BK205" s="154">
        <v>1</v>
      </c>
      <c r="BL205" s="154">
        <v>1</v>
      </c>
      <c r="BM205" s="154">
        <v>1</v>
      </c>
      <c r="BN205" s="154">
        <v>1</v>
      </c>
      <c r="BO205" s="154">
        <v>1</v>
      </c>
      <c r="BP205" s="154"/>
      <c r="BQ205" s="154"/>
    </row>
    <row r="206" spans="3:69" s="22" customFormat="1" outlineLevel="2">
      <c r="C206" s="22" t="str">
        <v>Socket Springs</v>
      </c>
      <c r="D206" s="146"/>
      <c r="E206" s="147"/>
      <c r="F206" s="29" t="s">
        <v>1240</v>
      </c>
      <c r="G206" s="251">
        <v>1</v>
      </c>
      <c r="H206" s="154">
        <v>1</v>
      </c>
      <c r="I206" s="154">
        <v>1</v>
      </c>
      <c r="J206" s="154">
        <v>1</v>
      </c>
      <c r="K206" s="154">
        <v>1</v>
      </c>
      <c r="L206" s="154">
        <v>1</v>
      </c>
      <c r="M206" s="154">
        <v>1</v>
      </c>
      <c r="N206" s="154">
        <v>1</v>
      </c>
      <c r="O206" s="154">
        <v>1</v>
      </c>
      <c r="P206" s="154">
        <v>1</v>
      </c>
      <c r="Q206" s="154">
        <v>1</v>
      </c>
      <c r="R206" s="154">
        <v>1</v>
      </c>
      <c r="S206" s="154">
        <v>1</v>
      </c>
      <c r="T206" s="154">
        <v>1</v>
      </c>
      <c r="U206" s="154">
        <v>1</v>
      </c>
      <c r="V206" s="154">
        <v>1</v>
      </c>
      <c r="W206" s="154">
        <v>1</v>
      </c>
      <c r="X206" s="154">
        <v>1</v>
      </c>
      <c r="Y206" s="154">
        <v>1</v>
      </c>
      <c r="Z206" s="154">
        <v>1</v>
      </c>
      <c r="AA206" s="154">
        <v>1</v>
      </c>
      <c r="AB206" s="154">
        <v>1</v>
      </c>
      <c r="AC206" s="154">
        <v>1</v>
      </c>
      <c r="AD206" s="154">
        <v>1</v>
      </c>
      <c r="AE206" s="154">
        <v>1</v>
      </c>
      <c r="AF206" s="154">
        <v>1</v>
      </c>
      <c r="AG206" s="154">
        <v>1</v>
      </c>
      <c r="AH206" s="154">
        <v>1</v>
      </c>
      <c r="AI206" s="154">
        <v>1</v>
      </c>
      <c r="AJ206" s="154">
        <v>1</v>
      </c>
      <c r="AK206" s="154">
        <v>1</v>
      </c>
      <c r="AL206" s="154">
        <v>1</v>
      </c>
      <c r="AM206" s="154">
        <v>1</v>
      </c>
      <c r="AN206" s="154">
        <v>1</v>
      </c>
      <c r="AO206" s="154">
        <v>1</v>
      </c>
      <c r="AP206" s="154">
        <v>1</v>
      </c>
      <c r="AQ206" s="154">
        <v>1</v>
      </c>
      <c r="AR206" s="154">
        <v>1</v>
      </c>
      <c r="AS206" s="154">
        <v>1</v>
      </c>
      <c r="AT206" s="154">
        <v>1</v>
      </c>
      <c r="AU206" s="154">
        <v>1</v>
      </c>
      <c r="AV206" s="154">
        <v>1</v>
      </c>
      <c r="AW206" s="154">
        <v>1</v>
      </c>
      <c r="AX206" s="154">
        <v>1</v>
      </c>
      <c r="AY206" s="154">
        <v>1</v>
      </c>
      <c r="AZ206" s="154">
        <v>1</v>
      </c>
      <c r="BA206" s="154">
        <v>1</v>
      </c>
      <c r="BB206" s="154">
        <v>1</v>
      </c>
      <c r="BC206" s="154">
        <v>1</v>
      </c>
      <c r="BD206" s="154">
        <v>1</v>
      </c>
      <c r="BE206" s="154">
        <v>1</v>
      </c>
      <c r="BF206" s="154">
        <v>1</v>
      </c>
      <c r="BG206" s="154">
        <v>1</v>
      </c>
      <c r="BH206" s="154">
        <v>1</v>
      </c>
      <c r="BI206" s="154">
        <v>1</v>
      </c>
      <c r="BJ206" s="154">
        <v>1</v>
      </c>
      <c r="BK206" s="154">
        <v>1</v>
      </c>
      <c r="BL206" s="154">
        <v>1</v>
      </c>
      <c r="BM206" s="154">
        <v>1</v>
      </c>
      <c r="BN206" s="154">
        <v>1</v>
      </c>
      <c r="BO206" s="154">
        <v>1</v>
      </c>
      <c r="BP206" s="154"/>
      <c r="BQ206" s="154"/>
    </row>
    <row r="207" spans="3:69" s="22" customFormat="1" outlineLevel="2">
      <c r="C207" s="22" t="str">
        <v>TerraTask</v>
      </c>
      <c r="D207" s="146"/>
      <c r="E207" s="147"/>
      <c r="F207" s="29" t="s">
        <v>1240</v>
      </c>
      <c r="G207" s="251">
        <v>1</v>
      </c>
      <c r="H207" s="154">
        <v>1</v>
      </c>
      <c r="I207" s="154">
        <v>1</v>
      </c>
      <c r="J207" s="154">
        <v>1</v>
      </c>
      <c r="K207" s="154">
        <v>1</v>
      </c>
      <c r="L207" s="154">
        <v>1</v>
      </c>
      <c r="M207" s="154">
        <v>1</v>
      </c>
      <c r="N207" s="154">
        <v>1</v>
      </c>
      <c r="O207" s="154">
        <v>1</v>
      </c>
      <c r="P207" s="154">
        <v>1</v>
      </c>
      <c r="Q207" s="154">
        <v>1</v>
      </c>
      <c r="R207" s="154">
        <v>1</v>
      </c>
      <c r="S207" s="154">
        <v>1</v>
      </c>
      <c r="T207" s="154">
        <v>1</v>
      </c>
      <c r="U207" s="154">
        <v>1</v>
      </c>
      <c r="V207" s="154">
        <v>1</v>
      </c>
      <c r="W207" s="154">
        <v>1</v>
      </c>
      <c r="X207" s="154">
        <v>1</v>
      </c>
      <c r="Y207" s="154">
        <v>1</v>
      </c>
      <c r="Z207" s="154">
        <v>1</v>
      </c>
      <c r="AA207" s="154">
        <v>1</v>
      </c>
      <c r="AB207" s="154">
        <v>1</v>
      </c>
      <c r="AC207" s="154">
        <v>1</v>
      </c>
      <c r="AD207" s="154">
        <v>1</v>
      </c>
      <c r="AE207" s="154">
        <v>1</v>
      </c>
      <c r="AF207" s="154">
        <v>1</v>
      </c>
      <c r="AG207" s="154">
        <v>1</v>
      </c>
      <c r="AH207" s="154">
        <v>1</v>
      </c>
      <c r="AI207" s="154">
        <v>1</v>
      </c>
      <c r="AJ207" s="154">
        <v>1</v>
      </c>
      <c r="AK207" s="154">
        <v>1</v>
      </c>
      <c r="AL207" s="154">
        <v>1</v>
      </c>
      <c r="AM207" s="154">
        <v>1</v>
      </c>
      <c r="AN207" s="154">
        <v>1</v>
      </c>
      <c r="AO207" s="154">
        <v>1</v>
      </c>
      <c r="AP207" s="154">
        <v>1</v>
      </c>
      <c r="AQ207" s="154">
        <v>1</v>
      </c>
      <c r="AR207" s="154">
        <v>1</v>
      </c>
      <c r="AS207" s="154">
        <v>1</v>
      </c>
      <c r="AT207" s="154">
        <v>1</v>
      </c>
      <c r="AU207" s="154">
        <v>1</v>
      </c>
      <c r="AV207" s="154">
        <v>1</v>
      </c>
      <c r="AW207" s="154">
        <v>1</v>
      </c>
      <c r="AX207" s="154">
        <v>1</v>
      </c>
      <c r="AY207" s="154">
        <v>1</v>
      </c>
      <c r="AZ207" s="154">
        <v>1</v>
      </c>
      <c r="BA207" s="154">
        <v>1</v>
      </c>
      <c r="BB207" s="154">
        <v>1</v>
      </c>
      <c r="BC207" s="154">
        <v>1</v>
      </c>
      <c r="BD207" s="154">
        <v>1</v>
      </c>
      <c r="BE207" s="154">
        <v>1</v>
      </c>
      <c r="BF207" s="154">
        <v>1</v>
      </c>
      <c r="BG207" s="154">
        <v>1</v>
      </c>
      <c r="BH207" s="154">
        <v>1</v>
      </c>
      <c r="BI207" s="154">
        <v>1</v>
      </c>
      <c r="BJ207" s="154">
        <v>1</v>
      </c>
      <c r="BK207" s="154">
        <v>1</v>
      </c>
      <c r="BL207" s="154">
        <v>1</v>
      </c>
      <c r="BM207" s="154">
        <v>1</v>
      </c>
      <c r="BN207" s="154">
        <v>1</v>
      </c>
      <c r="BO207" s="154">
        <v>1</v>
      </c>
      <c r="BP207" s="154"/>
      <c r="BQ207" s="154"/>
    </row>
    <row r="208" spans="3:69" s="22" customFormat="1" outlineLevel="2">
      <c r="C208" s="22" t="str">
        <v>Uploadia</v>
      </c>
      <c r="D208" s="146"/>
      <c r="E208" s="147"/>
      <c r="F208" s="29" t="s">
        <v>1240</v>
      </c>
      <c r="G208" s="251">
        <v>1</v>
      </c>
      <c r="H208" s="154">
        <v>1</v>
      </c>
      <c r="I208" s="154">
        <v>1</v>
      </c>
      <c r="J208" s="154">
        <v>1</v>
      </c>
      <c r="K208" s="154">
        <v>1</v>
      </c>
      <c r="L208" s="154">
        <v>1</v>
      </c>
      <c r="M208" s="154">
        <v>1</v>
      </c>
      <c r="N208" s="154">
        <v>1</v>
      </c>
      <c r="O208" s="154">
        <v>1</v>
      </c>
      <c r="P208" s="154">
        <v>1</v>
      </c>
      <c r="Q208" s="154">
        <v>1</v>
      </c>
      <c r="R208" s="154">
        <v>1</v>
      </c>
      <c r="S208" s="154">
        <v>1</v>
      </c>
      <c r="T208" s="154">
        <v>1</v>
      </c>
      <c r="U208" s="154">
        <v>1</v>
      </c>
      <c r="V208" s="154">
        <v>1</v>
      </c>
      <c r="W208" s="154">
        <v>1</v>
      </c>
      <c r="X208" s="154">
        <v>1</v>
      </c>
      <c r="Y208" s="154">
        <v>1</v>
      </c>
      <c r="Z208" s="154">
        <v>1</v>
      </c>
      <c r="AA208" s="154">
        <v>1</v>
      </c>
      <c r="AB208" s="154">
        <v>0.8</v>
      </c>
      <c r="AC208" s="154">
        <v>0.8</v>
      </c>
      <c r="AD208" s="154">
        <v>0.8</v>
      </c>
      <c r="AE208" s="154">
        <v>0.8</v>
      </c>
      <c r="AF208" s="154">
        <v>0.8</v>
      </c>
      <c r="AG208" s="154">
        <v>0.8</v>
      </c>
      <c r="AH208" s="154">
        <v>0.8</v>
      </c>
      <c r="AI208" s="154">
        <v>0.8</v>
      </c>
      <c r="AJ208" s="154">
        <v>0.8</v>
      </c>
      <c r="AK208" s="154">
        <v>0.8</v>
      </c>
      <c r="AL208" s="154">
        <v>0.8</v>
      </c>
      <c r="AM208" s="154">
        <v>0.8</v>
      </c>
      <c r="AN208" s="154">
        <v>0.8</v>
      </c>
      <c r="AO208" s="154">
        <v>0.8</v>
      </c>
      <c r="AP208" s="154">
        <v>0.8</v>
      </c>
      <c r="AQ208" s="154">
        <v>0.8</v>
      </c>
      <c r="AR208" s="154">
        <v>0.8</v>
      </c>
      <c r="AS208" s="154">
        <v>0.8</v>
      </c>
      <c r="AT208" s="154">
        <v>0.8</v>
      </c>
      <c r="AU208" s="154">
        <v>0.8</v>
      </c>
      <c r="AV208" s="154">
        <v>0.8</v>
      </c>
      <c r="AW208" s="154">
        <v>0.8</v>
      </c>
      <c r="AX208" s="154">
        <v>0.8</v>
      </c>
      <c r="AY208" s="154">
        <v>0.8</v>
      </c>
      <c r="AZ208" s="154">
        <v>0.8</v>
      </c>
      <c r="BA208" s="154">
        <v>0.8</v>
      </c>
      <c r="BB208" s="154">
        <v>0.8</v>
      </c>
      <c r="BC208" s="154">
        <v>0.8</v>
      </c>
      <c r="BD208" s="154">
        <v>0.8</v>
      </c>
      <c r="BE208" s="154">
        <v>0.8</v>
      </c>
      <c r="BF208" s="154">
        <v>0.8</v>
      </c>
      <c r="BG208" s="154">
        <v>0.8</v>
      </c>
      <c r="BH208" s="154">
        <v>0.8</v>
      </c>
      <c r="BI208" s="154">
        <v>0.8</v>
      </c>
      <c r="BJ208" s="154">
        <v>0.8</v>
      </c>
      <c r="BK208" s="154">
        <v>0.8</v>
      </c>
      <c r="BL208" s="154">
        <v>0.8</v>
      </c>
      <c r="BM208" s="154">
        <v>0.8</v>
      </c>
      <c r="BN208" s="154">
        <v>0.8</v>
      </c>
      <c r="BO208" s="154">
        <v>0.8</v>
      </c>
      <c r="BP208" s="154"/>
      <c r="BQ208" s="154"/>
    </row>
    <row r="209" spans="2:69" s="22" customFormat="1" outlineLevel="2">
      <c r="C209" s="22" t="str">
        <v>Vector Valley</v>
      </c>
      <c r="D209" s="146"/>
      <c r="E209" s="147"/>
      <c r="F209" s="29" t="s">
        <v>1240</v>
      </c>
      <c r="G209" s="251">
        <v>1</v>
      </c>
      <c r="H209" s="154">
        <v>1</v>
      </c>
      <c r="I209" s="154">
        <v>1</v>
      </c>
      <c r="J209" s="154">
        <v>1</v>
      </c>
      <c r="K209" s="154">
        <v>1</v>
      </c>
      <c r="L209" s="154">
        <v>1</v>
      </c>
      <c r="M209" s="154">
        <v>1</v>
      </c>
      <c r="N209" s="154">
        <v>1</v>
      </c>
      <c r="O209" s="154">
        <v>1</v>
      </c>
      <c r="P209" s="154">
        <v>1</v>
      </c>
      <c r="Q209" s="154">
        <v>1</v>
      </c>
      <c r="R209" s="154">
        <v>1</v>
      </c>
      <c r="S209" s="154">
        <v>1</v>
      </c>
      <c r="T209" s="154">
        <v>1</v>
      </c>
      <c r="U209" s="154">
        <v>1</v>
      </c>
      <c r="V209" s="154">
        <v>1</v>
      </c>
      <c r="W209" s="154">
        <v>1</v>
      </c>
      <c r="X209" s="154">
        <v>1</v>
      </c>
      <c r="Y209" s="154">
        <v>1</v>
      </c>
      <c r="Z209" s="154">
        <v>1</v>
      </c>
      <c r="AA209" s="154">
        <v>1</v>
      </c>
      <c r="AB209" s="154">
        <v>1</v>
      </c>
      <c r="AC209" s="154">
        <v>1</v>
      </c>
      <c r="AD209" s="154">
        <v>1</v>
      </c>
      <c r="AE209" s="154">
        <v>1</v>
      </c>
      <c r="AF209" s="154">
        <v>1</v>
      </c>
      <c r="AG209" s="154">
        <v>1</v>
      </c>
      <c r="AH209" s="154">
        <v>1</v>
      </c>
      <c r="AI209" s="154">
        <v>1</v>
      </c>
      <c r="AJ209" s="154">
        <v>1</v>
      </c>
      <c r="AK209" s="154">
        <v>1</v>
      </c>
      <c r="AL209" s="154">
        <v>1</v>
      </c>
      <c r="AM209" s="154">
        <v>1</v>
      </c>
      <c r="AN209" s="154">
        <v>1</v>
      </c>
      <c r="AO209" s="154">
        <v>1</v>
      </c>
      <c r="AP209" s="154">
        <v>1</v>
      </c>
      <c r="AQ209" s="154">
        <v>1</v>
      </c>
      <c r="AR209" s="154">
        <v>1</v>
      </c>
      <c r="AS209" s="154">
        <v>1</v>
      </c>
      <c r="AT209" s="154">
        <v>1</v>
      </c>
      <c r="AU209" s="154">
        <v>1</v>
      </c>
      <c r="AV209" s="154">
        <v>1</v>
      </c>
      <c r="AW209" s="154">
        <v>1</v>
      </c>
      <c r="AX209" s="154">
        <v>1</v>
      </c>
      <c r="AY209" s="154">
        <v>1</v>
      </c>
      <c r="AZ209" s="154">
        <v>1</v>
      </c>
      <c r="BA209" s="154">
        <v>1</v>
      </c>
      <c r="BB209" s="154">
        <v>1</v>
      </c>
      <c r="BC209" s="154">
        <v>1</v>
      </c>
      <c r="BD209" s="154">
        <v>1</v>
      </c>
      <c r="BE209" s="154">
        <v>1</v>
      </c>
      <c r="BF209" s="154">
        <v>1</v>
      </c>
      <c r="BG209" s="154">
        <v>1</v>
      </c>
      <c r="BH209" s="154">
        <v>1</v>
      </c>
      <c r="BI209" s="154">
        <v>1</v>
      </c>
      <c r="BJ209" s="154">
        <v>1</v>
      </c>
      <c r="BK209" s="154">
        <v>1</v>
      </c>
      <c r="BL209" s="154">
        <v>1</v>
      </c>
      <c r="BM209" s="154">
        <v>1</v>
      </c>
      <c r="BN209" s="154">
        <v>1</v>
      </c>
      <c r="BO209" s="154">
        <v>1</v>
      </c>
      <c r="BP209" s="154"/>
      <c r="BQ209" s="154"/>
    </row>
    <row r="210" spans="2:69" s="22" customFormat="1" outlineLevel="2">
      <c r="C210" s="22" t="str">
        <v>Wiredown</v>
      </c>
      <c r="D210" s="146"/>
      <c r="E210" s="147"/>
      <c r="F210" s="29" t="s">
        <v>1240</v>
      </c>
      <c r="G210" s="251">
        <v>1</v>
      </c>
      <c r="H210" s="154">
        <v>1</v>
      </c>
      <c r="I210" s="154">
        <v>1</v>
      </c>
      <c r="J210" s="154">
        <v>1</v>
      </c>
      <c r="K210" s="154">
        <v>1</v>
      </c>
      <c r="L210" s="154">
        <v>1</v>
      </c>
      <c r="M210" s="154">
        <v>1</v>
      </c>
      <c r="N210" s="154">
        <v>1</v>
      </c>
      <c r="O210" s="154">
        <v>1</v>
      </c>
      <c r="P210" s="154">
        <v>1</v>
      </c>
      <c r="Q210" s="154">
        <v>1</v>
      </c>
      <c r="R210" s="154">
        <v>1</v>
      </c>
      <c r="S210" s="154">
        <v>1</v>
      </c>
      <c r="T210" s="154">
        <v>1</v>
      </c>
      <c r="U210" s="154">
        <v>1</v>
      </c>
      <c r="V210" s="154">
        <v>1</v>
      </c>
      <c r="W210" s="154">
        <v>1</v>
      </c>
      <c r="X210" s="154">
        <v>1</v>
      </c>
      <c r="Y210" s="154">
        <v>1</v>
      </c>
      <c r="Z210" s="154">
        <v>1</v>
      </c>
      <c r="AA210" s="154">
        <v>1</v>
      </c>
      <c r="AB210" s="154">
        <v>1</v>
      </c>
      <c r="AC210" s="154">
        <v>1</v>
      </c>
      <c r="AD210" s="154">
        <v>1</v>
      </c>
      <c r="AE210" s="154">
        <v>1</v>
      </c>
      <c r="AF210" s="154">
        <v>1</v>
      </c>
      <c r="AG210" s="154">
        <v>1</v>
      </c>
      <c r="AH210" s="154">
        <v>1</v>
      </c>
      <c r="AI210" s="154">
        <v>1</v>
      </c>
      <c r="AJ210" s="154">
        <v>1</v>
      </c>
      <c r="AK210" s="154">
        <v>1</v>
      </c>
      <c r="AL210" s="154">
        <v>1</v>
      </c>
      <c r="AM210" s="154">
        <v>1</v>
      </c>
      <c r="AN210" s="154">
        <v>1</v>
      </c>
      <c r="AO210" s="154">
        <v>1</v>
      </c>
      <c r="AP210" s="154">
        <v>1</v>
      </c>
      <c r="AQ210" s="154">
        <v>1</v>
      </c>
      <c r="AR210" s="154">
        <v>1</v>
      </c>
      <c r="AS210" s="154">
        <v>1</v>
      </c>
      <c r="AT210" s="154">
        <v>1</v>
      </c>
      <c r="AU210" s="154">
        <v>1</v>
      </c>
      <c r="AV210" s="154">
        <v>1</v>
      </c>
      <c r="AW210" s="154">
        <v>1</v>
      </c>
      <c r="AX210" s="154">
        <v>1</v>
      </c>
      <c r="AY210" s="154">
        <v>1</v>
      </c>
      <c r="AZ210" s="154">
        <v>1</v>
      </c>
      <c r="BA210" s="154">
        <v>1</v>
      </c>
      <c r="BB210" s="154">
        <v>1</v>
      </c>
      <c r="BC210" s="154">
        <v>1</v>
      </c>
      <c r="BD210" s="154">
        <v>1</v>
      </c>
      <c r="BE210" s="154">
        <v>1</v>
      </c>
      <c r="BF210" s="154">
        <v>1</v>
      </c>
      <c r="BG210" s="154">
        <v>1</v>
      </c>
      <c r="BH210" s="154">
        <v>1</v>
      </c>
      <c r="BI210" s="154">
        <v>1</v>
      </c>
      <c r="BJ210" s="154">
        <v>1</v>
      </c>
      <c r="BK210" s="154">
        <v>1</v>
      </c>
      <c r="BL210" s="154">
        <v>1</v>
      </c>
      <c r="BM210" s="154">
        <v>1</v>
      </c>
      <c r="BN210" s="154">
        <v>1</v>
      </c>
      <c r="BO210" s="154">
        <v>1</v>
      </c>
      <c r="BP210" s="154"/>
      <c r="BQ210" s="154"/>
    </row>
    <row r="211" spans="2:69" s="22" customFormat="1" outlineLevel="2">
      <c r="C211" s="22" t="str">
        <v>Xenocode City</v>
      </c>
      <c r="D211" s="146"/>
      <c r="E211" s="147"/>
      <c r="F211" s="29" t="s">
        <v>1240</v>
      </c>
      <c r="G211" s="251">
        <v>1</v>
      </c>
      <c r="H211" s="154">
        <v>1</v>
      </c>
      <c r="I211" s="154">
        <v>1</v>
      </c>
      <c r="J211" s="154">
        <v>1</v>
      </c>
      <c r="K211" s="154">
        <v>1</v>
      </c>
      <c r="L211" s="154">
        <v>1</v>
      </c>
      <c r="M211" s="154">
        <v>1</v>
      </c>
      <c r="N211" s="154">
        <v>1</v>
      </c>
      <c r="O211" s="154">
        <v>1</v>
      </c>
      <c r="P211" s="154">
        <v>1</v>
      </c>
      <c r="Q211" s="154">
        <v>1</v>
      </c>
      <c r="R211" s="154">
        <v>1</v>
      </c>
      <c r="S211" s="154">
        <v>1</v>
      </c>
      <c r="T211" s="154">
        <v>1</v>
      </c>
      <c r="U211" s="154">
        <v>1</v>
      </c>
      <c r="V211" s="154">
        <v>1</v>
      </c>
      <c r="W211" s="154">
        <v>1</v>
      </c>
      <c r="X211" s="154">
        <v>1</v>
      </c>
      <c r="Y211" s="154">
        <v>1</v>
      </c>
      <c r="Z211" s="154">
        <v>1</v>
      </c>
      <c r="AA211" s="154">
        <v>1</v>
      </c>
      <c r="AB211" s="154">
        <v>1</v>
      </c>
      <c r="AC211" s="154">
        <v>1</v>
      </c>
      <c r="AD211" s="154">
        <v>1</v>
      </c>
      <c r="AE211" s="154">
        <v>0.8</v>
      </c>
      <c r="AF211" s="154">
        <v>0.8</v>
      </c>
      <c r="AG211" s="154">
        <v>0.8</v>
      </c>
      <c r="AH211" s="154">
        <v>0.8</v>
      </c>
      <c r="AI211" s="154">
        <v>0.8</v>
      </c>
      <c r="AJ211" s="154">
        <v>0.8</v>
      </c>
      <c r="AK211" s="154">
        <v>0.8</v>
      </c>
      <c r="AL211" s="154">
        <v>0.8</v>
      </c>
      <c r="AM211" s="154">
        <v>0.8</v>
      </c>
      <c r="AN211" s="154">
        <v>0.8</v>
      </c>
      <c r="AO211" s="154">
        <v>0.8</v>
      </c>
      <c r="AP211" s="154">
        <v>0.8</v>
      </c>
      <c r="AQ211" s="154">
        <v>0.8</v>
      </c>
      <c r="AR211" s="154">
        <v>0.8</v>
      </c>
      <c r="AS211" s="154">
        <v>0.8</v>
      </c>
      <c r="AT211" s="154">
        <v>0.8</v>
      </c>
      <c r="AU211" s="154">
        <v>0.8</v>
      </c>
      <c r="AV211" s="154">
        <v>0.8</v>
      </c>
      <c r="AW211" s="154">
        <v>0.8</v>
      </c>
      <c r="AX211" s="154">
        <v>0.8</v>
      </c>
      <c r="AY211" s="154">
        <v>0.8</v>
      </c>
      <c r="AZ211" s="154">
        <v>0.8</v>
      </c>
      <c r="BA211" s="154">
        <v>0.8</v>
      </c>
      <c r="BB211" s="154">
        <v>0.8</v>
      </c>
      <c r="BC211" s="154">
        <v>0.8</v>
      </c>
      <c r="BD211" s="154">
        <v>0.8</v>
      </c>
      <c r="BE211" s="154">
        <v>0.8</v>
      </c>
      <c r="BF211" s="154">
        <v>0.8</v>
      </c>
      <c r="BG211" s="154">
        <v>0.8</v>
      </c>
      <c r="BH211" s="154">
        <v>0.8</v>
      </c>
      <c r="BI211" s="154">
        <v>0.8</v>
      </c>
      <c r="BJ211" s="154">
        <v>0.8</v>
      </c>
      <c r="BK211" s="154">
        <v>0.8</v>
      </c>
      <c r="BL211" s="154">
        <v>0.8</v>
      </c>
      <c r="BM211" s="154">
        <v>0.8</v>
      </c>
      <c r="BN211" s="154">
        <v>0.8</v>
      </c>
      <c r="BO211" s="154">
        <v>0.8</v>
      </c>
      <c r="BP211" s="154"/>
      <c r="BQ211" s="154"/>
    </row>
    <row r="212" spans="2:69" s="22" customFormat="1" outlineLevel="2">
      <c r="C212" s="22" t="str">
        <v>Yieldville</v>
      </c>
      <c r="D212" s="146"/>
      <c r="E212" s="147"/>
      <c r="F212" s="29" t="s">
        <v>1240</v>
      </c>
      <c r="G212" s="251">
        <v>1</v>
      </c>
      <c r="H212" s="154">
        <v>1</v>
      </c>
      <c r="I212" s="154">
        <v>1</v>
      </c>
      <c r="J212" s="154">
        <v>1</v>
      </c>
      <c r="K212" s="154">
        <v>1</v>
      </c>
      <c r="L212" s="154">
        <v>1</v>
      </c>
      <c r="M212" s="154">
        <v>1</v>
      </c>
      <c r="N212" s="154">
        <v>1</v>
      </c>
      <c r="O212" s="154">
        <v>1</v>
      </c>
      <c r="P212" s="154">
        <v>1</v>
      </c>
      <c r="Q212" s="154">
        <v>1</v>
      </c>
      <c r="R212" s="154">
        <v>1</v>
      </c>
      <c r="S212" s="154">
        <v>1</v>
      </c>
      <c r="T212" s="154">
        <v>1</v>
      </c>
      <c r="U212" s="154">
        <v>1</v>
      </c>
      <c r="V212" s="154">
        <v>1</v>
      </c>
      <c r="W212" s="154">
        <v>1</v>
      </c>
      <c r="X212" s="154">
        <v>1</v>
      </c>
      <c r="Y212" s="154">
        <v>1</v>
      </c>
      <c r="Z212" s="154">
        <v>1</v>
      </c>
      <c r="AA212" s="154">
        <v>1</v>
      </c>
      <c r="AB212" s="154">
        <v>1</v>
      </c>
      <c r="AC212" s="154">
        <v>1</v>
      </c>
      <c r="AD212" s="154">
        <v>1</v>
      </c>
      <c r="AE212" s="154">
        <v>1</v>
      </c>
      <c r="AF212" s="154">
        <v>1</v>
      </c>
      <c r="AG212" s="154">
        <v>1</v>
      </c>
      <c r="AH212" s="154">
        <v>1</v>
      </c>
      <c r="AI212" s="154">
        <v>1</v>
      </c>
      <c r="AJ212" s="154">
        <v>1</v>
      </c>
      <c r="AK212" s="154">
        <v>1</v>
      </c>
      <c r="AL212" s="154">
        <v>1</v>
      </c>
      <c r="AM212" s="154">
        <v>1</v>
      </c>
      <c r="AN212" s="154">
        <v>1</v>
      </c>
      <c r="AO212" s="154">
        <v>1</v>
      </c>
      <c r="AP212" s="154">
        <v>1</v>
      </c>
      <c r="AQ212" s="154">
        <v>1</v>
      </c>
      <c r="AR212" s="154">
        <v>1</v>
      </c>
      <c r="AS212" s="154">
        <v>1</v>
      </c>
      <c r="AT212" s="154">
        <v>1</v>
      </c>
      <c r="AU212" s="154">
        <v>1</v>
      </c>
      <c r="AV212" s="154">
        <v>1</v>
      </c>
      <c r="AW212" s="154">
        <v>1</v>
      </c>
      <c r="AX212" s="154">
        <v>1</v>
      </c>
      <c r="AY212" s="154">
        <v>1</v>
      </c>
      <c r="AZ212" s="154">
        <v>1</v>
      </c>
      <c r="BA212" s="154">
        <v>1</v>
      </c>
      <c r="BB212" s="154">
        <v>1</v>
      </c>
      <c r="BC212" s="154">
        <v>1</v>
      </c>
      <c r="BD212" s="154">
        <v>1</v>
      </c>
      <c r="BE212" s="154">
        <v>1</v>
      </c>
      <c r="BF212" s="154">
        <v>1</v>
      </c>
      <c r="BG212" s="154">
        <v>1</v>
      </c>
      <c r="BH212" s="154">
        <v>1</v>
      </c>
      <c r="BI212" s="154">
        <v>1</v>
      </c>
      <c r="BJ212" s="154">
        <v>1</v>
      </c>
      <c r="BK212" s="154">
        <v>1</v>
      </c>
      <c r="BL212" s="154">
        <v>1</v>
      </c>
      <c r="BM212" s="154">
        <v>1</v>
      </c>
      <c r="BN212" s="154">
        <v>1</v>
      </c>
      <c r="BO212" s="154">
        <v>1</v>
      </c>
      <c r="BP212" s="154"/>
      <c r="BQ212" s="154"/>
    </row>
    <row r="213" spans="2:69" s="22" customFormat="1" outlineLevel="2">
      <c r="C213" s="22" t="str">
        <v>ZeroDay Zone</v>
      </c>
      <c r="D213" s="146"/>
      <c r="E213" s="147"/>
      <c r="F213" s="29" t="s">
        <v>1240</v>
      </c>
      <c r="G213" s="251">
        <v>1</v>
      </c>
      <c r="H213" s="154">
        <v>1</v>
      </c>
      <c r="I213" s="154">
        <v>1</v>
      </c>
      <c r="J213" s="154">
        <v>1</v>
      </c>
      <c r="K213" s="154">
        <v>1</v>
      </c>
      <c r="L213" s="154">
        <v>1</v>
      </c>
      <c r="M213" s="154">
        <v>1</v>
      </c>
      <c r="N213" s="154">
        <v>1</v>
      </c>
      <c r="O213" s="154">
        <v>1</v>
      </c>
      <c r="P213" s="154">
        <v>1</v>
      </c>
      <c r="Q213" s="154">
        <v>1</v>
      </c>
      <c r="R213" s="154">
        <v>1</v>
      </c>
      <c r="S213" s="154">
        <v>1</v>
      </c>
      <c r="T213" s="154">
        <v>1</v>
      </c>
      <c r="U213" s="154">
        <v>1</v>
      </c>
      <c r="V213" s="154">
        <v>1</v>
      </c>
      <c r="W213" s="154">
        <v>1</v>
      </c>
      <c r="X213" s="154">
        <v>1</v>
      </c>
      <c r="Y213" s="154">
        <v>1</v>
      </c>
      <c r="Z213" s="154">
        <v>1</v>
      </c>
      <c r="AA213" s="154">
        <v>1</v>
      </c>
      <c r="AB213" s="154">
        <v>1</v>
      </c>
      <c r="AC213" s="154">
        <v>1</v>
      </c>
      <c r="AD213" s="154">
        <v>1</v>
      </c>
      <c r="AE213" s="154">
        <v>1</v>
      </c>
      <c r="AF213" s="154">
        <v>1</v>
      </c>
      <c r="AG213" s="154">
        <v>1</v>
      </c>
      <c r="AH213" s="154">
        <v>1</v>
      </c>
      <c r="AI213" s="154">
        <v>1</v>
      </c>
      <c r="AJ213" s="154">
        <v>1</v>
      </c>
      <c r="AK213" s="154">
        <v>1</v>
      </c>
      <c r="AL213" s="154">
        <v>1</v>
      </c>
      <c r="AM213" s="154">
        <v>1</v>
      </c>
      <c r="AN213" s="154">
        <v>1</v>
      </c>
      <c r="AO213" s="154">
        <v>1</v>
      </c>
      <c r="AP213" s="154">
        <v>1</v>
      </c>
      <c r="AQ213" s="154">
        <v>1</v>
      </c>
      <c r="AR213" s="154">
        <v>1</v>
      </c>
      <c r="AS213" s="154">
        <v>1</v>
      </c>
      <c r="AT213" s="154">
        <v>1</v>
      </c>
      <c r="AU213" s="154">
        <v>1</v>
      </c>
      <c r="AV213" s="154">
        <v>1</v>
      </c>
      <c r="AW213" s="154">
        <v>1</v>
      </c>
      <c r="AX213" s="154">
        <v>1</v>
      </c>
      <c r="AY213" s="154">
        <v>1</v>
      </c>
      <c r="AZ213" s="154">
        <v>1</v>
      </c>
      <c r="BA213" s="154">
        <v>1</v>
      </c>
      <c r="BB213" s="154">
        <v>1</v>
      </c>
      <c r="BC213" s="154">
        <v>1</v>
      </c>
      <c r="BD213" s="154">
        <v>1</v>
      </c>
      <c r="BE213" s="154">
        <v>1</v>
      </c>
      <c r="BF213" s="154">
        <v>1</v>
      </c>
      <c r="BG213" s="154">
        <v>1</v>
      </c>
      <c r="BH213" s="154">
        <v>1</v>
      </c>
      <c r="BI213" s="154">
        <v>1</v>
      </c>
      <c r="BJ213" s="154">
        <v>1</v>
      </c>
      <c r="BK213" s="154">
        <v>1</v>
      </c>
      <c r="BL213" s="154">
        <v>1</v>
      </c>
      <c r="BM213" s="154">
        <v>1</v>
      </c>
      <c r="BN213" s="154">
        <v>1</v>
      </c>
      <c r="BO213" s="154">
        <v>1</v>
      </c>
      <c r="BP213" s="154"/>
      <c r="BQ213" s="154"/>
    </row>
    <row r="214" spans="2:69" s="22" customFormat="1" outlineLevel="2">
      <c r="E214" s="28"/>
      <c r="F214" s="29"/>
      <c r="G214" s="66"/>
    </row>
    <row r="215" spans="2:69" s="23" customFormat="1" ht="13.7" customHeight="1">
      <c r="B215" s="57" t="s">
        <v>1241</v>
      </c>
      <c r="C215" s="58"/>
      <c r="D215" s="58"/>
      <c r="E215" s="59"/>
      <c r="F215" s="60"/>
      <c r="G215" s="58"/>
      <c r="H215" s="58"/>
      <c r="I215" s="58"/>
      <c r="J215" s="58"/>
      <c r="K215" s="58"/>
      <c r="L215" s="58"/>
      <c r="M215" s="58"/>
      <c r="N215" s="58"/>
      <c r="O215" s="58"/>
      <c r="P215" s="58"/>
      <c r="Q215" s="58"/>
      <c r="R215" s="58"/>
      <c r="S215" s="58"/>
      <c r="T215" s="58"/>
      <c r="U215" s="58"/>
      <c r="V215" s="58"/>
      <c r="W215" s="58"/>
      <c r="X215" s="58"/>
      <c r="Y215" s="58"/>
      <c r="Z215" s="58"/>
      <c r="AA215" s="58"/>
      <c r="AB215" s="58"/>
      <c r="AC215" s="58"/>
      <c r="AD215" s="58"/>
      <c r="AE215" s="58"/>
      <c r="AF215" s="58"/>
      <c r="AG215" s="58"/>
      <c r="AH215" s="58"/>
      <c r="AI215" s="58"/>
      <c r="AJ215" s="58"/>
      <c r="AK215" s="58"/>
      <c r="AL215" s="58"/>
      <c r="AM215" s="58"/>
      <c r="AN215" s="58"/>
      <c r="AO215" s="58"/>
      <c r="AP215" s="58"/>
      <c r="AQ215" s="58"/>
      <c r="AR215" s="58"/>
      <c r="AS215" s="58"/>
      <c r="AT215" s="58"/>
      <c r="AU215" s="58"/>
      <c r="AV215" s="58"/>
      <c r="AW215" s="58"/>
      <c r="AX215" s="58"/>
      <c r="AY215" s="58"/>
      <c r="AZ215" s="58"/>
      <c r="BA215" s="58"/>
      <c r="BB215" s="58"/>
      <c r="BC215" s="58"/>
      <c r="BD215" s="58"/>
      <c r="BE215" s="58"/>
      <c r="BF215" s="58"/>
      <c r="BG215" s="58"/>
      <c r="BH215" s="58"/>
      <c r="BI215" s="58"/>
      <c r="BJ215" s="58"/>
      <c r="BK215" s="58"/>
      <c r="BL215" s="58"/>
      <c r="BM215" s="58"/>
      <c r="BN215" s="58"/>
      <c r="BO215" s="58"/>
      <c r="BP215" s="356"/>
      <c r="BQ215" s="356"/>
    </row>
    <row r="216" spans="2:69" s="22" customFormat="1" outlineLevel="1">
      <c r="E216" s="28"/>
      <c r="F216" s="29"/>
      <c r="G216" s="66"/>
    </row>
    <row r="217" spans="2:69" s="22" customFormat="1" outlineLevel="1">
      <c r="B217" s="32" t="s">
        <v>156</v>
      </c>
      <c r="D217" s="28" t="s">
        <v>1242</v>
      </c>
      <c r="E217" s="28" t="s">
        <v>1243</v>
      </c>
      <c r="F217" s="29"/>
      <c r="G217" s="66"/>
    </row>
    <row r="218" spans="2:69" s="22" customFormat="1" outlineLevel="1">
      <c r="C218" s="22" t="str" cm="1">
        <f t="array" ref="C218:C243">_xlfn._xlws.SORT(_xlfn.UNIQUE('Existing Stores'!D9:D1008),,1)</f>
        <v>Axisbyte</v>
      </c>
      <c r="D218" s="160">
        <f>SUMIFS('Existing Stores'!$F$9:$F$1008,'Existing Stores'!$D$9:$D$1008,Model!$C218)</f>
        <v>726</v>
      </c>
      <c r="E218" s="164">
        <f>(AVERAGEIFS('Existing Stores'!$F$9:$F$1008,'Existing Stores'!$D$9:$D$1008,Model!$C218))</f>
        <v>121</v>
      </c>
      <c r="F218" s="29" t="s">
        <v>119</v>
      </c>
      <c r="G218" s="167">
        <f>$E218*G127*G$120*G$118*G188</f>
        <v>1089</v>
      </c>
      <c r="H218" s="148">
        <f t="shared" ref="H218:BO218" si="77">$E218*H127*H$120*H$118*H188</f>
        <v>697.928</v>
      </c>
      <c r="I218" s="148">
        <f t="shared" si="77"/>
        <v>654.3075</v>
      </c>
      <c r="J218" s="148">
        <f t="shared" si="77"/>
        <v>872.41</v>
      </c>
      <c r="K218" s="148">
        <f t="shared" si="77"/>
        <v>872.41</v>
      </c>
      <c r="L218" s="148">
        <f t="shared" si="77"/>
        <v>872.41</v>
      </c>
      <c r="M218" s="148">
        <f t="shared" si="77"/>
        <v>872.41</v>
      </c>
      <c r="N218" s="148">
        <f t="shared" si="77"/>
        <v>872.41</v>
      </c>
      <c r="O218" s="148">
        <f t="shared" si="77"/>
        <v>872.41</v>
      </c>
      <c r="P218" s="148">
        <f t="shared" si="77"/>
        <v>872.41</v>
      </c>
      <c r="Q218" s="148">
        <f t="shared" si="77"/>
        <v>872.41</v>
      </c>
      <c r="R218" s="148">
        <f t="shared" si="77"/>
        <v>872.41</v>
      </c>
      <c r="S218" s="148">
        <f t="shared" si="77"/>
        <v>1308.615</v>
      </c>
      <c r="T218" s="148">
        <f t="shared" si="77"/>
        <v>718.86584000000005</v>
      </c>
      <c r="U218" s="148">
        <f t="shared" si="77"/>
        <v>673.93672500000002</v>
      </c>
      <c r="V218" s="148">
        <f t="shared" si="77"/>
        <v>898.58229999999992</v>
      </c>
      <c r="W218" s="148">
        <f t="shared" si="77"/>
        <v>898.58229999999992</v>
      </c>
      <c r="X218" s="148">
        <f t="shared" si="77"/>
        <v>898.58229999999992</v>
      </c>
      <c r="Y218" s="148">
        <f t="shared" si="77"/>
        <v>898.58229999999992</v>
      </c>
      <c r="Z218" s="148">
        <f t="shared" si="77"/>
        <v>898.58229999999992</v>
      </c>
      <c r="AA218" s="148">
        <f t="shared" si="77"/>
        <v>898.58229999999992</v>
      </c>
      <c r="AB218" s="148">
        <f t="shared" si="77"/>
        <v>898.58229999999992</v>
      </c>
      <c r="AC218" s="148">
        <f t="shared" si="77"/>
        <v>898.58229999999992</v>
      </c>
      <c r="AD218" s="148">
        <f t="shared" si="77"/>
        <v>898.58229999999992</v>
      </c>
      <c r="AE218" s="148">
        <f t="shared" si="77"/>
        <v>1347.87345</v>
      </c>
      <c r="AF218" s="148">
        <f t="shared" si="77"/>
        <v>740.43181520000007</v>
      </c>
      <c r="AG218" s="148">
        <f t="shared" si="77"/>
        <v>694.15482674999998</v>
      </c>
      <c r="AH218" s="148">
        <f t="shared" si="77"/>
        <v>1057.759736</v>
      </c>
      <c r="AI218" s="148">
        <f t="shared" si="77"/>
        <v>1057.759736</v>
      </c>
      <c r="AJ218" s="148">
        <f t="shared" si="77"/>
        <v>1057.759736</v>
      </c>
      <c r="AK218" s="148">
        <f t="shared" si="77"/>
        <v>1057.759736</v>
      </c>
      <c r="AL218" s="148">
        <f t="shared" si="77"/>
        <v>1057.759736</v>
      </c>
      <c r="AM218" s="148">
        <f t="shared" si="77"/>
        <v>1057.759736</v>
      </c>
      <c r="AN218" s="148">
        <f t="shared" si="77"/>
        <v>1057.759736</v>
      </c>
      <c r="AO218" s="148">
        <f t="shared" si="77"/>
        <v>1057.759736</v>
      </c>
      <c r="AP218" s="148">
        <f t="shared" si="77"/>
        <v>1057.759736</v>
      </c>
      <c r="AQ218" s="148">
        <f t="shared" si="77"/>
        <v>1586.639604</v>
      </c>
      <c r="AR218" s="148">
        <f t="shared" si="77"/>
        <v>871.59402246400009</v>
      </c>
      <c r="AS218" s="148">
        <f t="shared" si="77"/>
        <v>817.11939605999999</v>
      </c>
      <c r="AT218" s="148">
        <f t="shared" si="77"/>
        <v>1089.4925280799998</v>
      </c>
      <c r="AU218" s="148">
        <f t="shared" si="77"/>
        <v>1089.4925280799998</v>
      </c>
      <c r="AV218" s="148">
        <f t="shared" si="77"/>
        <v>1089.4925280799998</v>
      </c>
      <c r="AW218" s="148">
        <f t="shared" si="77"/>
        <v>1089.4925280799998</v>
      </c>
      <c r="AX218" s="148">
        <f t="shared" si="77"/>
        <v>1089.4925280799998</v>
      </c>
      <c r="AY218" s="148">
        <f t="shared" si="77"/>
        <v>1089.4925280799998</v>
      </c>
      <c r="AZ218" s="148">
        <f t="shared" si="77"/>
        <v>1089.4925280799998</v>
      </c>
      <c r="BA218" s="148">
        <f t="shared" si="77"/>
        <v>1089.4925280799998</v>
      </c>
      <c r="BB218" s="148">
        <f t="shared" si="77"/>
        <v>1089.4925280799998</v>
      </c>
      <c r="BC218" s="148">
        <f t="shared" si="77"/>
        <v>1634.23879212</v>
      </c>
      <c r="BD218" s="148">
        <f t="shared" si="77"/>
        <v>897.74184313792</v>
      </c>
      <c r="BE218" s="148">
        <f t="shared" si="77"/>
        <v>841.63297794179994</v>
      </c>
      <c r="BF218" s="148">
        <f t="shared" si="77"/>
        <v>1122.1773039223999</v>
      </c>
      <c r="BG218" s="148">
        <f t="shared" si="77"/>
        <v>1122.1773039223999</v>
      </c>
      <c r="BH218" s="148">
        <f t="shared" si="77"/>
        <v>1262.4494669126998</v>
      </c>
      <c r="BI218" s="148">
        <f t="shared" si="77"/>
        <v>1262.4494669126998</v>
      </c>
      <c r="BJ218" s="148">
        <f t="shared" si="77"/>
        <v>1262.4494669126998</v>
      </c>
      <c r="BK218" s="148">
        <f t="shared" si="77"/>
        <v>1262.4494669126998</v>
      </c>
      <c r="BL218" s="148">
        <f t="shared" si="77"/>
        <v>1262.4494669126998</v>
      </c>
      <c r="BM218" s="148">
        <f t="shared" si="77"/>
        <v>1262.4494669126998</v>
      </c>
      <c r="BN218" s="148">
        <f t="shared" si="77"/>
        <v>1262.4494669126998</v>
      </c>
      <c r="BO218" s="148">
        <f t="shared" si="77"/>
        <v>1893.6742003690497</v>
      </c>
      <c r="BP218" s="148">
        <f>SUM(H218:BO218)</f>
        <v>61724.455945996488</v>
      </c>
      <c r="BQ218" s="148">
        <f>BP218+BP247+BP280</f>
        <v>74749.506429366549</v>
      </c>
    </row>
    <row r="219" spans="2:69" s="22" customFormat="1" outlineLevel="1">
      <c r="C219" s="22" t="str">
        <v>Bootwell</v>
      </c>
      <c r="D219" s="161">
        <f>SUMIFS('Existing Stores'!$F$9:$F$1008,'Existing Stores'!$D$9:$D$1008,Model!$C219)</f>
        <v>2877.7000000000003</v>
      </c>
      <c r="E219" s="165">
        <f>(AVERAGEIFS('Existing Stores'!$F$9:$F$1008,'Existing Stores'!$D$9:$D$1008,Model!$C219))</f>
        <v>95.923333333333346</v>
      </c>
      <c r="F219" s="29" t="s">
        <v>119</v>
      </c>
      <c r="G219" s="167">
        <f t="shared" ref="G219:BO219" si="78">$E219*G128*G$120*G$118*G189</f>
        <v>4316.55</v>
      </c>
      <c r="H219" s="148">
        <f t="shared" si="78"/>
        <v>2371.2248000000004</v>
      </c>
      <c r="I219" s="148">
        <f t="shared" si="78"/>
        <v>2297.1240250000005</v>
      </c>
      <c r="J219" s="148">
        <f t="shared" si="78"/>
        <v>3062.832033333334</v>
      </c>
      <c r="K219" s="148">
        <f t="shared" si="78"/>
        <v>3062.832033333334</v>
      </c>
      <c r="L219" s="148">
        <f t="shared" si="78"/>
        <v>3062.832033333334</v>
      </c>
      <c r="M219" s="148">
        <f t="shared" si="78"/>
        <v>3062.832033333334</v>
      </c>
      <c r="N219" s="148">
        <f t="shared" si="78"/>
        <v>3062.832033333334</v>
      </c>
      <c r="O219" s="148">
        <f t="shared" si="78"/>
        <v>3062.832033333334</v>
      </c>
      <c r="P219" s="148">
        <f t="shared" si="78"/>
        <v>3062.832033333334</v>
      </c>
      <c r="Q219" s="148">
        <f t="shared" si="78"/>
        <v>3062.832033333334</v>
      </c>
      <c r="R219" s="148">
        <f t="shared" si="78"/>
        <v>3062.832033333334</v>
      </c>
      <c r="S219" s="148">
        <f t="shared" si="78"/>
        <v>4594.2480500000011</v>
      </c>
      <c r="T219" s="148">
        <f t="shared" si="78"/>
        <v>2523.7735954666673</v>
      </c>
      <c r="U219" s="148">
        <f t="shared" si="78"/>
        <v>2366.0377457500008</v>
      </c>
      <c r="V219" s="148">
        <f t="shared" si="78"/>
        <v>3154.7169943333338</v>
      </c>
      <c r="W219" s="148">
        <f t="shared" si="78"/>
        <v>3154.7169943333338</v>
      </c>
      <c r="X219" s="148">
        <f t="shared" si="78"/>
        <v>3154.7169943333338</v>
      </c>
      <c r="Y219" s="148">
        <f t="shared" si="78"/>
        <v>3154.7169943333338</v>
      </c>
      <c r="Z219" s="148">
        <f t="shared" si="78"/>
        <v>3154.7169943333338</v>
      </c>
      <c r="AA219" s="148">
        <f t="shared" si="78"/>
        <v>3154.7169943333338</v>
      </c>
      <c r="AB219" s="148">
        <f t="shared" si="78"/>
        <v>3154.7169943333338</v>
      </c>
      <c r="AC219" s="148">
        <f t="shared" si="78"/>
        <v>3154.7169943333338</v>
      </c>
      <c r="AD219" s="148">
        <f t="shared" si="78"/>
        <v>3154.7169943333338</v>
      </c>
      <c r="AE219" s="148">
        <f t="shared" si="78"/>
        <v>4732.0754915000016</v>
      </c>
      <c r="AF219" s="148">
        <f t="shared" si="78"/>
        <v>2599.4868033306675</v>
      </c>
      <c r="AG219" s="148">
        <f t="shared" si="78"/>
        <v>2437.0188781225006</v>
      </c>
      <c r="AH219" s="148">
        <f t="shared" si="78"/>
        <v>3249.3585041633341</v>
      </c>
      <c r="AI219" s="148">
        <f t="shared" si="78"/>
        <v>3354.1765204266671</v>
      </c>
      <c r="AJ219" s="148">
        <f t="shared" si="78"/>
        <v>3354.1765204266671</v>
      </c>
      <c r="AK219" s="148">
        <f t="shared" si="78"/>
        <v>3354.1765204266671</v>
      </c>
      <c r="AL219" s="148">
        <f t="shared" si="78"/>
        <v>3354.1765204266671</v>
      </c>
      <c r="AM219" s="148">
        <f t="shared" si="78"/>
        <v>3354.1765204266671</v>
      </c>
      <c r="AN219" s="148">
        <f t="shared" si="78"/>
        <v>3354.1765204266671</v>
      </c>
      <c r="AO219" s="148">
        <f t="shared" si="78"/>
        <v>3354.1765204266671</v>
      </c>
      <c r="AP219" s="148">
        <f t="shared" si="78"/>
        <v>3354.1765204266671</v>
      </c>
      <c r="AQ219" s="148">
        <f t="shared" si="78"/>
        <v>5031.2647806400009</v>
      </c>
      <c r="AR219" s="148">
        <f t="shared" si="78"/>
        <v>2763.8414528315739</v>
      </c>
      <c r="AS219" s="148">
        <f t="shared" si="78"/>
        <v>2591.1013620296003</v>
      </c>
      <c r="AT219" s="148">
        <f t="shared" si="78"/>
        <v>3454.8018160394668</v>
      </c>
      <c r="AU219" s="148">
        <f t="shared" si="78"/>
        <v>3454.8018160394668</v>
      </c>
      <c r="AV219" s="148">
        <f t="shared" si="78"/>
        <v>3454.8018160394668</v>
      </c>
      <c r="AW219" s="148">
        <f t="shared" si="78"/>
        <v>3454.8018160394668</v>
      </c>
      <c r="AX219" s="148">
        <f t="shared" si="78"/>
        <v>3454.8018160394668</v>
      </c>
      <c r="AY219" s="148">
        <f t="shared" si="78"/>
        <v>3454.8018160394668</v>
      </c>
      <c r="AZ219" s="148">
        <f t="shared" si="78"/>
        <v>3454.8018160394668</v>
      </c>
      <c r="BA219" s="148">
        <f t="shared" si="78"/>
        <v>3454.8018160394668</v>
      </c>
      <c r="BB219" s="148">
        <f t="shared" si="78"/>
        <v>3454.8018160394668</v>
      </c>
      <c r="BC219" s="148">
        <f t="shared" si="78"/>
        <v>5182.2027240592006</v>
      </c>
      <c r="BD219" s="148">
        <f t="shared" si="78"/>
        <v>2846.7566964165208</v>
      </c>
      <c r="BE219" s="148">
        <f t="shared" si="78"/>
        <v>2668.834402890488</v>
      </c>
      <c r="BF219" s="148">
        <f t="shared" si="78"/>
        <v>3558.4458705206507</v>
      </c>
      <c r="BG219" s="148">
        <f t="shared" si="78"/>
        <v>3558.4458705206507</v>
      </c>
      <c r="BH219" s="148">
        <f t="shared" si="78"/>
        <v>3558.4458705206507</v>
      </c>
      <c r="BI219" s="148">
        <f t="shared" si="78"/>
        <v>3669.647303974421</v>
      </c>
      <c r="BJ219" s="148">
        <f t="shared" si="78"/>
        <v>3669.647303974421</v>
      </c>
      <c r="BK219" s="148">
        <f t="shared" si="78"/>
        <v>3669.647303974421</v>
      </c>
      <c r="BL219" s="148">
        <f t="shared" si="78"/>
        <v>3669.647303974421</v>
      </c>
      <c r="BM219" s="148">
        <f t="shared" si="78"/>
        <v>3669.647303974421</v>
      </c>
      <c r="BN219" s="148">
        <f t="shared" si="78"/>
        <v>3669.647303974421</v>
      </c>
      <c r="BO219" s="148">
        <f t="shared" si="78"/>
        <v>5504.4709559616304</v>
      </c>
      <c r="BP219" s="148">
        <f t="shared" ref="BP219:BP282" si="79">SUM(H219:BO219)</f>
        <v>200336.61146033931</v>
      </c>
      <c r="BQ219" s="148">
        <f t="shared" ref="BQ219:BQ244" si="80">BP219+BP248+BP281</f>
        <v>243401.63833922381</v>
      </c>
    </row>
    <row r="220" spans="2:69" s="22" customFormat="1" outlineLevel="1">
      <c r="C220" s="22" t="str">
        <v>Cacheford</v>
      </c>
      <c r="D220" s="161">
        <f>SUMIFS('Existing Stores'!$F$9:$F$1008,'Existing Stores'!$D$9:$D$1008,Model!$C220)</f>
        <v>507.29999999999995</v>
      </c>
      <c r="E220" s="165">
        <f>(AVERAGEIFS('Existing Stores'!$F$9:$F$1008,'Existing Stores'!$D$9:$D$1008,Model!$C220))</f>
        <v>101.46</v>
      </c>
      <c r="F220" s="29" t="s">
        <v>119</v>
      </c>
      <c r="G220" s="167">
        <f t="shared" ref="G220:BO220" si="81">$E220*G129*G$120*G$118*G190</f>
        <v>760.94999999999993</v>
      </c>
      <c r="H220" s="148">
        <f t="shared" si="81"/>
        <v>418.01519999999999</v>
      </c>
      <c r="I220" s="148">
        <f t="shared" si="81"/>
        <v>391.88924999999995</v>
      </c>
      <c r="J220" s="148">
        <f t="shared" si="81"/>
        <v>501.61824000000001</v>
      </c>
      <c r="K220" s="148">
        <f t="shared" si="81"/>
        <v>501.61824000000001</v>
      </c>
      <c r="L220" s="148">
        <f t="shared" si="81"/>
        <v>501.61824000000001</v>
      </c>
      <c r="M220" s="148">
        <f t="shared" si="81"/>
        <v>501.61824000000001</v>
      </c>
      <c r="N220" s="148">
        <f t="shared" si="81"/>
        <v>501.61824000000001</v>
      </c>
      <c r="O220" s="148">
        <f t="shared" si="81"/>
        <v>501.61824000000001</v>
      </c>
      <c r="P220" s="148">
        <f t="shared" si="81"/>
        <v>501.61824000000001</v>
      </c>
      <c r="Q220" s="148">
        <f t="shared" si="81"/>
        <v>501.61824000000001</v>
      </c>
      <c r="R220" s="148">
        <f t="shared" si="81"/>
        <v>501.61824000000001</v>
      </c>
      <c r="S220" s="148">
        <f t="shared" si="81"/>
        <v>752.42736000000014</v>
      </c>
      <c r="T220" s="148">
        <f t="shared" si="81"/>
        <v>413.33342976000006</v>
      </c>
      <c r="U220" s="148">
        <f t="shared" si="81"/>
        <v>387.50009040000003</v>
      </c>
      <c r="V220" s="148">
        <f t="shared" si="81"/>
        <v>516.66678720000004</v>
      </c>
      <c r="W220" s="148">
        <f t="shared" si="81"/>
        <v>516.66678720000004</v>
      </c>
      <c r="X220" s="148">
        <f t="shared" si="81"/>
        <v>516.66678720000004</v>
      </c>
      <c r="Y220" s="148">
        <f t="shared" si="81"/>
        <v>516.66678720000004</v>
      </c>
      <c r="Z220" s="148">
        <f t="shared" si="81"/>
        <v>516.66678720000004</v>
      </c>
      <c r="AA220" s="148">
        <f t="shared" si="81"/>
        <v>516.66678720000004</v>
      </c>
      <c r="AB220" s="148">
        <f t="shared" si="81"/>
        <v>516.66678720000004</v>
      </c>
      <c r="AC220" s="148">
        <f t="shared" si="81"/>
        <v>516.66678720000004</v>
      </c>
      <c r="AD220" s="148">
        <f t="shared" si="81"/>
        <v>516.66678720000004</v>
      </c>
      <c r="AE220" s="148">
        <f t="shared" si="81"/>
        <v>775.00018080000007</v>
      </c>
      <c r="AF220" s="148">
        <f t="shared" si="81"/>
        <v>425.73343265280005</v>
      </c>
      <c r="AG220" s="148">
        <f t="shared" si="81"/>
        <v>399.12509311200006</v>
      </c>
      <c r="AH220" s="148">
        <f t="shared" si="81"/>
        <v>532.166790816</v>
      </c>
      <c r="AI220" s="148">
        <f t="shared" si="81"/>
        <v>532.166790816</v>
      </c>
      <c r="AJ220" s="148">
        <f t="shared" si="81"/>
        <v>620.86125595199996</v>
      </c>
      <c r="AK220" s="148">
        <f t="shared" si="81"/>
        <v>620.86125595199996</v>
      </c>
      <c r="AL220" s="148">
        <f t="shared" si="81"/>
        <v>620.86125595199996</v>
      </c>
      <c r="AM220" s="148">
        <f t="shared" si="81"/>
        <v>620.86125595199996</v>
      </c>
      <c r="AN220" s="148">
        <f t="shared" si="81"/>
        <v>620.86125595199996</v>
      </c>
      <c r="AO220" s="148">
        <f t="shared" si="81"/>
        <v>620.86125595199996</v>
      </c>
      <c r="AP220" s="148">
        <f t="shared" si="81"/>
        <v>620.86125595199996</v>
      </c>
      <c r="AQ220" s="148">
        <f t="shared" si="81"/>
        <v>931.29188392799995</v>
      </c>
      <c r="AR220" s="148">
        <f t="shared" si="81"/>
        <v>511.58967490444797</v>
      </c>
      <c r="AS220" s="148">
        <f t="shared" si="81"/>
        <v>479.61532022291999</v>
      </c>
      <c r="AT220" s="148">
        <f t="shared" si="81"/>
        <v>639.48709363055991</v>
      </c>
      <c r="AU220" s="148">
        <f t="shared" si="81"/>
        <v>639.48709363055991</v>
      </c>
      <c r="AV220" s="148">
        <f t="shared" si="81"/>
        <v>639.48709363055991</v>
      </c>
      <c r="AW220" s="148">
        <f t="shared" si="81"/>
        <v>639.48709363055991</v>
      </c>
      <c r="AX220" s="148">
        <f t="shared" si="81"/>
        <v>639.48709363055991</v>
      </c>
      <c r="AY220" s="148">
        <f t="shared" si="81"/>
        <v>639.48709363055991</v>
      </c>
      <c r="AZ220" s="148">
        <f t="shared" si="81"/>
        <v>639.48709363055991</v>
      </c>
      <c r="BA220" s="148">
        <f t="shared" si="81"/>
        <v>639.48709363055991</v>
      </c>
      <c r="BB220" s="148">
        <f t="shared" si="81"/>
        <v>639.48709363055991</v>
      </c>
      <c r="BC220" s="148">
        <f t="shared" si="81"/>
        <v>959.23064044583998</v>
      </c>
      <c r="BD220" s="148">
        <f t="shared" si="81"/>
        <v>526.93736515158139</v>
      </c>
      <c r="BE220" s="148">
        <f t="shared" si="81"/>
        <v>494.00377982960754</v>
      </c>
      <c r="BF220" s="148">
        <f t="shared" si="81"/>
        <v>658.67170643947668</v>
      </c>
      <c r="BG220" s="148">
        <f t="shared" si="81"/>
        <v>658.67170643947668</v>
      </c>
      <c r="BH220" s="148">
        <f t="shared" si="81"/>
        <v>658.67170643947668</v>
      </c>
      <c r="BI220" s="148">
        <f t="shared" si="81"/>
        <v>658.67170643947668</v>
      </c>
      <c r="BJ220" s="148">
        <f t="shared" si="81"/>
        <v>752.76766450225909</v>
      </c>
      <c r="BK220" s="148">
        <f t="shared" si="81"/>
        <v>752.76766450225909</v>
      </c>
      <c r="BL220" s="148">
        <f t="shared" si="81"/>
        <v>752.76766450225909</v>
      </c>
      <c r="BM220" s="148">
        <f t="shared" si="81"/>
        <v>752.76766450225909</v>
      </c>
      <c r="BN220" s="148">
        <f t="shared" si="81"/>
        <v>752.76766450225909</v>
      </c>
      <c r="BO220" s="148">
        <f t="shared" si="81"/>
        <v>1129.1514967533888</v>
      </c>
      <c r="BP220" s="148">
        <f t="shared" si="79"/>
        <v>35723.680807000819</v>
      </c>
      <c r="BQ220" s="148">
        <f t="shared" si="80"/>
        <v>43392.336119207386</v>
      </c>
    </row>
    <row r="221" spans="2:69" s="22" customFormat="1" outlineLevel="1">
      <c r="C221" s="22" t="str">
        <v>Datahaven</v>
      </c>
      <c r="D221" s="161">
        <f>SUMIFS('Existing Stores'!$F$9:$F$1008,'Existing Stores'!$D$9:$D$1008,Model!$C221)</f>
        <v>2232</v>
      </c>
      <c r="E221" s="165">
        <f>(AVERAGEIFS('Existing Stores'!$F$9:$F$1008,'Existing Stores'!$D$9:$D$1008,Model!$C221))</f>
        <v>101.45454545454545</v>
      </c>
      <c r="F221" s="29" t="s">
        <v>119</v>
      </c>
      <c r="G221" s="167">
        <f t="shared" ref="G221:BO221" si="82">$E221*G130*G$120*G$118*G191</f>
        <v>3348</v>
      </c>
      <c r="H221" s="148">
        <f t="shared" si="82"/>
        <v>1839.1680000000001</v>
      </c>
      <c r="I221" s="148">
        <f t="shared" si="82"/>
        <v>1724.22</v>
      </c>
      <c r="J221" s="148">
        <f t="shared" si="82"/>
        <v>2298.96</v>
      </c>
      <c r="K221" s="148">
        <f t="shared" si="82"/>
        <v>2403.4581818181819</v>
      </c>
      <c r="L221" s="148">
        <f t="shared" si="82"/>
        <v>2403.4581818181819</v>
      </c>
      <c r="M221" s="148">
        <f t="shared" si="82"/>
        <v>2403.4581818181819</v>
      </c>
      <c r="N221" s="148">
        <f t="shared" si="82"/>
        <v>2403.4581818181819</v>
      </c>
      <c r="O221" s="148">
        <f t="shared" si="82"/>
        <v>2403.4581818181819</v>
      </c>
      <c r="P221" s="148">
        <f t="shared" si="82"/>
        <v>2403.4581818181819</v>
      </c>
      <c r="Q221" s="148">
        <f t="shared" si="82"/>
        <v>2403.4581818181819</v>
      </c>
      <c r="R221" s="148">
        <f t="shared" si="82"/>
        <v>2403.4581818181819</v>
      </c>
      <c r="S221" s="148">
        <f t="shared" si="82"/>
        <v>3605.1872727272726</v>
      </c>
      <c r="T221" s="148">
        <f t="shared" si="82"/>
        <v>1980.4495418181821</v>
      </c>
      <c r="U221" s="148">
        <f t="shared" si="82"/>
        <v>1856.6714454545454</v>
      </c>
      <c r="V221" s="148">
        <f t="shared" si="82"/>
        <v>2475.5619272727272</v>
      </c>
      <c r="W221" s="148">
        <f t="shared" si="82"/>
        <v>2475.5619272727272</v>
      </c>
      <c r="X221" s="148">
        <f t="shared" si="82"/>
        <v>2475.5619272727272</v>
      </c>
      <c r="Y221" s="148">
        <f t="shared" si="82"/>
        <v>2475.5619272727272</v>
      </c>
      <c r="Z221" s="148">
        <f t="shared" si="82"/>
        <v>2475.5619272727272</v>
      </c>
      <c r="AA221" s="148">
        <f t="shared" si="82"/>
        <v>2475.5619272727272</v>
      </c>
      <c r="AB221" s="148">
        <f t="shared" si="82"/>
        <v>2475.5619272727272</v>
      </c>
      <c r="AC221" s="148">
        <f t="shared" si="82"/>
        <v>2475.5619272727272</v>
      </c>
      <c r="AD221" s="148">
        <f t="shared" si="82"/>
        <v>2475.5619272727272</v>
      </c>
      <c r="AE221" s="148">
        <f t="shared" si="82"/>
        <v>3713.3428909090908</v>
      </c>
      <c r="AF221" s="148">
        <f t="shared" si="82"/>
        <v>2039.8630280727275</v>
      </c>
      <c r="AG221" s="148">
        <f t="shared" si="82"/>
        <v>1912.3715888181816</v>
      </c>
      <c r="AH221" s="148">
        <f t="shared" si="82"/>
        <v>2549.8287850909092</v>
      </c>
      <c r="AI221" s="148">
        <f t="shared" si="82"/>
        <v>2549.8287850909092</v>
      </c>
      <c r="AJ221" s="148">
        <f t="shared" si="82"/>
        <v>2549.8287850909092</v>
      </c>
      <c r="AK221" s="148">
        <f t="shared" si="82"/>
        <v>2660.6909061818183</v>
      </c>
      <c r="AL221" s="148">
        <f t="shared" si="82"/>
        <v>2660.6909061818183</v>
      </c>
      <c r="AM221" s="148">
        <f t="shared" si="82"/>
        <v>2660.6909061818183</v>
      </c>
      <c r="AN221" s="148">
        <f t="shared" si="82"/>
        <v>2660.6909061818183</v>
      </c>
      <c r="AO221" s="148">
        <f t="shared" si="82"/>
        <v>2660.6909061818183</v>
      </c>
      <c r="AP221" s="148">
        <f t="shared" si="82"/>
        <v>2660.6909061818183</v>
      </c>
      <c r="AQ221" s="148">
        <f t="shared" si="82"/>
        <v>3991.0363592727276</v>
      </c>
      <c r="AR221" s="148">
        <f t="shared" si="82"/>
        <v>2192.4093066938181</v>
      </c>
      <c r="AS221" s="148">
        <f t="shared" si="82"/>
        <v>2055.3837250254546</v>
      </c>
      <c r="AT221" s="148">
        <f t="shared" si="82"/>
        <v>2740.5116333672727</v>
      </c>
      <c r="AU221" s="148">
        <f t="shared" si="82"/>
        <v>2740.5116333672727</v>
      </c>
      <c r="AV221" s="148">
        <f t="shared" si="82"/>
        <v>2740.5116333672727</v>
      </c>
      <c r="AW221" s="148">
        <f t="shared" si="82"/>
        <v>2740.5116333672727</v>
      </c>
      <c r="AX221" s="148">
        <f t="shared" si="82"/>
        <v>2740.5116333672727</v>
      </c>
      <c r="AY221" s="148">
        <f t="shared" si="82"/>
        <v>2740.5116333672727</v>
      </c>
      <c r="AZ221" s="148">
        <f t="shared" si="82"/>
        <v>2740.5116333672727</v>
      </c>
      <c r="BA221" s="148">
        <f t="shared" si="82"/>
        <v>2740.5116333672727</v>
      </c>
      <c r="BB221" s="148">
        <f t="shared" si="82"/>
        <v>2740.5116333672727</v>
      </c>
      <c r="BC221" s="148">
        <f t="shared" si="82"/>
        <v>4110.7674500509092</v>
      </c>
      <c r="BD221" s="148">
        <f t="shared" si="82"/>
        <v>2258.1815858946325</v>
      </c>
      <c r="BE221" s="148">
        <f t="shared" si="82"/>
        <v>2117.0452367762182</v>
      </c>
      <c r="BF221" s="148">
        <f t="shared" si="82"/>
        <v>2822.7269823682905</v>
      </c>
      <c r="BG221" s="148">
        <f t="shared" si="82"/>
        <v>2822.7269823682905</v>
      </c>
      <c r="BH221" s="148">
        <f t="shared" si="82"/>
        <v>2822.7269823682905</v>
      </c>
      <c r="BI221" s="148">
        <f t="shared" si="82"/>
        <v>2822.7269823682905</v>
      </c>
      <c r="BJ221" s="148">
        <f t="shared" si="82"/>
        <v>2822.7269823682905</v>
      </c>
      <c r="BK221" s="148">
        <f t="shared" si="82"/>
        <v>2940.3406066336361</v>
      </c>
      <c r="BL221" s="148">
        <f t="shared" si="82"/>
        <v>2940.3406066336361</v>
      </c>
      <c r="BM221" s="148">
        <f t="shared" si="82"/>
        <v>2940.3406066336361</v>
      </c>
      <c r="BN221" s="148">
        <f t="shared" si="82"/>
        <v>2940.3406066336361</v>
      </c>
      <c r="BO221" s="148">
        <f t="shared" si="82"/>
        <v>4410.5109099504543</v>
      </c>
      <c r="BP221" s="148">
        <f t="shared" si="79"/>
        <v>157766.52497250936</v>
      </c>
      <c r="BQ221" s="148">
        <f t="shared" si="80"/>
        <v>190514.38833261846</v>
      </c>
    </row>
    <row r="222" spans="2:69" s="22" customFormat="1" outlineLevel="1">
      <c r="C222" s="22" t="str">
        <v>Etherport</v>
      </c>
      <c r="D222" s="161">
        <f>SUMIFS('Existing Stores'!$F$9:$F$1008,'Existing Stores'!$D$9:$D$1008,Model!$C222)</f>
        <v>217.8</v>
      </c>
      <c r="E222" s="165">
        <f>(AVERAGEIFS('Existing Stores'!$F$9:$F$1008,'Existing Stores'!$D$9:$D$1008,Model!$C222))</f>
        <v>72.600000000000009</v>
      </c>
      <c r="F222" s="29" t="s">
        <v>119</v>
      </c>
      <c r="G222" s="167">
        <f t="shared" ref="G222:BO222" si="83">$E222*G131*G$120*G$118*G192</f>
        <v>326.70000000000005</v>
      </c>
      <c r="H222" s="148">
        <f t="shared" si="83"/>
        <v>179.46720000000002</v>
      </c>
      <c r="I222" s="148">
        <f t="shared" si="83"/>
        <v>168.25050000000002</v>
      </c>
      <c r="J222" s="148">
        <f t="shared" si="83"/>
        <v>224.33400000000003</v>
      </c>
      <c r="K222" s="148">
        <f t="shared" si="83"/>
        <v>224.33400000000003</v>
      </c>
      <c r="L222" s="148">
        <f t="shared" si="83"/>
        <v>299.11200000000002</v>
      </c>
      <c r="M222" s="148">
        <f t="shared" si="83"/>
        <v>299.11200000000002</v>
      </c>
      <c r="N222" s="148">
        <f t="shared" si="83"/>
        <v>299.11200000000002</v>
      </c>
      <c r="O222" s="148">
        <f t="shared" si="83"/>
        <v>299.11200000000002</v>
      </c>
      <c r="P222" s="148">
        <f t="shared" si="83"/>
        <v>299.11200000000002</v>
      </c>
      <c r="Q222" s="148">
        <f t="shared" si="83"/>
        <v>299.11200000000002</v>
      </c>
      <c r="R222" s="148">
        <f t="shared" si="83"/>
        <v>299.11200000000002</v>
      </c>
      <c r="S222" s="148">
        <f t="shared" si="83"/>
        <v>448.66800000000006</v>
      </c>
      <c r="T222" s="148">
        <f t="shared" si="83"/>
        <v>246.46828800000003</v>
      </c>
      <c r="U222" s="148">
        <f t="shared" si="83"/>
        <v>231.06402</v>
      </c>
      <c r="V222" s="148">
        <f t="shared" si="83"/>
        <v>308.08536000000004</v>
      </c>
      <c r="W222" s="148">
        <f t="shared" si="83"/>
        <v>308.08536000000004</v>
      </c>
      <c r="X222" s="148">
        <f t="shared" si="83"/>
        <v>308.08536000000004</v>
      </c>
      <c r="Y222" s="148">
        <f t="shared" si="83"/>
        <v>308.08536000000004</v>
      </c>
      <c r="Z222" s="148">
        <f t="shared" si="83"/>
        <v>308.08536000000004</v>
      </c>
      <c r="AA222" s="148">
        <f t="shared" si="83"/>
        <v>308.08536000000004</v>
      </c>
      <c r="AB222" s="148">
        <f t="shared" si="83"/>
        <v>308.08536000000004</v>
      </c>
      <c r="AC222" s="148">
        <f t="shared" si="83"/>
        <v>308.08536000000004</v>
      </c>
      <c r="AD222" s="148">
        <f t="shared" si="83"/>
        <v>308.08536000000004</v>
      </c>
      <c r="AE222" s="148">
        <f t="shared" si="83"/>
        <v>462.12804</v>
      </c>
      <c r="AF222" s="148">
        <f t="shared" si="83"/>
        <v>253.86233664000005</v>
      </c>
      <c r="AG222" s="148">
        <f t="shared" si="83"/>
        <v>237.99594060000001</v>
      </c>
      <c r="AH222" s="148">
        <f t="shared" si="83"/>
        <v>317.32792080000002</v>
      </c>
      <c r="AI222" s="148">
        <f t="shared" si="83"/>
        <v>317.32792080000002</v>
      </c>
      <c r="AJ222" s="148">
        <f t="shared" si="83"/>
        <v>317.32792080000002</v>
      </c>
      <c r="AK222" s="148">
        <f t="shared" si="83"/>
        <v>317.32792080000002</v>
      </c>
      <c r="AL222" s="148">
        <f t="shared" si="83"/>
        <v>396.65990100000005</v>
      </c>
      <c r="AM222" s="148">
        <f t="shared" si="83"/>
        <v>396.65990100000005</v>
      </c>
      <c r="AN222" s="148">
        <f t="shared" si="83"/>
        <v>396.65990100000005</v>
      </c>
      <c r="AO222" s="148">
        <f t="shared" si="83"/>
        <v>396.65990100000005</v>
      </c>
      <c r="AP222" s="148">
        <f t="shared" si="83"/>
        <v>396.65990100000005</v>
      </c>
      <c r="AQ222" s="148">
        <f t="shared" si="83"/>
        <v>594.9898515000001</v>
      </c>
      <c r="AR222" s="148">
        <f t="shared" si="83"/>
        <v>326.84775842400001</v>
      </c>
      <c r="AS222" s="148">
        <f t="shared" si="83"/>
        <v>306.41977352250007</v>
      </c>
      <c r="AT222" s="148">
        <f t="shared" si="83"/>
        <v>408.55969803000005</v>
      </c>
      <c r="AU222" s="148">
        <f t="shared" si="83"/>
        <v>408.55969803000005</v>
      </c>
      <c r="AV222" s="148">
        <f t="shared" si="83"/>
        <v>408.55969803000005</v>
      </c>
      <c r="AW222" s="148">
        <f t="shared" si="83"/>
        <v>408.55969803000005</v>
      </c>
      <c r="AX222" s="148">
        <f t="shared" si="83"/>
        <v>408.55969803000005</v>
      </c>
      <c r="AY222" s="148">
        <f t="shared" si="83"/>
        <v>408.55969803000005</v>
      </c>
      <c r="AZ222" s="148">
        <f t="shared" si="83"/>
        <v>408.55969803000005</v>
      </c>
      <c r="BA222" s="148">
        <f t="shared" si="83"/>
        <v>408.55969803000005</v>
      </c>
      <c r="BB222" s="148">
        <f t="shared" si="83"/>
        <v>408.55969803000005</v>
      </c>
      <c r="BC222" s="148">
        <f t="shared" si="83"/>
        <v>612.83954704500013</v>
      </c>
      <c r="BD222" s="148">
        <f t="shared" si="83"/>
        <v>336.65319117671999</v>
      </c>
      <c r="BE222" s="148">
        <f t="shared" si="83"/>
        <v>315.612366728175</v>
      </c>
      <c r="BF222" s="148">
        <f t="shared" si="83"/>
        <v>420.81648897090002</v>
      </c>
      <c r="BG222" s="148">
        <f t="shared" si="83"/>
        <v>420.81648897090002</v>
      </c>
      <c r="BH222" s="148">
        <f t="shared" si="83"/>
        <v>420.81648897090002</v>
      </c>
      <c r="BI222" s="148">
        <f t="shared" si="83"/>
        <v>420.81648897090002</v>
      </c>
      <c r="BJ222" s="148">
        <f t="shared" si="83"/>
        <v>420.81648897090002</v>
      </c>
      <c r="BK222" s="148">
        <f t="shared" si="83"/>
        <v>420.81648897090002</v>
      </c>
      <c r="BL222" s="148">
        <f t="shared" si="83"/>
        <v>504.97978676507995</v>
      </c>
      <c r="BM222" s="148">
        <f t="shared" si="83"/>
        <v>504.97978676507995</v>
      </c>
      <c r="BN222" s="148">
        <f t="shared" si="83"/>
        <v>504.97978676507995</v>
      </c>
      <c r="BO222" s="148">
        <f t="shared" si="83"/>
        <v>757.46968014762001</v>
      </c>
      <c r="BP222" s="148">
        <f t="shared" si="79"/>
        <v>21763.443498374669</v>
      </c>
      <c r="BQ222" s="148">
        <f t="shared" si="80"/>
        <v>26979.475411208263</v>
      </c>
    </row>
    <row r="223" spans="2:69" s="22" customFormat="1" outlineLevel="1">
      <c r="C223" s="22" t="str">
        <v>Fiberfall</v>
      </c>
      <c r="D223" s="162">
        <f>SUMIFS('Existing Stores'!$F$9:$F$1008,'Existing Stores'!$D$9:$D$1008,Model!$C223)</f>
        <v>214</v>
      </c>
      <c r="E223" s="165">
        <f>(AVERAGEIFS('Existing Stores'!$F$9:$F$1008,'Existing Stores'!$D$9:$D$1008,Model!$C223))</f>
        <v>71.333333333333329</v>
      </c>
      <c r="F223" s="29" t="s">
        <v>119</v>
      </c>
      <c r="G223" s="167">
        <f t="shared" ref="G223:BO223" si="84">$E223*G132*G$120*G$118*G193</f>
        <v>321</v>
      </c>
      <c r="H223" s="148">
        <f t="shared" si="84"/>
        <v>176.33600000000001</v>
      </c>
      <c r="I223" s="148">
        <f t="shared" si="84"/>
        <v>165.315</v>
      </c>
      <c r="J223" s="148">
        <f t="shared" si="84"/>
        <v>220.42000000000002</v>
      </c>
      <c r="K223" s="148">
        <f t="shared" si="84"/>
        <v>220.42000000000002</v>
      </c>
      <c r="L223" s="148">
        <f t="shared" si="84"/>
        <v>220.42000000000002</v>
      </c>
      <c r="M223" s="148">
        <f t="shared" si="84"/>
        <v>235.11466666666666</v>
      </c>
      <c r="N223" s="148">
        <f t="shared" si="84"/>
        <v>235.11466666666666</v>
      </c>
      <c r="O223" s="148">
        <f t="shared" si="84"/>
        <v>235.11466666666666</v>
      </c>
      <c r="P223" s="148">
        <f t="shared" si="84"/>
        <v>235.11466666666666</v>
      </c>
      <c r="Q223" s="148">
        <f t="shared" si="84"/>
        <v>235.11466666666666</v>
      </c>
      <c r="R223" s="148">
        <f t="shared" si="84"/>
        <v>235.11466666666666</v>
      </c>
      <c r="S223" s="148">
        <f t="shared" si="84"/>
        <v>352.67200000000003</v>
      </c>
      <c r="T223" s="148">
        <f t="shared" si="84"/>
        <v>193.73448533333331</v>
      </c>
      <c r="U223" s="148">
        <f t="shared" si="84"/>
        <v>181.62608</v>
      </c>
      <c r="V223" s="148">
        <f t="shared" si="84"/>
        <v>242.16810666666666</v>
      </c>
      <c r="W223" s="148">
        <f t="shared" si="84"/>
        <v>242.16810666666666</v>
      </c>
      <c r="X223" s="148">
        <f t="shared" si="84"/>
        <v>242.16810666666666</v>
      </c>
      <c r="Y223" s="148">
        <f t="shared" si="84"/>
        <v>242.16810666666666</v>
      </c>
      <c r="Z223" s="148">
        <f t="shared" si="84"/>
        <v>242.16810666666666</v>
      </c>
      <c r="AA223" s="148">
        <f t="shared" si="84"/>
        <v>242.16810666666666</v>
      </c>
      <c r="AB223" s="148">
        <f t="shared" si="84"/>
        <v>242.16810666666666</v>
      </c>
      <c r="AC223" s="148">
        <f t="shared" si="84"/>
        <v>242.16810666666666</v>
      </c>
      <c r="AD223" s="148">
        <f t="shared" si="84"/>
        <v>242.16810666666666</v>
      </c>
      <c r="AE223" s="148">
        <f t="shared" si="84"/>
        <v>363.25216</v>
      </c>
      <c r="AF223" s="148">
        <f t="shared" si="84"/>
        <v>199.54651989333331</v>
      </c>
      <c r="AG223" s="148">
        <f t="shared" si="84"/>
        <v>187.07486240000003</v>
      </c>
      <c r="AH223" s="148">
        <f t="shared" si="84"/>
        <v>249.43314986666667</v>
      </c>
      <c r="AI223" s="148">
        <f t="shared" si="84"/>
        <v>249.43314986666667</v>
      </c>
      <c r="AJ223" s="148">
        <f t="shared" si="84"/>
        <v>249.43314986666667</v>
      </c>
      <c r="AK223" s="148">
        <f t="shared" si="84"/>
        <v>249.43314986666667</v>
      </c>
      <c r="AL223" s="148">
        <f t="shared" si="84"/>
        <v>249.43314986666667</v>
      </c>
      <c r="AM223" s="148">
        <f t="shared" si="84"/>
        <v>311.79143733333331</v>
      </c>
      <c r="AN223" s="148">
        <f t="shared" si="84"/>
        <v>311.79143733333331</v>
      </c>
      <c r="AO223" s="148">
        <f t="shared" si="84"/>
        <v>311.79143733333331</v>
      </c>
      <c r="AP223" s="148">
        <f t="shared" si="84"/>
        <v>311.79143733333331</v>
      </c>
      <c r="AQ223" s="148">
        <f t="shared" si="84"/>
        <v>467.68715599999996</v>
      </c>
      <c r="AR223" s="148">
        <f t="shared" si="84"/>
        <v>256.91614436266667</v>
      </c>
      <c r="AS223" s="148">
        <f t="shared" si="84"/>
        <v>240.85888533999997</v>
      </c>
      <c r="AT223" s="148">
        <f t="shared" si="84"/>
        <v>321.1451804533333</v>
      </c>
      <c r="AU223" s="148">
        <f t="shared" si="84"/>
        <v>321.1451804533333</v>
      </c>
      <c r="AV223" s="148">
        <f t="shared" si="84"/>
        <v>321.1451804533333</v>
      </c>
      <c r="AW223" s="148">
        <f t="shared" si="84"/>
        <v>321.1451804533333</v>
      </c>
      <c r="AX223" s="148">
        <f t="shared" si="84"/>
        <v>321.1451804533333</v>
      </c>
      <c r="AY223" s="148">
        <f t="shared" si="84"/>
        <v>321.1451804533333</v>
      </c>
      <c r="AZ223" s="148">
        <f t="shared" si="84"/>
        <v>321.1451804533333</v>
      </c>
      <c r="BA223" s="148">
        <f t="shared" si="84"/>
        <v>321.1451804533333</v>
      </c>
      <c r="BB223" s="148">
        <f t="shared" si="84"/>
        <v>321.1451804533333</v>
      </c>
      <c r="BC223" s="148">
        <f t="shared" si="84"/>
        <v>481.71777067999994</v>
      </c>
      <c r="BD223" s="148">
        <f t="shared" si="84"/>
        <v>264.62362869354661</v>
      </c>
      <c r="BE223" s="148">
        <f t="shared" si="84"/>
        <v>248.08465190019999</v>
      </c>
      <c r="BF223" s="148">
        <f t="shared" si="84"/>
        <v>330.77953586693326</v>
      </c>
      <c r="BG223" s="148">
        <f t="shared" si="84"/>
        <v>330.77953586693326</v>
      </c>
      <c r="BH223" s="148">
        <f t="shared" si="84"/>
        <v>330.77953586693326</v>
      </c>
      <c r="BI223" s="148">
        <f t="shared" si="84"/>
        <v>330.77953586693326</v>
      </c>
      <c r="BJ223" s="148">
        <f t="shared" si="84"/>
        <v>330.77953586693326</v>
      </c>
      <c r="BK223" s="148">
        <f t="shared" si="84"/>
        <v>330.77953586693326</v>
      </c>
      <c r="BL223" s="148">
        <f t="shared" si="84"/>
        <v>330.77953586693326</v>
      </c>
      <c r="BM223" s="148">
        <f t="shared" si="84"/>
        <v>396.93544304031997</v>
      </c>
      <c r="BN223" s="148">
        <f t="shared" si="84"/>
        <v>396.93544304031997</v>
      </c>
      <c r="BO223" s="148">
        <f t="shared" si="84"/>
        <v>595.40316456047992</v>
      </c>
      <c r="BP223" s="148">
        <f t="shared" si="79"/>
        <v>17120.275229059407</v>
      </c>
      <c r="BQ223" s="148">
        <f t="shared" si="80"/>
        <v>20656.332075435228</v>
      </c>
    </row>
    <row r="224" spans="2:69" s="22" customFormat="1" outlineLevel="1">
      <c r="C224" s="22" t="str">
        <v>Gigatown</v>
      </c>
      <c r="D224" s="161">
        <f>SUMIFS('Existing Stores'!$F$9:$F$1008,'Existing Stores'!$D$9:$D$1008,Model!$C224)</f>
        <v>6203.8000000000029</v>
      </c>
      <c r="E224" s="165">
        <f>(AVERAGEIFS('Existing Stores'!$F$9:$F$1008,'Existing Stores'!$D$9:$D$1008,Model!$C224))</f>
        <v>95.443076923076973</v>
      </c>
      <c r="F224" s="29" t="s">
        <v>119</v>
      </c>
      <c r="G224" s="167">
        <f t="shared" ref="G224:BO224" si="85">$E224*G133*G$120*G$118*G194</f>
        <v>9305.7000000000044</v>
      </c>
      <c r="H224" s="148">
        <f t="shared" si="85"/>
        <v>5111.9312000000027</v>
      </c>
      <c r="I224" s="148">
        <f t="shared" si="85"/>
        <v>4792.4355000000023</v>
      </c>
      <c r="J224" s="148">
        <f t="shared" si="85"/>
        <v>6389.9140000000034</v>
      </c>
      <c r="K224" s="148">
        <f t="shared" si="85"/>
        <v>6389.9140000000034</v>
      </c>
      <c r="L224" s="148">
        <f t="shared" si="85"/>
        <v>6389.9140000000034</v>
      </c>
      <c r="M224" s="148">
        <f t="shared" si="85"/>
        <v>6389.9140000000034</v>
      </c>
      <c r="N224" s="148">
        <f t="shared" si="85"/>
        <v>6488.220369230773</v>
      </c>
      <c r="O224" s="148">
        <f t="shared" si="85"/>
        <v>6488.220369230773</v>
      </c>
      <c r="P224" s="148">
        <f t="shared" si="85"/>
        <v>6488.220369230773</v>
      </c>
      <c r="Q224" s="148">
        <f t="shared" si="85"/>
        <v>6488.220369230773</v>
      </c>
      <c r="R224" s="148">
        <f t="shared" si="85"/>
        <v>6488.220369230773</v>
      </c>
      <c r="S224" s="148">
        <f t="shared" si="85"/>
        <v>9732.3305538461591</v>
      </c>
      <c r="T224" s="148">
        <f t="shared" si="85"/>
        <v>5346.2935842461566</v>
      </c>
      <c r="U224" s="148">
        <f t="shared" si="85"/>
        <v>5012.1502352307716</v>
      </c>
      <c r="V224" s="148">
        <f t="shared" si="85"/>
        <v>6682.8669803076955</v>
      </c>
      <c r="W224" s="148">
        <f t="shared" si="85"/>
        <v>6682.8669803076955</v>
      </c>
      <c r="X224" s="148">
        <f t="shared" si="85"/>
        <v>6682.8669803076955</v>
      </c>
      <c r="Y224" s="148">
        <f t="shared" si="85"/>
        <v>6682.8669803076955</v>
      </c>
      <c r="Z224" s="148">
        <f t="shared" si="85"/>
        <v>6682.8669803076955</v>
      </c>
      <c r="AA224" s="148">
        <f t="shared" si="85"/>
        <v>6682.8669803076955</v>
      </c>
      <c r="AB224" s="148">
        <f t="shared" si="85"/>
        <v>6682.8669803076955</v>
      </c>
      <c r="AC224" s="148">
        <f t="shared" si="85"/>
        <v>6682.8669803076955</v>
      </c>
      <c r="AD224" s="148">
        <f t="shared" si="85"/>
        <v>6682.8669803076955</v>
      </c>
      <c r="AE224" s="148">
        <f t="shared" si="85"/>
        <v>10024.300470461543</v>
      </c>
      <c r="AF224" s="148">
        <f t="shared" si="85"/>
        <v>5506.6823917735419</v>
      </c>
      <c r="AG224" s="148">
        <f t="shared" si="85"/>
        <v>5162.5147422876953</v>
      </c>
      <c r="AH224" s="148">
        <f t="shared" si="85"/>
        <v>6883.3529897169274</v>
      </c>
      <c r="AI224" s="148">
        <f t="shared" si="85"/>
        <v>6883.3529897169274</v>
      </c>
      <c r="AJ224" s="148">
        <f t="shared" si="85"/>
        <v>6883.3529897169274</v>
      </c>
      <c r="AK224" s="148">
        <f t="shared" si="85"/>
        <v>6883.3529897169274</v>
      </c>
      <c r="AL224" s="148">
        <f t="shared" si="85"/>
        <v>6883.3529897169274</v>
      </c>
      <c r="AM224" s="148">
        <f t="shared" si="85"/>
        <v>6883.3529897169274</v>
      </c>
      <c r="AN224" s="148">
        <f t="shared" si="85"/>
        <v>6987.6462168338494</v>
      </c>
      <c r="AO224" s="148">
        <f t="shared" si="85"/>
        <v>6987.6462168338494</v>
      </c>
      <c r="AP224" s="148">
        <f t="shared" si="85"/>
        <v>6987.6462168338494</v>
      </c>
      <c r="AQ224" s="148">
        <f t="shared" si="85"/>
        <v>10481.469325250775</v>
      </c>
      <c r="AR224" s="148">
        <f t="shared" si="85"/>
        <v>5757.8204826710926</v>
      </c>
      <c r="AS224" s="148">
        <f t="shared" si="85"/>
        <v>5397.9567025041488</v>
      </c>
      <c r="AT224" s="148">
        <f t="shared" si="85"/>
        <v>7197.275603338865</v>
      </c>
      <c r="AU224" s="148">
        <f t="shared" si="85"/>
        <v>7197.275603338865</v>
      </c>
      <c r="AV224" s="148">
        <f t="shared" si="85"/>
        <v>7197.275603338865</v>
      </c>
      <c r="AW224" s="148">
        <f t="shared" si="85"/>
        <v>7197.275603338865</v>
      </c>
      <c r="AX224" s="148">
        <f t="shared" si="85"/>
        <v>7197.275603338865</v>
      </c>
      <c r="AY224" s="148">
        <f t="shared" si="85"/>
        <v>7197.275603338865</v>
      </c>
      <c r="AZ224" s="148">
        <f t="shared" si="85"/>
        <v>7197.275603338865</v>
      </c>
      <c r="BA224" s="148">
        <f t="shared" si="85"/>
        <v>7197.275603338865</v>
      </c>
      <c r="BB224" s="148">
        <f t="shared" si="85"/>
        <v>7197.275603338865</v>
      </c>
      <c r="BC224" s="148">
        <f t="shared" si="85"/>
        <v>10795.913405008298</v>
      </c>
      <c r="BD224" s="148">
        <f t="shared" si="85"/>
        <v>5930.5550971512248</v>
      </c>
      <c r="BE224" s="148">
        <f t="shared" si="85"/>
        <v>5559.8954035792731</v>
      </c>
      <c r="BF224" s="148">
        <f t="shared" si="85"/>
        <v>7413.1938714390299</v>
      </c>
      <c r="BG224" s="148">
        <f t="shared" si="85"/>
        <v>7413.1938714390299</v>
      </c>
      <c r="BH224" s="148">
        <f t="shared" si="85"/>
        <v>7413.1938714390299</v>
      </c>
      <c r="BI224" s="148">
        <f t="shared" si="85"/>
        <v>7413.1938714390299</v>
      </c>
      <c r="BJ224" s="148">
        <f t="shared" si="85"/>
        <v>7413.1938714390299</v>
      </c>
      <c r="BK224" s="148">
        <f t="shared" si="85"/>
        <v>7413.1938714390299</v>
      </c>
      <c r="BL224" s="148">
        <f t="shared" si="85"/>
        <v>7413.1938714390299</v>
      </c>
      <c r="BM224" s="148">
        <f t="shared" si="85"/>
        <v>7413.1938714390299</v>
      </c>
      <c r="BN224" s="148">
        <f t="shared" si="85"/>
        <v>7523.8385560873739</v>
      </c>
      <c r="BO224" s="148">
        <f t="shared" si="85"/>
        <v>11285.75783413106</v>
      </c>
      <c r="BP224" s="148">
        <f t="shared" si="79"/>
        <v>417912.49414351722</v>
      </c>
      <c r="BQ224" s="148">
        <f t="shared" si="80"/>
        <v>508483.32949861552</v>
      </c>
    </row>
    <row r="225" spans="3:69" s="22" customFormat="1" outlineLevel="1">
      <c r="C225" s="22" t="str">
        <v>Hexavale</v>
      </c>
      <c r="D225" s="161">
        <f>SUMIFS('Existing Stores'!$F$9:$F$1008,'Existing Stores'!$D$9:$D$1008,Model!$C225)</f>
        <v>30408.899999999991</v>
      </c>
      <c r="E225" s="165">
        <f>(AVERAGEIFS('Existing Stores'!$F$9:$F$1008,'Existing Stores'!$D$9:$D$1008,Model!$C225))</f>
        <v>97.777813504823115</v>
      </c>
      <c r="F225" s="29" t="s">
        <v>119</v>
      </c>
      <c r="G225" s="167">
        <f t="shared" ref="G225:BO225" si="86">$E225*G134*G$120*G$118*G195</f>
        <v>45613.349999999984</v>
      </c>
      <c r="H225" s="148">
        <f t="shared" si="86"/>
        <v>25056.933599999997</v>
      </c>
      <c r="I225" s="148">
        <f t="shared" si="86"/>
        <v>23490.875249999994</v>
      </c>
      <c r="J225" s="148">
        <f t="shared" si="86"/>
        <v>31321.16699999999</v>
      </c>
      <c r="K225" s="148">
        <f t="shared" si="86"/>
        <v>31321.16699999999</v>
      </c>
      <c r="L225" s="148">
        <f t="shared" si="86"/>
        <v>31321.16699999999</v>
      </c>
      <c r="M225" s="148">
        <f t="shared" si="86"/>
        <v>31321.16699999999</v>
      </c>
      <c r="N225" s="148">
        <f t="shared" si="86"/>
        <v>31321.16699999999</v>
      </c>
      <c r="O225" s="148">
        <f t="shared" si="86"/>
        <v>31421.878147909956</v>
      </c>
      <c r="P225" s="148">
        <f t="shared" si="86"/>
        <v>31421.878147909956</v>
      </c>
      <c r="Q225" s="148">
        <f t="shared" si="86"/>
        <v>31421.878147909956</v>
      </c>
      <c r="R225" s="148">
        <f t="shared" si="86"/>
        <v>31421.878147909956</v>
      </c>
      <c r="S225" s="148">
        <f t="shared" si="86"/>
        <v>47132.817221864934</v>
      </c>
      <c r="T225" s="148">
        <f t="shared" si="86"/>
        <v>25891.627593877802</v>
      </c>
      <c r="U225" s="148">
        <f t="shared" si="86"/>
        <v>24273.40086926044</v>
      </c>
      <c r="V225" s="148">
        <f t="shared" si="86"/>
        <v>32364.534492347255</v>
      </c>
      <c r="W225" s="148">
        <f t="shared" si="86"/>
        <v>32364.534492347255</v>
      </c>
      <c r="X225" s="148">
        <f t="shared" si="86"/>
        <v>32364.534492347255</v>
      </c>
      <c r="Y225" s="148">
        <f t="shared" si="86"/>
        <v>32364.534492347255</v>
      </c>
      <c r="Z225" s="148">
        <f t="shared" si="86"/>
        <v>32364.534492347255</v>
      </c>
      <c r="AA225" s="148">
        <f t="shared" si="86"/>
        <v>32364.534492347255</v>
      </c>
      <c r="AB225" s="148">
        <f t="shared" si="86"/>
        <v>32364.534492347255</v>
      </c>
      <c r="AC225" s="148">
        <f t="shared" si="86"/>
        <v>32364.534492347255</v>
      </c>
      <c r="AD225" s="148">
        <f t="shared" si="86"/>
        <v>32364.534492347255</v>
      </c>
      <c r="AE225" s="148">
        <f t="shared" si="86"/>
        <v>48546.80173852088</v>
      </c>
      <c r="AF225" s="148">
        <f t="shared" si="86"/>
        <v>26668.376421694138</v>
      </c>
      <c r="AG225" s="148">
        <f t="shared" si="86"/>
        <v>25001.602895338256</v>
      </c>
      <c r="AH225" s="148">
        <f t="shared" si="86"/>
        <v>33335.470527117672</v>
      </c>
      <c r="AI225" s="148">
        <f t="shared" si="86"/>
        <v>33335.470527117672</v>
      </c>
      <c r="AJ225" s="148">
        <f t="shared" si="86"/>
        <v>33335.470527117672</v>
      </c>
      <c r="AK225" s="148">
        <f t="shared" si="86"/>
        <v>33335.470527117672</v>
      </c>
      <c r="AL225" s="148">
        <f t="shared" si="86"/>
        <v>33335.470527117672</v>
      </c>
      <c r="AM225" s="148">
        <f t="shared" si="86"/>
        <v>33335.470527117672</v>
      </c>
      <c r="AN225" s="148">
        <f t="shared" si="86"/>
        <v>33335.470527117672</v>
      </c>
      <c r="AO225" s="148">
        <f t="shared" si="86"/>
        <v>33442.314983935357</v>
      </c>
      <c r="AP225" s="148">
        <f t="shared" si="86"/>
        <v>33442.314983935357</v>
      </c>
      <c r="AQ225" s="148">
        <f t="shared" si="86"/>
        <v>50163.472475903036</v>
      </c>
      <c r="AR225" s="148">
        <f t="shared" si="86"/>
        <v>27556.467546762735</v>
      </c>
      <c r="AS225" s="148">
        <f t="shared" si="86"/>
        <v>25834.188325090065</v>
      </c>
      <c r="AT225" s="148">
        <f t="shared" si="86"/>
        <v>34445.584433453419</v>
      </c>
      <c r="AU225" s="148">
        <f t="shared" si="86"/>
        <v>34445.584433453419</v>
      </c>
      <c r="AV225" s="148">
        <f t="shared" si="86"/>
        <v>34445.584433453419</v>
      </c>
      <c r="AW225" s="148">
        <f t="shared" si="86"/>
        <v>34445.584433453419</v>
      </c>
      <c r="AX225" s="148">
        <f t="shared" si="86"/>
        <v>34445.584433453419</v>
      </c>
      <c r="AY225" s="148">
        <f t="shared" si="86"/>
        <v>34445.584433453419</v>
      </c>
      <c r="AZ225" s="148">
        <f t="shared" si="86"/>
        <v>34445.584433453419</v>
      </c>
      <c r="BA225" s="148">
        <f t="shared" si="86"/>
        <v>34445.584433453419</v>
      </c>
      <c r="BB225" s="148">
        <f t="shared" si="86"/>
        <v>34445.584433453419</v>
      </c>
      <c r="BC225" s="148">
        <f t="shared" si="86"/>
        <v>51668.376650180129</v>
      </c>
      <c r="BD225" s="148">
        <f t="shared" si="86"/>
        <v>28383.161573165617</v>
      </c>
      <c r="BE225" s="148">
        <f t="shared" si="86"/>
        <v>26609.213974842762</v>
      </c>
      <c r="BF225" s="148">
        <f t="shared" si="86"/>
        <v>35478.951966457018</v>
      </c>
      <c r="BG225" s="148">
        <f t="shared" si="86"/>
        <v>35478.951966457018</v>
      </c>
      <c r="BH225" s="148">
        <f t="shared" si="86"/>
        <v>35478.951966457018</v>
      </c>
      <c r="BI225" s="148">
        <f t="shared" si="86"/>
        <v>35478.951966457018</v>
      </c>
      <c r="BJ225" s="148">
        <f t="shared" si="86"/>
        <v>35478.951966457018</v>
      </c>
      <c r="BK225" s="148">
        <f t="shared" si="86"/>
        <v>35478.951966457018</v>
      </c>
      <c r="BL225" s="148">
        <f t="shared" si="86"/>
        <v>35478.951966457018</v>
      </c>
      <c r="BM225" s="148">
        <f t="shared" si="86"/>
        <v>35478.951966457018</v>
      </c>
      <c r="BN225" s="148">
        <f t="shared" si="86"/>
        <v>35478.951966457018</v>
      </c>
      <c r="BO225" s="148">
        <f t="shared" si="86"/>
        <v>53388.454876042349</v>
      </c>
      <c r="BP225" s="148">
        <f t="shared" si="79"/>
        <v>2012793.6802921973</v>
      </c>
      <c r="BQ225" s="148">
        <f t="shared" si="80"/>
        <v>2449005.2141477996</v>
      </c>
    </row>
    <row r="226" spans="3:69" s="22" customFormat="1" outlineLevel="1">
      <c r="C226" s="22" t="str">
        <v>Input City</v>
      </c>
      <c r="D226" s="161">
        <f>SUMIFS('Existing Stores'!$F$9:$F$1008,'Existing Stores'!$D$9:$D$1008,Model!$C226)</f>
        <v>1614.1000000000004</v>
      </c>
      <c r="E226" s="165">
        <f>(AVERAGEIFS('Existing Stores'!$F$9:$F$1008,'Existing Stores'!$D$9:$D$1008,Model!$C226))</f>
        <v>94.947058823529431</v>
      </c>
      <c r="F226" s="29" t="s">
        <v>119</v>
      </c>
      <c r="G226" s="167">
        <f t="shared" ref="G226:BO226" si="87">$E226*G135*G$120*G$118*G196</f>
        <v>2421.1500000000005</v>
      </c>
      <c r="H226" s="148">
        <f t="shared" si="87"/>
        <v>1330.0184000000004</v>
      </c>
      <c r="I226" s="148">
        <f t="shared" si="87"/>
        <v>1246.8922500000003</v>
      </c>
      <c r="J226" s="148">
        <f t="shared" si="87"/>
        <v>1662.5230000000004</v>
      </c>
      <c r="K226" s="148">
        <f t="shared" si="87"/>
        <v>1662.5230000000004</v>
      </c>
      <c r="L226" s="148">
        <f t="shared" si="87"/>
        <v>1662.5230000000004</v>
      </c>
      <c r="M226" s="148">
        <f t="shared" si="87"/>
        <v>1662.5230000000004</v>
      </c>
      <c r="N226" s="148">
        <f t="shared" si="87"/>
        <v>1662.5230000000004</v>
      </c>
      <c r="O226" s="148">
        <f t="shared" si="87"/>
        <v>1662.5230000000004</v>
      </c>
      <c r="P226" s="148">
        <f t="shared" si="87"/>
        <v>1760.3184705882359</v>
      </c>
      <c r="Q226" s="148">
        <f t="shared" si="87"/>
        <v>1760.3184705882359</v>
      </c>
      <c r="R226" s="148">
        <f t="shared" si="87"/>
        <v>1760.3184705882359</v>
      </c>
      <c r="S226" s="148">
        <f t="shared" si="87"/>
        <v>2640.4777058823538</v>
      </c>
      <c r="T226" s="148">
        <f t="shared" si="87"/>
        <v>1450.5024197647062</v>
      </c>
      <c r="U226" s="148">
        <f t="shared" si="87"/>
        <v>1359.846018529412</v>
      </c>
      <c r="V226" s="148">
        <f t="shared" si="87"/>
        <v>1813.1280247058828</v>
      </c>
      <c r="W226" s="148">
        <f t="shared" si="87"/>
        <v>1813.1280247058828</v>
      </c>
      <c r="X226" s="148">
        <f t="shared" si="87"/>
        <v>1813.1280247058828</v>
      </c>
      <c r="Y226" s="148">
        <f t="shared" si="87"/>
        <v>1813.1280247058828</v>
      </c>
      <c r="Z226" s="148">
        <f t="shared" si="87"/>
        <v>1813.1280247058828</v>
      </c>
      <c r="AA226" s="148">
        <f t="shared" si="87"/>
        <v>1813.1280247058828</v>
      </c>
      <c r="AB226" s="148">
        <f t="shared" si="87"/>
        <v>1813.1280247058828</v>
      </c>
      <c r="AC226" s="148">
        <f t="shared" si="87"/>
        <v>1813.1280247058828</v>
      </c>
      <c r="AD226" s="148">
        <f t="shared" si="87"/>
        <v>1813.1280247058828</v>
      </c>
      <c r="AE226" s="148">
        <f t="shared" si="87"/>
        <v>2719.6920370588241</v>
      </c>
      <c r="AF226" s="148">
        <f t="shared" si="87"/>
        <v>1494.0174923576476</v>
      </c>
      <c r="AG226" s="148">
        <f t="shared" si="87"/>
        <v>1400.6413990852946</v>
      </c>
      <c r="AH226" s="148">
        <f t="shared" si="87"/>
        <v>1867.5218654470593</v>
      </c>
      <c r="AI226" s="148">
        <f t="shared" si="87"/>
        <v>1867.5218654470593</v>
      </c>
      <c r="AJ226" s="148">
        <f t="shared" si="87"/>
        <v>1867.5218654470593</v>
      </c>
      <c r="AK226" s="148">
        <f t="shared" si="87"/>
        <v>1867.5218654470593</v>
      </c>
      <c r="AL226" s="148">
        <f t="shared" si="87"/>
        <v>1867.5218654470593</v>
      </c>
      <c r="AM226" s="148">
        <f t="shared" si="87"/>
        <v>1867.5218654470593</v>
      </c>
      <c r="AN226" s="148">
        <f t="shared" si="87"/>
        <v>1867.5218654470593</v>
      </c>
      <c r="AO226" s="148">
        <f t="shared" si="87"/>
        <v>1867.5218654470593</v>
      </c>
      <c r="AP226" s="148">
        <f t="shared" si="87"/>
        <v>1971.2730801941182</v>
      </c>
      <c r="AQ226" s="148">
        <f t="shared" si="87"/>
        <v>2956.9096202911774</v>
      </c>
      <c r="AR226" s="148">
        <f t="shared" si="87"/>
        <v>1624.3290180799534</v>
      </c>
      <c r="AS226" s="148">
        <f t="shared" si="87"/>
        <v>1522.8084544499561</v>
      </c>
      <c r="AT226" s="148">
        <f t="shared" si="87"/>
        <v>2030.4112725999416</v>
      </c>
      <c r="AU226" s="148">
        <f t="shared" si="87"/>
        <v>2030.4112725999416</v>
      </c>
      <c r="AV226" s="148">
        <f t="shared" si="87"/>
        <v>2030.4112725999416</v>
      </c>
      <c r="AW226" s="148">
        <f t="shared" si="87"/>
        <v>2030.4112725999416</v>
      </c>
      <c r="AX226" s="148">
        <f t="shared" si="87"/>
        <v>2030.4112725999416</v>
      </c>
      <c r="AY226" s="148">
        <f t="shared" si="87"/>
        <v>2030.4112725999416</v>
      </c>
      <c r="AZ226" s="148">
        <f t="shared" si="87"/>
        <v>2030.4112725999416</v>
      </c>
      <c r="BA226" s="148">
        <f t="shared" si="87"/>
        <v>2030.4112725999416</v>
      </c>
      <c r="BB226" s="148">
        <f t="shared" si="87"/>
        <v>2030.4112725999416</v>
      </c>
      <c r="BC226" s="148">
        <f t="shared" si="87"/>
        <v>3045.6169088999122</v>
      </c>
      <c r="BD226" s="148">
        <f t="shared" si="87"/>
        <v>1673.0588886223518</v>
      </c>
      <c r="BE226" s="148">
        <f t="shared" si="87"/>
        <v>1568.4927080834548</v>
      </c>
      <c r="BF226" s="148">
        <f t="shared" si="87"/>
        <v>2091.3236107779398</v>
      </c>
      <c r="BG226" s="148">
        <f t="shared" si="87"/>
        <v>2091.3236107779398</v>
      </c>
      <c r="BH226" s="148">
        <f t="shared" si="87"/>
        <v>2091.3236107779398</v>
      </c>
      <c r="BI226" s="148">
        <f t="shared" si="87"/>
        <v>2091.3236107779398</v>
      </c>
      <c r="BJ226" s="148">
        <f t="shared" si="87"/>
        <v>2091.3236107779398</v>
      </c>
      <c r="BK226" s="148">
        <f t="shared" si="87"/>
        <v>2091.3236107779398</v>
      </c>
      <c r="BL226" s="148">
        <f t="shared" si="87"/>
        <v>2091.3236107779398</v>
      </c>
      <c r="BM226" s="148">
        <f t="shared" si="87"/>
        <v>2091.3236107779398</v>
      </c>
      <c r="BN226" s="148">
        <f t="shared" si="87"/>
        <v>2091.3236107779398</v>
      </c>
      <c r="BO226" s="148">
        <f t="shared" si="87"/>
        <v>3136.9854161669095</v>
      </c>
      <c r="BP226" s="148">
        <f t="shared" si="79"/>
        <v>114751.59632556116</v>
      </c>
      <c r="BQ226" s="148">
        <f t="shared" si="80"/>
        <v>139442.27807010448</v>
      </c>
    </row>
    <row r="227" spans="3:69" s="22" customFormat="1" outlineLevel="1">
      <c r="C227" s="22" t="str">
        <v>Junction Core</v>
      </c>
      <c r="D227" s="161">
        <f>SUMIFS('Existing Stores'!$F$9:$F$1008,'Existing Stores'!$D$9:$D$1008,Model!$C227)</f>
        <v>1070.5</v>
      </c>
      <c r="E227" s="165">
        <f>(AVERAGEIFS('Existing Stores'!$F$9:$F$1008,'Existing Stores'!$D$9:$D$1008,Model!$C227))</f>
        <v>133.8125</v>
      </c>
      <c r="F227" s="29" t="s">
        <v>119</v>
      </c>
      <c r="G227" s="167">
        <f t="shared" ref="G227:BO227" si="88">$E227*G136*G$120*G$118*G197</f>
        <v>1605.75</v>
      </c>
      <c r="H227" s="148">
        <f t="shared" si="88"/>
        <v>882.0920000000001</v>
      </c>
      <c r="I227" s="148">
        <f t="shared" si="88"/>
        <v>826.96125000000006</v>
      </c>
      <c r="J227" s="148">
        <f t="shared" si="88"/>
        <v>1102.615</v>
      </c>
      <c r="K227" s="148">
        <f t="shared" si="88"/>
        <v>1102.615</v>
      </c>
      <c r="L227" s="148">
        <f t="shared" si="88"/>
        <v>1102.615</v>
      </c>
      <c r="M227" s="148">
        <f t="shared" si="88"/>
        <v>1102.615</v>
      </c>
      <c r="N227" s="148">
        <f t="shared" si="88"/>
        <v>1102.615</v>
      </c>
      <c r="O227" s="148">
        <f t="shared" si="88"/>
        <v>1102.615</v>
      </c>
      <c r="P227" s="148">
        <f t="shared" si="88"/>
        <v>1102.615</v>
      </c>
      <c r="Q227" s="148">
        <f t="shared" si="88"/>
        <v>1240.441875</v>
      </c>
      <c r="R227" s="148">
        <f t="shared" si="88"/>
        <v>1240.441875</v>
      </c>
      <c r="S227" s="148">
        <f t="shared" si="88"/>
        <v>1860.6628125</v>
      </c>
      <c r="T227" s="148">
        <f t="shared" si="88"/>
        <v>1022.124105</v>
      </c>
      <c r="U227" s="148">
        <f t="shared" si="88"/>
        <v>958.24134843749994</v>
      </c>
      <c r="V227" s="148">
        <f t="shared" si="88"/>
        <v>1277.6551312499998</v>
      </c>
      <c r="W227" s="148">
        <f t="shared" si="88"/>
        <v>1277.6551312499998</v>
      </c>
      <c r="X227" s="148">
        <f t="shared" si="88"/>
        <v>1277.6551312499998</v>
      </c>
      <c r="Y227" s="148">
        <f t="shared" si="88"/>
        <v>1277.6551312499998</v>
      </c>
      <c r="Z227" s="148">
        <f t="shared" si="88"/>
        <v>1277.6551312499998</v>
      </c>
      <c r="AA227" s="148">
        <f t="shared" si="88"/>
        <v>1277.6551312499998</v>
      </c>
      <c r="AB227" s="148">
        <f t="shared" si="88"/>
        <v>1277.6551312499998</v>
      </c>
      <c r="AC227" s="148">
        <f t="shared" si="88"/>
        <v>1277.6551312499998</v>
      </c>
      <c r="AD227" s="148">
        <f t="shared" si="88"/>
        <v>1277.6551312499998</v>
      </c>
      <c r="AE227" s="148">
        <f t="shared" si="88"/>
        <v>1916.4826968749999</v>
      </c>
      <c r="AF227" s="148">
        <f t="shared" si="88"/>
        <v>1052.78782815</v>
      </c>
      <c r="AG227" s="148">
        <f t="shared" si="88"/>
        <v>986.98858889062501</v>
      </c>
      <c r="AH227" s="148">
        <f t="shared" si="88"/>
        <v>1315.9847851874999</v>
      </c>
      <c r="AI227" s="148">
        <f t="shared" si="88"/>
        <v>1315.9847851874999</v>
      </c>
      <c r="AJ227" s="148">
        <f t="shared" si="88"/>
        <v>1315.9847851874999</v>
      </c>
      <c r="AK227" s="148">
        <f t="shared" si="88"/>
        <v>1315.9847851874999</v>
      </c>
      <c r="AL227" s="148">
        <f t="shared" si="88"/>
        <v>1315.9847851874999</v>
      </c>
      <c r="AM227" s="148">
        <f t="shared" si="88"/>
        <v>1315.9847851874999</v>
      </c>
      <c r="AN227" s="148">
        <f t="shared" si="88"/>
        <v>1315.9847851874999</v>
      </c>
      <c r="AO227" s="148">
        <f t="shared" si="88"/>
        <v>1315.9847851874999</v>
      </c>
      <c r="AP227" s="148">
        <f t="shared" si="88"/>
        <v>1315.9847851874999</v>
      </c>
      <c r="AQ227" s="148">
        <f t="shared" si="88"/>
        <v>2193.3079753124998</v>
      </c>
      <c r="AR227" s="148">
        <f t="shared" si="88"/>
        <v>1204.8571811049999</v>
      </c>
      <c r="AS227" s="148">
        <f t="shared" si="88"/>
        <v>1129.5536072859375</v>
      </c>
      <c r="AT227" s="148">
        <f t="shared" si="88"/>
        <v>1506.0714763812498</v>
      </c>
      <c r="AU227" s="148">
        <f t="shared" si="88"/>
        <v>1506.0714763812498</v>
      </c>
      <c r="AV227" s="148">
        <f t="shared" si="88"/>
        <v>1506.0714763812498</v>
      </c>
      <c r="AW227" s="148">
        <f t="shared" si="88"/>
        <v>1506.0714763812498</v>
      </c>
      <c r="AX227" s="148">
        <f t="shared" si="88"/>
        <v>1506.0714763812498</v>
      </c>
      <c r="AY227" s="148">
        <f t="shared" si="88"/>
        <v>1506.0714763812498</v>
      </c>
      <c r="AZ227" s="148">
        <f t="shared" si="88"/>
        <v>1506.0714763812498</v>
      </c>
      <c r="BA227" s="148">
        <f t="shared" si="88"/>
        <v>1506.0714763812498</v>
      </c>
      <c r="BB227" s="148">
        <f t="shared" si="88"/>
        <v>1506.0714763812498</v>
      </c>
      <c r="BC227" s="148">
        <f t="shared" si="88"/>
        <v>2259.1072145718749</v>
      </c>
      <c r="BD227" s="148">
        <f t="shared" si="88"/>
        <v>1241.0028965381498</v>
      </c>
      <c r="BE227" s="148">
        <f t="shared" si="88"/>
        <v>1163.4402155045154</v>
      </c>
      <c r="BF227" s="148">
        <f t="shared" si="88"/>
        <v>1551.2536206726872</v>
      </c>
      <c r="BG227" s="148">
        <f t="shared" si="88"/>
        <v>1551.2536206726872</v>
      </c>
      <c r="BH227" s="148">
        <f t="shared" si="88"/>
        <v>1551.2536206726872</v>
      </c>
      <c r="BI227" s="148">
        <f t="shared" si="88"/>
        <v>1551.2536206726872</v>
      </c>
      <c r="BJ227" s="148">
        <f t="shared" si="88"/>
        <v>1551.2536206726872</v>
      </c>
      <c r="BK227" s="148">
        <f t="shared" si="88"/>
        <v>1551.2536206726872</v>
      </c>
      <c r="BL227" s="148">
        <f t="shared" si="88"/>
        <v>1551.2536206726872</v>
      </c>
      <c r="BM227" s="148">
        <f t="shared" si="88"/>
        <v>1551.2536206726872</v>
      </c>
      <c r="BN227" s="148">
        <f t="shared" si="88"/>
        <v>1551.2536206726872</v>
      </c>
      <c r="BO227" s="148">
        <f t="shared" si="88"/>
        <v>2326.8804310090309</v>
      </c>
      <c r="BP227" s="148">
        <f t="shared" si="79"/>
        <v>82082.36402260304</v>
      </c>
      <c r="BQ227" s="148">
        <f t="shared" si="80"/>
        <v>99717.995713587356</v>
      </c>
    </row>
    <row r="228" spans="3:69" s="22" customFormat="1" outlineLevel="1">
      <c r="C228" s="22" t="str">
        <v>Kernel Heights</v>
      </c>
      <c r="D228" s="161">
        <f>SUMIFS('Existing Stores'!$F$9:$F$1008,'Existing Stores'!$D$9:$D$1008,Model!$C228)</f>
        <v>302.70000000000005</v>
      </c>
      <c r="E228" s="165">
        <f>(AVERAGEIFS('Existing Stores'!$F$9:$F$1008,'Existing Stores'!$D$9:$D$1008,Model!$C228))</f>
        <v>100.90000000000002</v>
      </c>
      <c r="F228" s="29" t="s">
        <v>119</v>
      </c>
      <c r="G228" s="167">
        <f t="shared" ref="G228:BO228" si="89">$E228*G137*G$120*G$118*G198</f>
        <v>454.05000000000007</v>
      </c>
      <c r="H228" s="148">
        <f t="shared" si="89"/>
        <v>249.42480000000006</v>
      </c>
      <c r="I228" s="148">
        <f t="shared" si="89"/>
        <v>233.83575000000005</v>
      </c>
      <c r="J228" s="148">
        <f t="shared" si="89"/>
        <v>311.78100000000006</v>
      </c>
      <c r="K228" s="148">
        <f t="shared" si="89"/>
        <v>311.78100000000006</v>
      </c>
      <c r="L228" s="148">
        <f t="shared" si="89"/>
        <v>311.78100000000006</v>
      </c>
      <c r="M228" s="148">
        <f t="shared" si="89"/>
        <v>311.78100000000006</v>
      </c>
      <c r="N228" s="148">
        <f t="shared" si="89"/>
        <v>311.78100000000006</v>
      </c>
      <c r="O228" s="148">
        <f t="shared" si="89"/>
        <v>311.78100000000006</v>
      </c>
      <c r="P228" s="148">
        <f t="shared" si="89"/>
        <v>311.78100000000006</v>
      </c>
      <c r="Q228" s="148">
        <f t="shared" si="89"/>
        <v>311.78100000000006</v>
      </c>
      <c r="R228" s="148">
        <f t="shared" si="89"/>
        <v>415.70800000000008</v>
      </c>
      <c r="S228" s="148">
        <f t="shared" si="89"/>
        <v>623.56200000000013</v>
      </c>
      <c r="T228" s="148">
        <f t="shared" si="89"/>
        <v>342.5433920000001</v>
      </c>
      <c r="U228" s="148">
        <f t="shared" si="89"/>
        <v>321.13443000000001</v>
      </c>
      <c r="V228" s="148">
        <f t="shared" si="89"/>
        <v>428.17924000000005</v>
      </c>
      <c r="W228" s="148">
        <f t="shared" si="89"/>
        <v>428.17924000000005</v>
      </c>
      <c r="X228" s="148">
        <f t="shared" si="89"/>
        <v>428.17924000000005</v>
      </c>
      <c r="Y228" s="148">
        <f t="shared" si="89"/>
        <v>428.17924000000005</v>
      </c>
      <c r="Z228" s="148">
        <f t="shared" si="89"/>
        <v>428.17924000000005</v>
      </c>
      <c r="AA228" s="148">
        <f t="shared" si="89"/>
        <v>428.17924000000005</v>
      </c>
      <c r="AB228" s="148">
        <f t="shared" si="89"/>
        <v>428.17924000000005</v>
      </c>
      <c r="AC228" s="148">
        <f t="shared" si="89"/>
        <v>428.17924000000005</v>
      </c>
      <c r="AD228" s="148">
        <f t="shared" si="89"/>
        <v>428.17924000000005</v>
      </c>
      <c r="AE228" s="148">
        <f t="shared" si="89"/>
        <v>642.26886000000002</v>
      </c>
      <c r="AF228" s="148">
        <f t="shared" si="89"/>
        <v>352.81969376000012</v>
      </c>
      <c r="AG228" s="148">
        <f t="shared" si="89"/>
        <v>330.76846290000003</v>
      </c>
      <c r="AH228" s="148">
        <f t="shared" si="89"/>
        <v>441.02461720000008</v>
      </c>
      <c r="AI228" s="148">
        <f t="shared" si="89"/>
        <v>441.02461720000008</v>
      </c>
      <c r="AJ228" s="148">
        <f t="shared" si="89"/>
        <v>441.02461720000008</v>
      </c>
      <c r="AK228" s="148">
        <f t="shared" si="89"/>
        <v>441.02461720000008</v>
      </c>
      <c r="AL228" s="148">
        <f t="shared" si="89"/>
        <v>441.02461720000008</v>
      </c>
      <c r="AM228" s="148">
        <f t="shared" si="89"/>
        <v>441.02461720000008</v>
      </c>
      <c r="AN228" s="148">
        <f t="shared" si="89"/>
        <v>441.02461720000008</v>
      </c>
      <c r="AO228" s="148">
        <f t="shared" si="89"/>
        <v>441.02461720000008</v>
      </c>
      <c r="AP228" s="148">
        <f t="shared" si="89"/>
        <v>441.02461720000008</v>
      </c>
      <c r="AQ228" s="148">
        <f t="shared" si="89"/>
        <v>661.53692580000006</v>
      </c>
      <c r="AR228" s="148">
        <f t="shared" si="89"/>
        <v>454.25535571600011</v>
      </c>
      <c r="AS228" s="148">
        <f t="shared" si="89"/>
        <v>425.86439598375011</v>
      </c>
      <c r="AT228" s="148">
        <f t="shared" si="89"/>
        <v>567.81919464500004</v>
      </c>
      <c r="AU228" s="148">
        <f t="shared" si="89"/>
        <v>567.81919464500004</v>
      </c>
      <c r="AV228" s="148">
        <f t="shared" si="89"/>
        <v>567.81919464500004</v>
      </c>
      <c r="AW228" s="148">
        <f t="shared" si="89"/>
        <v>567.81919464500004</v>
      </c>
      <c r="AX228" s="148">
        <f t="shared" si="89"/>
        <v>567.81919464500004</v>
      </c>
      <c r="AY228" s="148">
        <f t="shared" si="89"/>
        <v>567.81919464500004</v>
      </c>
      <c r="AZ228" s="148">
        <f t="shared" si="89"/>
        <v>567.81919464500004</v>
      </c>
      <c r="BA228" s="148">
        <f t="shared" si="89"/>
        <v>567.81919464500004</v>
      </c>
      <c r="BB228" s="148">
        <f t="shared" si="89"/>
        <v>567.81919464500004</v>
      </c>
      <c r="BC228" s="148">
        <f t="shared" si="89"/>
        <v>851.72879196750023</v>
      </c>
      <c r="BD228" s="148">
        <f t="shared" si="89"/>
        <v>467.8830163874801</v>
      </c>
      <c r="BE228" s="148">
        <f t="shared" si="89"/>
        <v>438.6403278632626</v>
      </c>
      <c r="BF228" s="148">
        <f t="shared" si="89"/>
        <v>584.85377048435009</v>
      </c>
      <c r="BG228" s="148">
        <f t="shared" si="89"/>
        <v>584.85377048435009</v>
      </c>
      <c r="BH228" s="148">
        <f t="shared" si="89"/>
        <v>584.85377048435009</v>
      </c>
      <c r="BI228" s="148">
        <f t="shared" si="89"/>
        <v>584.85377048435009</v>
      </c>
      <c r="BJ228" s="148">
        <f t="shared" si="89"/>
        <v>584.85377048435009</v>
      </c>
      <c r="BK228" s="148">
        <f t="shared" si="89"/>
        <v>584.85377048435009</v>
      </c>
      <c r="BL228" s="148">
        <f t="shared" si="89"/>
        <v>584.85377048435009</v>
      </c>
      <c r="BM228" s="148">
        <f t="shared" si="89"/>
        <v>584.85377048435009</v>
      </c>
      <c r="BN228" s="148">
        <f t="shared" si="89"/>
        <v>584.85377048435009</v>
      </c>
      <c r="BO228" s="148">
        <f t="shared" si="89"/>
        <v>877.2806557265252</v>
      </c>
      <c r="BP228" s="148">
        <f t="shared" si="79"/>
        <v>28380.394259068682</v>
      </c>
      <c r="BQ228" s="148">
        <f t="shared" si="80"/>
        <v>35130.934023366484</v>
      </c>
    </row>
    <row r="229" spans="3:69" s="22" customFormat="1" outlineLevel="1">
      <c r="C229" s="22" t="str">
        <v>Logicridge</v>
      </c>
      <c r="D229" s="162">
        <f>SUMIFS('Existing Stores'!$F$9:$F$1008,'Existing Stores'!$D$9:$D$1008,Model!$C229)</f>
        <v>471.1</v>
      </c>
      <c r="E229" s="165">
        <f>(AVERAGEIFS('Existing Stores'!$F$9:$F$1008,'Existing Stores'!$D$9:$D$1008,Model!$C229))</f>
        <v>94.22</v>
      </c>
      <c r="F229" s="29" t="s">
        <v>119</v>
      </c>
      <c r="G229" s="167">
        <f t="shared" ref="G229:BO229" si="90">$E229*G138*G$120*G$118*G199</f>
        <v>706.65000000000009</v>
      </c>
      <c r="H229" s="148">
        <f t="shared" si="90"/>
        <v>388.18640000000005</v>
      </c>
      <c r="I229" s="148">
        <f t="shared" si="90"/>
        <v>363.92475000000007</v>
      </c>
      <c r="J229" s="148">
        <f t="shared" si="90"/>
        <v>485.23300000000006</v>
      </c>
      <c r="K229" s="148">
        <f t="shared" si="90"/>
        <v>485.23300000000006</v>
      </c>
      <c r="L229" s="148">
        <f t="shared" si="90"/>
        <v>485.23300000000006</v>
      </c>
      <c r="M229" s="148">
        <f t="shared" si="90"/>
        <v>485.23300000000006</v>
      </c>
      <c r="N229" s="148">
        <f t="shared" si="90"/>
        <v>485.23300000000006</v>
      </c>
      <c r="O229" s="148">
        <f t="shared" si="90"/>
        <v>485.23300000000006</v>
      </c>
      <c r="P229" s="148">
        <f t="shared" si="90"/>
        <v>485.23300000000006</v>
      </c>
      <c r="Q229" s="148">
        <f t="shared" si="90"/>
        <v>485.23300000000006</v>
      </c>
      <c r="R229" s="148">
        <f t="shared" si="90"/>
        <v>485.23300000000006</v>
      </c>
      <c r="S229" s="148">
        <f t="shared" si="90"/>
        <v>873.41939999999988</v>
      </c>
      <c r="T229" s="148">
        <f t="shared" si="90"/>
        <v>479.79839039999996</v>
      </c>
      <c r="U229" s="148">
        <f t="shared" si="90"/>
        <v>449.81099099999994</v>
      </c>
      <c r="V229" s="148">
        <f t="shared" si="90"/>
        <v>599.74798799999985</v>
      </c>
      <c r="W229" s="148">
        <f t="shared" si="90"/>
        <v>599.74798799999985</v>
      </c>
      <c r="X229" s="148">
        <f t="shared" si="90"/>
        <v>599.74798799999985</v>
      </c>
      <c r="Y229" s="148">
        <f t="shared" si="90"/>
        <v>599.74798799999985</v>
      </c>
      <c r="Z229" s="148">
        <f t="shared" si="90"/>
        <v>599.74798799999985</v>
      </c>
      <c r="AA229" s="148">
        <f t="shared" si="90"/>
        <v>599.74798799999985</v>
      </c>
      <c r="AB229" s="148">
        <f t="shared" si="90"/>
        <v>599.74798799999985</v>
      </c>
      <c r="AC229" s="148">
        <f t="shared" si="90"/>
        <v>599.74798799999985</v>
      </c>
      <c r="AD229" s="148">
        <f t="shared" si="90"/>
        <v>599.74798799999985</v>
      </c>
      <c r="AE229" s="148">
        <f t="shared" si="90"/>
        <v>899.62198199999989</v>
      </c>
      <c r="AF229" s="148">
        <f t="shared" si="90"/>
        <v>494.19234211199995</v>
      </c>
      <c r="AG229" s="148">
        <f t="shared" si="90"/>
        <v>463.30532072999995</v>
      </c>
      <c r="AH229" s="148">
        <f t="shared" si="90"/>
        <v>617.74042763999989</v>
      </c>
      <c r="AI229" s="148">
        <f t="shared" si="90"/>
        <v>617.74042763999989</v>
      </c>
      <c r="AJ229" s="148">
        <f t="shared" si="90"/>
        <v>617.74042763999989</v>
      </c>
      <c r="AK229" s="148">
        <f t="shared" si="90"/>
        <v>617.74042763999989</v>
      </c>
      <c r="AL229" s="148">
        <f t="shared" si="90"/>
        <v>617.74042763999989</v>
      </c>
      <c r="AM229" s="148">
        <f t="shared" si="90"/>
        <v>617.74042763999989</v>
      </c>
      <c r="AN229" s="148">
        <f t="shared" si="90"/>
        <v>617.74042763999989</v>
      </c>
      <c r="AO229" s="148">
        <f t="shared" si="90"/>
        <v>617.74042763999989</v>
      </c>
      <c r="AP229" s="148">
        <f t="shared" si="90"/>
        <v>617.74042763999989</v>
      </c>
      <c r="AQ229" s="148">
        <f t="shared" si="90"/>
        <v>926.6106414599999</v>
      </c>
      <c r="AR229" s="148">
        <f t="shared" si="90"/>
        <v>509.01811237535992</v>
      </c>
      <c r="AS229" s="148">
        <f t="shared" si="90"/>
        <v>556.73856041054989</v>
      </c>
      <c r="AT229" s="148">
        <f t="shared" si="90"/>
        <v>742.31808054739986</v>
      </c>
      <c r="AU229" s="148">
        <f t="shared" si="90"/>
        <v>742.31808054739986</v>
      </c>
      <c r="AV229" s="148">
        <f t="shared" si="90"/>
        <v>742.31808054739986</v>
      </c>
      <c r="AW229" s="148">
        <f t="shared" si="90"/>
        <v>742.31808054739986</v>
      </c>
      <c r="AX229" s="148">
        <f t="shared" si="90"/>
        <v>742.31808054739986</v>
      </c>
      <c r="AY229" s="148">
        <f t="shared" si="90"/>
        <v>742.31808054739986</v>
      </c>
      <c r="AZ229" s="148">
        <f t="shared" si="90"/>
        <v>742.31808054739986</v>
      </c>
      <c r="BA229" s="148">
        <f t="shared" si="90"/>
        <v>742.31808054739986</v>
      </c>
      <c r="BB229" s="148">
        <f t="shared" si="90"/>
        <v>742.31808054739986</v>
      </c>
      <c r="BC229" s="148">
        <f t="shared" si="90"/>
        <v>1113.4771208210998</v>
      </c>
      <c r="BD229" s="148">
        <f t="shared" si="90"/>
        <v>611.67009837105741</v>
      </c>
      <c r="BE229" s="148">
        <f t="shared" si="90"/>
        <v>573.4407172228664</v>
      </c>
      <c r="BF229" s="148">
        <f t="shared" si="90"/>
        <v>764.5876229638219</v>
      </c>
      <c r="BG229" s="148">
        <f t="shared" si="90"/>
        <v>764.5876229638219</v>
      </c>
      <c r="BH229" s="148">
        <f t="shared" si="90"/>
        <v>764.5876229638219</v>
      </c>
      <c r="BI229" s="148">
        <f t="shared" si="90"/>
        <v>764.5876229638219</v>
      </c>
      <c r="BJ229" s="148">
        <f t="shared" si="90"/>
        <v>764.5876229638219</v>
      </c>
      <c r="BK229" s="148">
        <f t="shared" si="90"/>
        <v>764.5876229638219</v>
      </c>
      <c r="BL229" s="148">
        <f t="shared" si="90"/>
        <v>764.5876229638219</v>
      </c>
      <c r="BM229" s="148">
        <f t="shared" si="90"/>
        <v>764.5876229638219</v>
      </c>
      <c r="BN229" s="148">
        <f t="shared" si="90"/>
        <v>764.5876229638219</v>
      </c>
      <c r="BO229" s="148">
        <f t="shared" si="90"/>
        <v>1146.8814344457328</v>
      </c>
      <c r="BP229" s="148">
        <f t="shared" si="79"/>
        <v>38736.740333709684</v>
      </c>
      <c r="BQ229" s="148">
        <f t="shared" si="80"/>
        <v>48143.412153230776</v>
      </c>
    </row>
    <row r="230" spans="3:69" s="22" customFormat="1" outlineLevel="1">
      <c r="C230" s="22" t="str">
        <v>Megahub</v>
      </c>
      <c r="D230" s="161">
        <f>SUMIFS('Existing Stores'!$F$9:$F$1008,'Existing Stores'!$D$9:$D$1008,Model!$C230)</f>
        <v>100.8</v>
      </c>
      <c r="E230" s="165">
        <f>(AVERAGEIFS('Existing Stores'!$F$9:$F$1008,'Existing Stores'!$D$9:$D$1008,Model!$C230))</f>
        <v>100.8</v>
      </c>
      <c r="F230" s="29" t="s">
        <v>119</v>
      </c>
      <c r="G230" s="167">
        <f t="shared" ref="G230:BO230" si="91">$E230*G139*G$120*G$118*G200</f>
        <v>151.19999999999999</v>
      </c>
      <c r="H230" s="148">
        <f t="shared" si="91"/>
        <v>83.059200000000004</v>
      </c>
      <c r="I230" s="148">
        <f t="shared" si="91"/>
        <v>77.867999999999995</v>
      </c>
      <c r="J230" s="148">
        <f t="shared" si="91"/>
        <v>103.824</v>
      </c>
      <c r="K230" s="148">
        <f t="shared" si="91"/>
        <v>103.824</v>
      </c>
      <c r="L230" s="148">
        <f t="shared" si="91"/>
        <v>103.824</v>
      </c>
      <c r="M230" s="148">
        <f t="shared" si="91"/>
        <v>103.824</v>
      </c>
      <c r="N230" s="148">
        <f t="shared" si="91"/>
        <v>103.824</v>
      </c>
      <c r="O230" s="148">
        <f t="shared" si="91"/>
        <v>103.824</v>
      </c>
      <c r="P230" s="148">
        <f t="shared" si="91"/>
        <v>103.824</v>
      </c>
      <c r="Q230" s="148">
        <f t="shared" si="91"/>
        <v>103.824</v>
      </c>
      <c r="R230" s="148">
        <f t="shared" si="91"/>
        <v>103.824</v>
      </c>
      <c r="S230" s="148">
        <f t="shared" si="91"/>
        <v>155.73599999999999</v>
      </c>
      <c r="T230" s="148">
        <f t="shared" si="91"/>
        <v>136.8815616</v>
      </c>
      <c r="U230" s="148">
        <f t="shared" si="91"/>
        <v>128.32646399999999</v>
      </c>
      <c r="V230" s="148">
        <f t="shared" si="91"/>
        <v>171.10195199999998</v>
      </c>
      <c r="W230" s="148">
        <f t="shared" si="91"/>
        <v>171.10195199999998</v>
      </c>
      <c r="X230" s="148">
        <f t="shared" si="91"/>
        <v>171.10195199999998</v>
      </c>
      <c r="Y230" s="148">
        <f t="shared" si="91"/>
        <v>171.10195199999998</v>
      </c>
      <c r="Z230" s="148">
        <f t="shared" si="91"/>
        <v>171.10195199999998</v>
      </c>
      <c r="AA230" s="148">
        <f t="shared" si="91"/>
        <v>171.10195199999998</v>
      </c>
      <c r="AB230" s="148">
        <f t="shared" si="91"/>
        <v>171.10195199999998</v>
      </c>
      <c r="AC230" s="148">
        <f t="shared" si="91"/>
        <v>171.10195199999998</v>
      </c>
      <c r="AD230" s="148">
        <f t="shared" si="91"/>
        <v>171.10195199999998</v>
      </c>
      <c r="AE230" s="148">
        <f t="shared" si="91"/>
        <v>256.65292799999997</v>
      </c>
      <c r="AF230" s="148">
        <f t="shared" si="91"/>
        <v>140.98800844800002</v>
      </c>
      <c r="AG230" s="148">
        <f t="shared" si="91"/>
        <v>132.17625791999998</v>
      </c>
      <c r="AH230" s="148">
        <f t="shared" si="91"/>
        <v>176.23501056000001</v>
      </c>
      <c r="AI230" s="148">
        <f t="shared" si="91"/>
        <v>176.23501056000001</v>
      </c>
      <c r="AJ230" s="148">
        <f t="shared" si="91"/>
        <v>176.23501056000001</v>
      </c>
      <c r="AK230" s="148">
        <f t="shared" si="91"/>
        <v>176.23501056000001</v>
      </c>
      <c r="AL230" s="148">
        <f t="shared" si="91"/>
        <v>176.23501056000001</v>
      </c>
      <c r="AM230" s="148">
        <f t="shared" si="91"/>
        <v>176.23501056000001</v>
      </c>
      <c r="AN230" s="148">
        <f t="shared" si="91"/>
        <v>176.23501056000001</v>
      </c>
      <c r="AO230" s="148">
        <f t="shared" si="91"/>
        <v>176.23501056000001</v>
      </c>
      <c r="AP230" s="148">
        <f t="shared" si="91"/>
        <v>176.23501056000001</v>
      </c>
      <c r="AQ230" s="148">
        <f t="shared" si="91"/>
        <v>264.35251583999997</v>
      </c>
      <c r="AR230" s="148">
        <f t="shared" si="91"/>
        <v>145.21764870144</v>
      </c>
      <c r="AS230" s="148">
        <f t="shared" si="91"/>
        <v>136.14154565759998</v>
      </c>
      <c r="AT230" s="148">
        <f t="shared" si="91"/>
        <v>272.28309131519995</v>
      </c>
      <c r="AU230" s="148">
        <f t="shared" si="91"/>
        <v>272.28309131519995</v>
      </c>
      <c r="AV230" s="148">
        <f t="shared" si="91"/>
        <v>272.28309131519995</v>
      </c>
      <c r="AW230" s="148">
        <f t="shared" si="91"/>
        <v>272.28309131519995</v>
      </c>
      <c r="AX230" s="148">
        <f t="shared" si="91"/>
        <v>272.28309131519995</v>
      </c>
      <c r="AY230" s="148">
        <f t="shared" si="91"/>
        <v>272.28309131519995</v>
      </c>
      <c r="AZ230" s="148">
        <f t="shared" si="91"/>
        <v>272.28309131519995</v>
      </c>
      <c r="BA230" s="148">
        <f t="shared" si="91"/>
        <v>272.28309131519995</v>
      </c>
      <c r="BB230" s="148">
        <f t="shared" si="91"/>
        <v>272.28309131519995</v>
      </c>
      <c r="BC230" s="148">
        <f t="shared" si="91"/>
        <v>408.42463697279999</v>
      </c>
      <c r="BD230" s="148">
        <f t="shared" si="91"/>
        <v>224.36126724372477</v>
      </c>
      <c r="BE230" s="148">
        <f t="shared" si="91"/>
        <v>210.338688040992</v>
      </c>
      <c r="BF230" s="148">
        <f t="shared" si="91"/>
        <v>280.45158405465594</v>
      </c>
      <c r="BG230" s="148">
        <f t="shared" si="91"/>
        <v>280.45158405465594</v>
      </c>
      <c r="BH230" s="148">
        <f t="shared" si="91"/>
        <v>280.45158405465594</v>
      </c>
      <c r="BI230" s="148">
        <f t="shared" si="91"/>
        <v>280.45158405465594</v>
      </c>
      <c r="BJ230" s="148">
        <f t="shared" si="91"/>
        <v>280.45158405465594</v>
      </c>
      <c r="BK230" s="148">
        <f t="shared" si="91"/>
        <v>280.45158405465594</v>
      </c>
      <c r="BL230" s="148">
        <f t="shared" si="91"/>
        <v>280.45158405465594</v>
      </c>
      <c r="BM230" s="148">
        <f t="shared" si="91"/>
        <v>280.45158405465594</v>
      </c>
      <c r="BN230" s="148">
        <f t="shared" si="91"/>
        <v>280.45158405465594</v>
      </c>
      <c r="BO230" s="148">
        <f t="shared" si="91"/>
        <v>420.67737608198399</v>
      </c>
      <c r="BP230" s="148">
        <f t="shared" si="79"/>
        <v>11956.26283987524</v>
      </c>
      <c r="BQ230" s="148">
        <f t="shared" si="80"/>
        <v>14411.566815921049</v>
      </c>
    </row>
    <row r="231" spans="3:69" s="22" customFormat="1" outlineLevel="1">
      <c r="C231" s="22" t="str">
        <v>Nodeline</v>
      </c>
      <c r="D231" s="161">
        <f>SUMIFS('Existing Stores'!$F$9:$F$1008,'Existing Stores'!$D$9:$D$1008,Model!$C231)</f>
        <v>661.7</v>
      </c>
      <c r="E231" s="165">
        <f>(AVERAGEIFS('Existing Stores'!$F$9:$F$1008,'Existing Stores'!$D$9:$D$1008,Model!$C231))</f>
        <v>94.528571428571439</v>
      </c>
      <c r="F231" s="29" t="s">
        <v>119</v>
      </c>
      <c r="G231" s="167">
        <f t="shared" ref="G231:BO231" si="92">$E231*G140*G$120*G$118*G201</f>
        <v>992.55000000000007</v>
      </c>
      <c r="H231" s="148">
        <f t="shared" si="92"/>
        <v>545.24080000000004</v>
      </c>
      <c r="I231" s="148">
        <f t="shared" si="92"/>
        <v>511.16325000000006</v>
      </c>
      <c r="J231" s="148">
        <f t="shared" si="92"/>
        <v>681.55100000000004</v>
      </c>
      <c r="K231" s="148">
        <f t="shared" si="92"/>
        <v>681.55100000000004</v>
      </c>
      <c r="L231" s="148">
        <f t="shared" si="92"/>
        <v>681.55100000000004</v>
      </c>
      <c r="M231" s="148">
        <f t="shared" si="92"/>
        <v>681.55100000000004</v>
      </c>
      <c r="N231" s="148">
        <f t="shared" si="92"/>
        <v>681.55100000000004</v>
      </c>
      <c r="O231" s="148">
        <f t="shared" si="92"/>
        <v>681.55100000000004</v>
      </c>
      <c r="P231" s="148">
        <f t="shared" si="92"/>
        <v>681.55100000000004</v>
      </c>
      <c r="Q231" s="148">
        <f t="shared" si="92"/>
        <v>681.55100000000004</v>
      </c>
      <c r="R231" s="148">
        <f t="shared" si="92"/>
        <v>681.55100000000004</v>
      </c>
      <c r="S231" s="148">
        <f t="shared" si="92"/>
        <v>1022.3265000000001</v>
      </c>
      <c r="T231" s="148">
        <f t="shared" si="92"/>
        <v>561.59802400000001</v>
      </c>
      <c r="U231" s="148">
        <f t="shared" si="92"/>
        <v>601.71216857142861</v>
      </c>
      <c r="V231" s="148">
        <f t="shared" si="92"/>
        <v>802.28289142857147</v>
      </c>
      <c r="W231" s="148">
        <f t="shared" si="92"/>
        <v>802.28289142857147</v>
      </c>
      <c r="X231" s="148">
        <f t="shared" si="92"/>
        <v>802.28289142857147</v>
      </c>
      <c r="Y231" s="148">
        <f t="shared" si="92"/>
        <v>802.28289142857147</v>
      </c>
      <c r="Z231" s="148">
        <f t="shared" si="92"/>
        <v>802.28289142857147</v>
      </c>
      <c r="AA231" s="148">
        <f t="shared" si="92"/>
        <v>802.28289142857147</v>
      </c>
      <c r="AB231" s="148">
        <f t="shared" si="92"/>
        <v>802.28289142857147</v>
      </c>
      <c r="AC231" s="148">
        <f t="shared" si="92"/>
        <v>802.28289142857147</v>
      </c>
      <c r="AD231" s="148">
        <f t="shared" si="92"/>
        <v>802.28289142857147</v>
      </c>
      <c r="AE231" s="148">
        <f t="shared" si="92"/>
        <v>1203.4243371428572</v>
      </c>
      <c r="AF231" s="148">
        <f t="shared" si="92"/>
        <v>661.08110253714301</v>
      </c>
      <c r="AG231" s="148">
        <f t="shared" si="92"/>
        <v>619.76353362857139</v>
      </c>
      <c r="AH231" s="148">
        <f t="shared" si="92"/>
        <v>826.35137817142868</v>
      </c>
      <c r="AI231" s="148">
        <f t="shared" si="92"/>
        <v>826.35137817142868</v>
      </c>
      <c r="AJ231" s="148">
        <f t="shared" si="92"/>
        <v>826.35137817142868</v>
      </c>
      <c r="AK231" s="148">
        <f t="shared" si="92"/>
        <v>826.35137817142868</v>
      </c>
      <c r="AL231" s="148">
        <f t="shared" si="92"/>
        <v>826.35137817142868</v>
      </c>
      <c r="AM231" s="148">
        <f t="shared" si="92"/>
        <v>826.35137817142868</v>
      </c>
      <c r="AN231" s="148">
        <f t="shared" si="92"/>
        <v>826.35137817142868</v>
      </c>
      <c r="AO231" s="148">
        <f t="shared" si="92"/>
        <v>826.35137817142868</v>
      </c>
      <c r="AP231" s="148">
        <f t="shared" si="92"/>
        <v>826.35137817142868</v>
      </c>
      <c r="AQ231" s="148">
        <f t="shared" si="92"/>
        <v>1239.5270672571428</v>
      </c>
      <c r="AR231" s="148">
        <f t="shared" si="92"/>
        <v>680.91353561325718</v>
      </c>
      <c r="AS231" s="148">
        <f t="shared" si="92"/>
        <v>638.35643963742848</v>
      </c>
      <c r="AT231" s="148">
        <f t="shared" si="92"/>
        <v>851.14191951657142</v>
      </c>
      <c r="AU231" s="148">
        <f t="shared" si="92"/>
        <v>957.53465945614289</v>
      </c>
      <c r="AV231" s="148">
        <f t="shared" si="92"/>
        <v>957.53465945614289</v>
      </c>
      <c r="AW231" s="148">
        <f t="shared" si="92"/>
        <v>957.53465945614289</v>
      </c>
      <c r="AX231" s="148">
        <f t="shared" si="92"/>
        <v>957.53465945614289</v>
      </c>
      <c r="AY231" s="148">
        <f t="shared" si="92"/>
        <v>957.53465945614289</v>
      </c>
      <c r="AZ231" s="148">
        <f t="shared" si="92"/>
        <v>957.53465945614289</v>
      </c>
      <c r="BA231" s="148">
        <f t="shared" si="92"/>
        <v>957.53465945614289</v>
      </c>
      <c r="BB231" s="148">
        <f t="shared" si="92"/>
        <v>957.53465945614289</v>
      </c>
      <c r="BC231" s="148">
        <f t="shared" si="92"/>
        <v>1436.3019891842146</v>
      </c>
      <c r="BD231" s="148">
        <f t="shared" si="92"/>
        <v>789.0085593918617</v>
      </c>
      <c r="BE231" s="148">
        <f t="shared" si="92"/>
        <v>739.69552442987049</v>
      </c>
      <c r="BF231" s="148">
        <f t="shared" si="92"/>
        <v>986.2606992398272</v>
      </c>
      <c r="BG231" s="148">
        <f t="shared" si="92"/>
        <v>986.2606992398272</v>
      </c>
      <c r="BH231" s="148">
        <f t="shared" si="92"/>
        <v>986.2606992398272</v>
      </c>
      <c r="BI231" s="148">
        <f t="shared" si="92"/>
        <v>986.2606992398272</v>
      </c>
      <c r="BJ231" s="148">
        <f t="shared" si="92"/>
        <v>986.2606992398272</v>
      </c>
      <c r="BK231" s="148">
        <f t="shared" si="92"/>
        <v>986.2606992398272</v>
      </c>
      <c r="BL231" s="148">
        <f t="shared" si="92"/>
        <v>986.2606992398272</v>
      </c>
      <c r="BM231" s="148">
        <f t="shared" si="92"/>
        <v>986.2606992398272</v>
      </c>
      <c r="BN231" s="148">
        <f t="shared" si="92"/>
        <v>986.2606992398272</v>
      </c>
      <c r="BO231" s="148">
        <f t="shared" si="92"/>
        <v>1479.391048859741</v>
      </c>
      <c r="BP231" s="148">
        <f t="shared" si="79"/>
        <v>50908.936794977679</v>
      </c>
      <c r="BQ231" s="148">
        <f t="shared" si="80"/>
        <v>61380.005705052419</v>
      </c>
    </row>
    <row r="232" spans="3:69" s="22" customFormat="1" outlineLevel="1">
      <c r="C232" s="22" t="str">
        <v>Overclock Oasis</v>
      </c>
      <c r="D232" s="161">
        <f>SUMIFS('Existing Stores'!$F$9:$F$1008,'Existing Stores'!$D$9:$D$1008,Model!$C232)</f>
        <v>5037.6000000000004</v>
      </c>
      <c r="E232" s="165">
        <f>(AVERAGEIFS('Existing Stores'!$F$9:$F$1008,'Existing Stores'!$D$9:$D$1008,Model!$C232))</f>
        <v>98.776470588235298</v>
      </c>
      <c r="F232" s="29" t="s">
        <v>119</v>
      </c>
      <c r="G232" s="167">
        <f t="shared" ref="G232:BO232" si="93">$E232*G141*G$120*G$118*G202</f>
        <v>7556.4000000000005</v>
      </c>
      <c r="H232" s="148">
        <f t="shared" si="93"/>
        <v>4150.9824000000008</v>
      </c>
      <c r="I232" s="148">
        <f t="shared" si="93"/>
        <v>3891.5460000000003</v>
      </c>
      <c r="J232" s="148">
        <f t="shared" si="93"/>
        <v>5188.7280000000001</v>
      </c>
      <c r="K232" s="148">
        <f t="shared" si="93"/>
        <v>5188.7280000000001</v>
      </c>
      <c r="L232" s="148">
        <f t="shared" si="93"/>
        <v>5188.7280000000001</v>
      </c>
      <c r="M232" s="148">
        <f t="shared" si="93"/>
        <v>5188.7280000000001</v>
      </c>
      <c r="N232" s="148">
        <f t="shared" si="93"/>
        <v>5188.7280000000001</v>
      </c>
      <c r="O232" s="148">
        <f t="shared" si="93"/>
        <v>5188.7280000000001</v>
      </c>
      <c r="P232" s="148">
        <f t="shared" si="93"/>
        <v>5188.7280000000001</v>
      </c>
      <c r="Q232" s="148">
        <f t="shared" si="93"/>
        <v>5188.7280000000001</v>
      </c>
      <c r="R232" s="148">
        <f t="shared" si="93"/>
        <v>5188.7280000000001</v>
      </c>
      <c r="S232" s="148">
        <f t="shared" si="93"/>
        <v>7783.0920000000006</v>
      </c>
      <c r="T232" s="148">
        <f t="shared" si="93"/>
        <v>4275.511872</v>
      </c>
      <c r="U232" s="148">
        <f t="shared" si="93"/>
        <v>4008.2923800000003</v>
      </c>
      <c r="V232" s="148">
        <f t="shared" si="93"/>
        <v>5449.1817976470593</v>
      </c>
      <c r="W232" s="148">
        <f t="shared" si="93"/>
        <v>5449.1817976470593</v>
      </c>
      <c r="X232" s="148">
        <f t="shared" si="93"/>
        <v>5449.1817976470593</v>
      </c>
      <c r="Y232" s="148">
        <f t="shared" si="93"/>
        <v>5449.1817976470593</v>
      </c>
      <c r="Z232" s="148">
        <f t="shared" si="93"/>
        <v>5449.1817976470593</v>
      </c>
      <c r="AA232" s="148">
        <f t="shared" si="93"/>
        <v>5449.1817976470593</v>
      </c>
      <c r="AB232" s="148">
        <f t="shared" si="93"/>
        <v>5449.1817976470593</v>
      </c>
      <c r="AC232" s="148">
        <f t="shared" si="93"/>
        <v>5449.1817976470593</v>
      </c>
      <c r="AD232" s="148">
        <f t="shared" si="93"/>
        <v>5449.1817976470593</v>
      </c>
      <c r="AE232" s="148">
        <f t="shared" si="93"/>
        <v>8173.7726964705889</v>
      </c>
      <c r="AF232" s="148">
        <f t="shared" si="93"/>
        <v>4490.125801261177</v>
      </c>
      <c r="AG232" s="148">
        <f t="shared" si="93"/>
        <v>4209.4929386823533</v>
      </c>
      <c r="AH232" s="148">
        <f t="shared" si="93"/>
        <v>5612.657251576471</v>
      </c>
      <c r="AI232" s="148">
        <f t="shared" si="93"/>
        <v>5612.657251576471</v>
      </c>
      <c r="AJ232" s="148">
        <f t="shared" si="93"/>
        <v>5612.657251576471</v>
      </c>
      <c r="AK232" s="148">
        <f t="shared" si="93"/>
        <v>5612.657251576471</v>
      </c>
      <c r="AL232" s="148">
        <f t="shared" si="93"/>
        <v>5612.657251576471</v>
      </c>
      <c r="AM232" s="148">
        <f t="shared" si="93"/>
        <v>5612.657251576471</v>
      </c>
      <c r="AN232" s="148">
        <f t="shared" si="93"/>
        <v>5612.657251576471</v>
      </c>
      <c r="AO232" s="148">
        <f t="shared" si="93"/>
        <v>5612.657251576471</v>
      </c>
      <c r="AP232" s="148">
        <f t="shared" si="93"/>
        <v>5612.657251576471</v>
      </c>
      <c r="AQ232" s="148">
        <f t="shared" si="93"/>
        <v>8418.9858773647065</v>
      </c>
      <c r="AR232" s="148">
        <f t="shared" si="93"/>
        <v>4624.8295752990125</v>
      </c>
      <c r="AS232" s="148">
        <f t="shared" si="93"/>
        <v>4335.7777268428235</v>
      </c>
      <c r="AT232" s="148">
        <f t="shared" si="93"/>
        <v>5781.0369691237647</v>
      </c>
      <c r="AU232" s="148">
        <f t="shared" si="93"/>
        <v>5781.0369691237647</v>
      </c>
      <c r="AV232" s="148">
        <f t="shared" si="93"/>
        <v>5892.2107569915288</v>
      </c>
      <c r="AW232" s="148">
        <f t="shared" si="93"/>
        <v>5892.2107569915288</v>
      </c>
      <c r="AX232" s="148">
        <f t="shared" si="93"/>
        <v>5892.2107569915288</v>
      </c>
      <c r="AY232" s="148">
        <f t="shared" si="93"/>
        <v>5892.2107569915288</v>
      </c>
      <c r="AZ232" s="148">
        <f t="shared" si="93"/>
        <v>5892.2107569915288</v>
      </c>
      <c r="BA232" s="148">
        <f t="shared" si="93"/>
        <v>5892.2107569915288</v>
      </c>
      <c r="BB232" s="148">
        <f t="shared" si="93"/>
        <v>5892.2107569915288</v>
      </c>
      <c r="BC232" s="148">
        <f t="shared" si="93"/>
        <v>8838.3161354872918</v>
      </c>
      <c r="BD232" s="148">
        <f t="shared" si="93"/>
        <v>4855.1816637610191</v>
      </c>
      <c r="BE232" s="148">
        <f t="shared" si="93"/>
        <v>4551.7328097759555</v>
      </c>
      <c r="BF232" s="148">
        <f t="shared" si="93"/>
        <v>6068.9770797012743</v>
      </c>
      <c r="BG232" s="148">
        <f t="shared" si="93"/>
        <v>6068.9770797012743</v>
      </c>
      <c r="BH232" s="148">
        <f t="shared" si="93"/>
        <v>6068.9770797012743</v>
      </c>
      <c r="BI232" s="148">
        <f t="shared" si="93"/>
        <v>6068.9770797012743</v>
      </c>
      <c r="BJ232" s="148">
        <f t="shared" si="93"/>
        <v>6068.9770797012743</v>
      </c>
      <c r="BK232" s="148">
        <f t="shared" si="93"/>
        <v>6068.9770797012743</v>
      </c>
      <c r="BL232" s="148">
        <f t="shared" si="93"/>
        <v>6068.9770797012743</v>
      </c>
      <c r="BM232" s="148">
        <f t="shared" si="93"/>
        <v>6068.9770797012743</v>
      </c>
      <c r="BN232" s="148">
        <f t="shared" si="93"/>
        <v>6068.9770797012743</v>
      </c>
      <c r="BO232" s="148">
        <f t="shared" si="93"/>
        <v>9103.465619551911</v>
      </c>
      <c r="BP232" s="148">
        <f t="shared" si="79"/>
        <v>339394.5518940083</v>
      </c>
      <c r="BQ232" s="148">
        <f t="shared" si="80"/>
        <v>416192.20349476667</v>
      </c>
    </row>
    <row r="233" spans="3:69" s="22" customFormat="1" outlineLevel="1">
      <c r="C233" s="22" t="str">
        <v>Pingborough</v>
      </c>
      <c r="D233" s="161">
        <f>SUMIFS('Existing Stores'!$F$9:$F$1008,'Existing Stores'!$D$9:$D$1008,Model!$C233)</f>
        <v>262.79999999999995</v>
      </c>
      <c r="E233" s="165">
        <f>(AVERAGEIFS('Existing Stores'!$F$9:$F$1008,'Existing Stores'!$D$9:$D$1008,Model!$C233))</f>
        <v>87.59999999999998</v>
      </c>
      <c r="F233" s="29" t="s">
        <v>119</v>
      </c>
      <c r="G233" s="167">
        <f t="shared" ref="G233:BO233" si="94">$E233*G142*G$120*G$118*G203</f>
        <v>394.19999999999993</v>
      </c>
      <c r="H233" s="148">
        <f t="shared" si="94"/>
        <v>216.54719999999998</v>
      </c>
      <c r="I233" s="148">
        <f t="shared" si="94"/>
        <v>203.01299999999998</v>
      </c>
      <c r="J233" s="148">
        <f t="shared" si="94"/>
        <v>270.68399999999997</v>
      </c>
      <c r="K233" s="148">
        <f t="shared" si="94"/>
        <v>270.68399999999997</v>
      </c>
      <c r="L233" s="148">
        <f t="shared" si="94"/>
        <v>270.68399999999997</v>
      </c>
      <c r="M233" s="148">
        <f t="shared" si="94"/>
        <v>270.68399999999997</v>
      </c>
      <c r="N233" s="148">
        <f t="shared" si="94"/>
        <v>270.68399999999997</v>
      </c>
      <c r="O233" s="148">
        <f t="shared" si="94"/>
        <v>270.68399999999997</v>
      </c>
      <c r="P233" s="148">
        <f t="shared" si="94"/>
        <v>270.68399999999997</v>
      </c>
      <c r="Q233" s="148">
        <f t="shared" si="94"/>
        <v>270.68399999999997</v>
      </c>
      <c r="R233" s="148">
        <f t="shared" si="94"/>
        <v>270.68399999999997</v>
      </c>
      <c r="S233" s="148">
        <f t="shared" si="94"/>
        <v>406.02599999999995</v>
      </c>
      <c r="T233" s="148">
        <f t="shared" si="94"/>
        <v>223.04361599999996</v>
      </c>
      <c r="U233" s="148">
        <f t="shared" si="94"/>
        <v>209.10338999999996</v>
      </c>
      <c r="V233" s="148">
        <f t="shared" si="94"/>
        <v>278.80451999999991</v>
      </c>
      <c r="W233" s="148">
        <f t="shared" si="94"/>
        <v>371.73935999999992</v>
      </c>
      <c r="X233" s="148">
        <f t="shared" si="94"/>
        <v>371.73935999999992</v>
      </c>
      <c r="Y233" s="148">
        <f t="shared" si="94"/>
        <v>371.73935999999992</v>
      </c>
      <c r="Z233" s="148">
        <f t="shared" si="94"/>
        <v>371.73935999999992</v>
      </c>
      <c r="AA233" s="148">
        <f t="shared" si="94"/>
        <v>371.73935999999992</v>
      </c>
      <c r="AB233" s="148">
        <f t="shared" si="94"/>
        <v>371.73935999999992</v>
      </c>
      <c r="AC233" s="148">
        <f t="shared" si="94"/>
        <v>371.73935999999992</v>
      </c>
      <c r="AD233" s="148">
        <f t="shared" si="94"/>
        <v>371.73935999999992</v>
      </c>
      <c r="AE233" s="148">
        <f t="shared" si="94"/>
        <v>557.60903999999982</v>
      </c>
      <c r="AF233" s="148">
        <f t="shared" si="94"/>
        <v>306.31323263999991</v>
      </c>
      <c r="AG233" s="148">
        <f t="shared" si="94"/>
        <v>287.16865559999997</v>
      </c>
      <c r="AH233" s="148">
        <f t="shared" si="94"/>
        <v>382.89154079999992</v>
      </c>
      <c r="AI233" s="148">
        <f t="shared" si="94"/>
        <v>382.89154079999992</v>
      </c>
      <c r="AJ233" s="148">
        <f t="shared" si="94"/>
        <v>382.89154079999992</v>
      </c>
      <c r="AK233" s="148">
        <f t="shared" si="94"/>
        <v>382.89154079999992</v>
      </c>
      <c r="AL233" s="148">
        <f t="shared" si="94"/>
        <v>382.89154079999992</v>
      </c>
      <c r="AM233" s="148">
        <f t="shared" si="94"/>
        <v>382.89154079999992</v>
      </c>
      <c r="AN233" s="148">
        <f t="shared" si="94"/>
        <v>382.89154079999992</v>
      </c>
      <c r="AO233" s="148">
        <f t="shared" si="94"/>
        <v>382.89154079999992</v>
      </c>
      <c r="AP233" s="148">
        <f t="shared" si="94"/>
        <v>382.89154079999992</v>
      </c>
      <c r="AQ233" s="148">
        <f t="shared" si="94"/>
        <v>574.33731119999993</v>
      </c>
      <c r="AR233" s="148">
        <f t="shared" si="94"/>
        <v>315.50262961919992</v>
      </c>
      <c r="AS233" s="148">
        <f t="shared" si="94"/>
        <v>295.78371526799992</v>
      </c>
      <c r="AT233" s="148">
        <f t="shared" si="94"/>
        <v>394.37828702399986</v>
      </c>
      <c r="AU233" s="148">
        <f t="shared" si="94"/>
        <v>394.37828702399986</v>
      </c>
      <c r="AV233" s="148">
        <f t="shared" si="94"/>
        <v>394.37828702399986</v>
      </c>
      <c r="AW233" s="148">
        <f t="shared" si="94"/>
        <v>394.37828702399992</v>
      </c>
      <c r="AX233" s="148">
        <f t="shared" si="94"/>
        <v>394.37828702399992</v>
      </c>
      <c r="AY233" s="148">
        <f t="shared" si="94"/>
        <v>394.37828702399992</v>
      </c>
      <c r="AZ233" s="148">
        <f t="shared" si="94"/>
        <v>394.37828702399992</v>
      </c>
      <c r="BA233" s="148">
        <f t="shared" si="94"/>
        <v>394.37828702399992</v>
      </c>
      <c r="BB233" s="148">
        <f t="shared" si="94"/>
        <v>394.37828702399992</v>
      </c>
      <c r="BC233" s="148">
        <f t="shared" si="94"/>
        <v>591.56743053599973</v>
      </c>
      <c r="BD233" s="148">
        <f t="shared" si="94"/>
        <v>324.96770850777591</v>
      </c>
      <c r="BE233" s="148">
        <f t="shared" si="94"/>
        <v>304.65722672603982</v>
      </c>
      <c r="BF233" s="148">
        <f t="shared" si="94"/>
        <v>406.20963563471986</v>
      </c>
      <c r="BG233" s="148">
        <f t="shared" si="94"/>
        <v>406.20963563471986</v>
      </c>
      <c r="BH233" s="148">
        <f t="shared" si="94"/>
        <v>406.20963563471986</v>
      </c>
      <c r="BI233" s="148">
        <f t="shared" si="94"/>
        <v>406.20963563471986</v>
      </c>
      <c r="BJ233" s="148">
        <f t="shared" si="94"/>
        <v>406.20963563471986</v>
      </c>
      <c r="BK233" s="148">
        <f t="shared" si="94"/>
        <v>406.20963563471986</v>
      </c>
      <c r="BL233" s="148">
        <f t="shared" si="94"/>
        <v>406.20963563471986</v>
      </c>
      <c r="BM233" s="148">
        <f t="shared" si="94"/>
        <v>406.20963563471986</v>
      </c>
      <c r="BN233" s="148">
        <f t="shared" si="94"/>
        <v>406.20963563471986</v>
      </c>
      <c r="BO233" s="148">
        <f t="shared" si="94"/>
        <v>609.31445345207965</v>
      </c>
      <c r="BP233" s="148">
        <f t="shared" si="79"/>
        <v>21765.145180677562</v>
      </c>
      <c r="BQ233" s="148">
        <f t="shared" si="80"/>
        <v>26220.871248868025</v>
      </c>
    </row>
    <row r="234" spans="3:69" s="22" customFormat="1" outlineLevel="1">
      <c r="C234" s="22" t="str">
        <v>Quantum Quay</v>
      </c>
      <c r="D234" s="161">
        <f>SUMIFS('Existing Stores'!$F$9:$F$1008,'Existing Stores'!$D$9:$D$1008,Model!$C234)</f>
        <v>787.50000000000011</v>
      </c>
      <c r="E234" s="165">
        <f>(AVERAGEIFS('Existing Stores'!$F$9:$F$1008,'Existing Stores'!$D$9:$D$1008,Model!$C234))</f>
        <v>98.437500000000014</v>
      </c>
      <c r="F234" s="29" t="s">
        <v>119</v>
      </c>
      <c r="G234" s="167">
        <f t="shared" ref="G234:BO234" si="95">$E234*G143*G$120*G$118*G204</f>
        <v>1181.2500000000002</v>
      </c>
      <c r="H234" s="148">
        <f t="shared" si="95"/>
        <v>648.90000000000009</v>
      </c>
      <c r="I234" s="148">
        <f t="shared" si="95"/>
        <v>608.34375000000011</v>
      </c>
      <c r="J234" s="148">
        <f t="shared" si="95"/>
        <v>811.12500000000011</v>
      </c>
      <c r="K234" s="148">
        <f t="shared" si="95"/>
        <v>811.12500000000011</v>
      </c>
      <c r="L234" s="148">
        <f t="shared" si="95"/>
        <v>811.12500000000011</v>
      </c>
      <c r="M234" s="148">
        <f t="shared" si="95"/>
        <v>811.12500000000011</v>
      </c>
      <c r="N234" s="148">
        <f t="shared" si="95"/>
        <v>811.12500000000011</v>
      </c>
      <c r="O234" s="148">
        <f t="shared" si="95"/>
        <v>811.12500000000011</v>
      </c>
      <c r="P234" s="148">
        <f t="shared" si="95"/>
        <v>811.12500000000011</v>
      </c>
      <c r="Q234" s="148">
        <f t="shared" si="95"/>
        <v>811.12500000000011</v>
      </c>
      <c r="R234" s="148">
        <f t="shared" si="95"/>
        <v>811.12500000000011</v>
      </c>
      <c r="S234" s="148">
        <f t="shared" si="95"/>
        <v>1216.6875000000002</v>
      </c>
      <c r="T234" s="148">
        <f t="shared" si="95"/>
        <v>668.36700000000008</v>
      </c>
      <c r="U234" s="148">
        <f t="shared" si="95"/>
        <v>626.59406250000006</v>
      </c>
      <c r="V234" s="148">
        <f t="shared" si="95"/>
        <v>835.45875000000012</v>
      </c>
      <c r="W234" s="148">
        <f t="shared" si="95"/>
        <v>835.45875000000012</v>
      </c>
      <c r="X234" s="148">
        <f t="shared" si="95"/>
        <v>939.8910937500001</v>
      </c>
      <c r="Y234" s="148">
        <f t="shared" si="95"/>
        <v>939.8910937500001</v>
      </c>
      <c r="Z234" s="148">
        <f t="shared" si="95"/>
        <v>939.8910937500001</v>
      </c>
      <c r="AA234" s="148">
        <f t="shared" si="95"/>
        <v>939.8910937500001</v>
      </c>
      <c r="AB234" s="148">
        <f t="shared" si="95"/>
        <v>939.8910937500001</v>
      </c>
      <c r="AC234" s="148">
        <f t="shared" si="95"/>
        <v>939.8910937500001</v>
      </c>
      <c r="AD234" s="148">
        <f t="shared" si="95"/>
        <v>939.8910937500001</v>
      </c>
      <c r="AE234" s="148">
        <f t="shared" si="95"/>
        <v>1409.8366406250002</v>
      </c>
      <c r="AF234" s="148">
        <f t="shared" si="95"/>
        <v>774.47026125000014</v>
      </c>
      <c r="AG234" s="148">
        <f t="shared" si="95"/>
        <v>726.06586992187511</v>
      </c>
      <c r="AH234" s="148">
        <f t="shared" si="95"/>
        <v>968.08782656250014</v>
      </c>
      <c r="AI234" s="148">
        <f t="shared" si="95"/>
        <v>968.08782656250014</v>
      </c>
      <c r="AJ234" s="148">
        <f t="shared" si="95"/>
        <v>968.08782656250014</v>
      </c>
      <c r="AK234" s="148">
        <f t="shared" si="95"/>
        <v>968.08782656250014</v>
      </c>
      <c r="AL234" s="148">
        <f t="shared" si="95"/>
        <v>968.08782656250014</v>
      </c>
      <c r="AM234" s="148">
        <f t="shared" si="95"/>
        <v>968.08782656250014</v>
      </c>
      <c r="AN234" s="148">
        <f t="shared" si="95"/>
        <v>968.08782656250014</v>
      </c>
      <c r="AO234" s="148">
        <f t="shared" si="95"/>
        <v>968.08782656250014</v>
      </c>
      <c r="AP234" s="148">
        <f t="shared" si="95"/>
        <v>968.08782656250014</v>
      </c>
      <c r="AQ234" s="148">
        <f t="shared" si="95"/>
        <v>1452.1317398437502</v>
      </c>
      <c r="AR234" s="148">
        <f t="shared" si="95"/>
        <v>797.70436908750003</v>
      </c>
      <c r="AS234" s="148">
        <f t="shared" si="95"/>
        <v>747.84784601953129</v>
      </c>
      <c r="AT234" s="148">
        <f t="shared" si="95"/>
        <v>997.13046135937509</v>
      </c>
      <c r="AU234" s="148">
        <f t="shared" si="95"/>
        <v>997.13046135937509</v>
      </c>
      <c r="AV234" s="148">
        <f t="shared" si="95"/>
        <v>997.13046135937509</v>
      </c>
      <c r="AW234" s="148">
        <f t="shared" si="95"/>
        <v>997.13046135937509</v>
      </c>
      <c r="AX234" s="148">
        <f t="shared" si="95"/>
        <v>1107.92273484375</v>
      </c>
      <c r="AY234" s="148">
        <f t="shared" si="95"/>
        <v>1107.92273484375</v>
      </c>
      <c r="AZ234" s="148">
        <f t="shared" si="95"/>
        <v>1107.92273484375</v>
      </c>
      <c r="BA234" s="148">
        <f t="shared" si="95"/>
        <v>1107.92273484375</v>
      </c>
      <c r="BB234" s="148">
        <f t="shared" si="95"/>
        <v>1107.92273484375</v>
      </c>
      <c r="BC234" s="148">
        <f t="shared" si="95"/>
        <v>1661.8841022656252</v>
      </c>
      <c r="BD234" s="148">
        <f t="shared" si="95"/>
        <v>912.92833351125</v>
      </c>
      <c r="BE234" s="148">
        <f t="shared" si="95"/>
        <v>855.87031266679685</v>
      </c>
      <c r="BF234" s="148">
        <f t="shared" si="95"/>
        <v>1141.1604168890624</v>
      </c>
      <c r="BG234" s="148">
        <f t="shared" si="95"/>
        <v>1141.1604168890624</v>
      </c>
      <c r="BH234" s="148">
        <f t="shared" si="95"/>
        <v>1141.1604168890624</v>
      </c>
      <c r="BI234" s="148">
        <f t="shared" si="95"/>
        <v>1141.1604168890624</v>
      </c>
      <c r="BJ234" s="148">
        <f t="shared" si="95"/>
        <v>1141.1604168890624</v>
      </c>
      <c r="BK234" s="148">
        <f t="shared" si="95"/>
        <v>1141.1604168890624</v>
      </c>
      <c r="BL234" s="148">
        <f t="shared" si="95"/>
        <v>1141.1604168890624</v>
      </c>
      <c r="BM234" s="148">
        <f t="shared" si="95"/>
        <v>1141.1604168890624</v>
      </c>
      <c r="BN234" s="148">
        <f t="shared" si="95"/>
        <v>1141.1604168890624</v>
      </c>
      <c r="BO234" s="148">
        <f t="shared" si="95"/>
        <v>1711.7406253335937</v>
      </c>
      <c r="BP234" s="148">
        <f t="shared" si="79"/>
        <v>58881.022279995232</v>
      </c>
      <c r="BQ234" s="148">
        <f t="shared" si="80"/>
        <v>72287.202971808758</v>
      </c>
    </row>
    <row r="235" spans="3:69" s="22" customFormat="1" outlineLevel="1">
      <c r="C235" s="22" t="str">
        <v>Renderburg</v>
      </c>
      <c r="D235" s="162">
        <f>SUMIFS('Existing Stores'!$F$9:$F$1008,'Existing Stores'!$D$9:$D$1008,Model!$C235)</f>
        <v>18168.69999999999</v>
      </c>
      <c r="E235" s="165">
        <f>(AVERAGEIFS('Existing Stores'!$F$9:$F$1008,'Existing Stores'!$D$9:$D$1008,Model!$C235))</f>
        <v>97.158823529411706</v>
      </c>
      <c r="F235" s="29" t="s">
        <v>119</v>
      </c>
      <c r="G235" s="167">
        <f t="shared" ref="G235:BO235" si="96">$E235*G144*G$120*G$118*G205</f>
        <v>27253.049999999985</v>
      </c>
      <c r="H235" s="148">
        <f t="shared" si="96"/>
        <v>14971.008799999992</v>
      </c>
      <c r="I235" s="148">
        <f t="shared" si="96"/>
        <v>14035.320749999992</v>
      </c>
      <c r="J235" s="148">
        <f t="shared" si="96"/>
        <v>18713.760999999991</v>
      </c>
      <c r="K235" s="148">
        <f t="shared" si="96"/>
        <v>18713.760999999991</v>
      </c>
      <c r="L235" s="148">
        <f t="shared" si="96"/>
        <v>18713.760999999991</v>
      </c>
      <c r="M235" s="148">
        <f t="shared" si="96"/>
        <v>18713.760999999991</v>
      </c>
      <c r="N235" s="148">
        <f t="shared" si="96"/>
        <v>18713.760999999991</v>
      </c>
      <c r="O235" s="148">
        <f t="shared" si="96"/>
        <v>18713.760999999991</v>
      </c>
      <c r="P235" s="148">
        <f t="shared" si="96"/>
        <v>18713.760999999991</v>
      </c>
      <c r="Q235" s="148">
        <f t="shared" si="96"/>
        <v>18713.760999999991</v>
      </c>
      <c r="R235" s="148">
        <f t="shared" si="96"/>
        <v>18713.760999999991</v>
      </c>
      <c r="S235" s="148">
        <f t="shared" si="96"/>
        <v>28070.641499999983</v>
      </c>
      <c r="T235" s="148">
        <f t="shared" si="96"/>
        <v>15420.13906399999</v>
      </c>
      <c r="U235" s="148">
        <f t="shared" si="96"/>
        <v>14456.380372499991</v>
      </c>
      <c r="V235" s="148">
        <f t="shared" si="96"/>
        <v>19275.173829999989</v>
      </c>
      <c r="W235" s="148">
        <f t="shared" si="96"/>
        <v>19275.173829999989</v>
      </c>
      <c r="X235" s="148">
        <f t="shared" si="96"/>
        <v>19275.173829999989</v>
      </c>
      <c r="Y235" s="148">
        <f t="shared" si="96"/>
        <v>19378.249625882341</v>
      </c>
      <c r="Z235" s="148">
        <f t="shared" si="96"/>
        <v>19378.249625882341</v>
      </c>
      <c r="AA235" s="148">
        <f t="shared" si="96"/>
        <v>19378.249625882341</v>
      </c>
      <c r="AB235" s="148">
        <f t="shared" si="96"/>
        <v>19378.249625882341</v>
      </c>
      <c r="AC235" s="148">
        <f t="shared" si="96"/>
        <v>19378.249625882341</v>
      </c>
      <c r="AD235" s="148">
        <f t="shared" si="96"/>
        <v>19378.249625882341</v>
      </c>
      <c r="AE235" s="148">
        <f t="shared" si="96"/>
        <v>29067.37443882351</v>
      </c>
      <c r="AF235" s="148">
        <f t="shared" si="96"/>
        <v>15967.677691727051</v>
      </c>
      <c r="AG235" s="148">
        <f t="shared" si="96"/>
        <v>14969.697835994109</v>
      </c>
      <c r="AH235" s="148">
        <f t="shared" si="96"/>
        <v>19959.597114658813</v>
      </c>
      <c r="AI235" s="148">
        <f t="shared" si="96"/>
        <v>19959.597114658813</v>
      </c>
      <c r="AJ235" s="148">
        <f t="shared" si="96"/>
        <v>19959.597114658813</v>
      </c>
      <c r="AK235" s="148">
        <f t="shared" si="96"/>
        <v>19959.597114658813</v>
      </c>
      <c r="AL235" s="148">
        <f t="shared" si="96"/>
        <v>19959.597114658813</v>
      </c>
      <c r="AM235" s="148">
        <f t="shared" si="96"/>
        <v>19959.597114658813</v>
      </c>
      <c r="AN235" s="148">
        <f t="shared" si="96"/>
        <v>19959.597114658813</v>
      </c>
      <c r="AO235" s="148">
        <f t="shared" si="96"/>
        <v>19959.597114658813</v>
      </c>
      <c r="AP235" s="148">
        <f t="shared" si="96"/>
        <v>19959.597114658813</v>
      </c>
      <c r="AQ235" s="148">
        <f t="shared" si="96"/>
        <v>29939.395671988219</v>
      </c>
      <c r="AR235" s="148">
        <f t="shared" si="96"/>
        <v>16446.708022478859</v>
      </c>
      <c r="AS235" s="148">
        <f t="shared" si="96"/>
        <v>15418.788771073931</v>
      </c>
      <c r="AT235" s="148">
        <f t="shared" si="96"/>
        <v>20558.385028098575</v>
      </c>
      <c r="AU235" s="148">
        <f t="shared" si="96"/>
        <v>20558.385028098575</v>
      </c>
      <c r="AV235" s="148">
        <f t="shared" si="96"/>
        <v>20558.385028098575</v>
      </c>
      <c r="AW235" s="148">
        <f t="shared" si="96"/>
        <v>20558.385028098575</v>
      </c>
      <c r="AX235" s="148">
        <f t="shared" si="96"/>
        <v>20558.385028098575</v>
      </c>
      <c r="AY235" s="148">
        <f t="shared" si="96"/>
        <v>20667.738139950161</v>
      </c>
      <c r="AZ235" s="148">
        <f t="shared" si="96"/>
        <v>20667.738139950161</v>
      </c>
      <c r="BA235" s="148">
        <f t="shared" si="96"/>
        <v>20667.738139950161</v>
      </c>
      <c r="BB235" s="148">
        <f t="shared" si="96"/>
        <v>20667.738139950161</v>
      </c>
      <c r="BC235" s="148">
        <f t="shared" si="96"/>
        <v>31001.607209925241</v>
      </c>
      <c r="BD235" s="148">
        <f t="shared" si="96"/>
        <v>17030.216227318935</v>
      </c>
      <c r="BE235" s="148">
        <f t="shared" si="96"/>
        <v>15965.827713111499</v>
      </c>
      <c r="BF235" s="148">
        <f t="shared" si="96"/>
        <v>21287.770284148664</v>
      </c>
      <c r="BG235" s="148">
        <f t="shared" si="96"/>
        <v>21287.770284148664</v>
      </c>
      <c r="BH235" s="148">
        <f t="shared" si="96"/>
        <v>21287.770284148664</v>
      </c>
      <c r="BI235" s="148">
        <f t="shared" si="96"/>
        <v>21287.770284148664</v>
      </c>
      <c r="BJ235" s="148">
        <f t="shared" si="96"/>
        <v>21287.770284148664</v>
      </c>
      <c r="BK235" s="148">
        <f t="shared" si="96"/>
        <v>21287.770284148664</v>
      </c>
      <c r="BL235" s="148">
        <f t="shared" si="96"/>
        <v>21287.770284148664</v>
      </c>
      <c r="BM235" s="148">
        <f t="shared" si="96"/>
        <v>21287.770284148664</v>
      </c>
      <c r="BN235" s="148">
        <f t="shared" si="96"/>
        <v>21287.770284148664</v>
      </c>
      <c r="BO235" s="148">
        <f t="shared" si="96"/>
        <v>31931.655426222998</v>
      </c>
      <c r="BP235" s="148">
        <f t="shared" si="79"/>
        <v>1203900.4920300192</v>
      </c>
      <c r="BQ235" s="148">
        <f t="shared" si="80"/>
        <v>1470725.6639634257</v>
      </c>
    </row>
    <row r="236" spans="3:69" s="22" customFormat="1" outlineLevel="1">
      <c r="C236" s="22" t="str">
        <v>Socket Springs</v>
      </c>
      <c r="D236" s="161">
        <f>SUMIFS('Existing Stores'!$F$9:$F$1008,'Existing Stores'!$D$9:$D$1008,Model!$C236)</f>
        <v>15889.099999999991</v>
      </c>
      <c r="E236" s="165">
        <f>(AVERAGEIFS('Existing Stores'!$F$9:$F$1008,'Existing Stores'!$D$9:$D$1008,Model!$C236))</f>
        <v>94.577976190476136</v>
      </c>
      <c r="F236" s="29" t="s">
        <v>119</v>
      </c>
      <c r="G236" s="167">
        <f t="shared" ref="G236:BO236" si="97">$E236*G145*G$120*G$118*G206</f>
        <v>23833.649999999987</v>
      </c>
      <c r="H236" s="148">
        <f t="shared" si="97"/>
        <v>13092.618399999994</v>
      </c>
      <c r="I236" s="148">
        <f t="shared" si="97"/>
        <v>12274.329749999994</v>
      </c>
      <c r="J236" s="148">
        <f t="shared" si="97"/>
        <v>16365.772999999992</v>
      </c>
      <c r="K236" s="148">
        <f t="shared" si="97"/>
        <v>16365.772999999992</v>
      </c>
      <c r="L236" s="148">
        <f t="shared" si="97"/>
        <v>16365.772999999992</v>
      </c>
      <c r="M236" s="148">
        <f t="shared" si="97"/>
        <v>16365.772999999992</v>
      </c>
      <c r="N236" s="148">
        <f t="shared" si="97"/>
        <v>16365.772999999992</v>
      </c>
      <c r="O236" s="148">
        <f t="shared" si="97"/>
        <v>16365.772999999992</v>
      </c>
      <c r="P236" s="148">
        <f t="shared" si="97"/>
        <v>16365.772999999992</v>
      </c>
      <c r="Q236" s="148">
        <f t="shared" si="97"/>
        <v>16365.772999999992</v>
      </c>
      <c r="R236" s="148">
        <f t="shared" si="97"/>
        <v>16365.772999999992</v>
      </c>
      <c r="S236" s="148">
        <f t="shared" si="97"/>
        <v>24548.659499999987</v>
      </c>
      <c r="T236" s="148">
        <f t="shared" si="97"/>
        <v>13485.396951999992</v>
      </c>
      <c r="U236" s="148">
        <f t="shared" si="97"/>
        <v>12642.559642499993</v>
      </c>
      <c r="V236" s="148">
        <f t="shared" si="97"/>
        <v>16856.746189999991</v>
      </c>
      <c r="W236" s="148">
        <f t="shared" si="97"/>
        <v>16856.746189999991</v>
      </c>
      <c r="X236" s="148">
        <f t="shared" si="97"/>
        <v>16856.746189999991</v>
      </c>
      <c r="Y236" s="148">
        <f t="shared" si="97"/>
        <v>16856.746189999991</v>
      </c>
      <c r="Z236" s="148">
        <f t="shared" si="97"/>
        <v>16957.083964940466</v>
      </c>
      <c r="AA236" s="148">
        <f t="shared" si="97"/>
        <v>16957.083964940466</v>
      </c>
      <c r="AB236" s="148">
        <f t="shared" si="97"/>
        <v>16957.083964940466</v>
      </c>
      <c r="AC236" s="148">
        <f t="shared" si="97"/>
        <v>16957.083964940466</v>
      </c>
      <c r="AD236" s="148">
        <f t="shared" si="97"/>
        <v>16957.083964940466</v>
      </c>
      <c r="AE236" s="148">
        <f t="shared" si="97"/>
        <v>25435.625947410699</v>
      </c>
      <c r="AF236" s="148">
        <f t="shared" si="97"/>
        <v>13972.637187110946</v>
      </c>
      <c r="AG236" s="148">
        <f t="shared" si="97"/>
        <v>13099.347362916511</v>
      </c>
      <c r="AH236" s="148">
        <f t="shared" si="97"/>
        <v>17465.79648388868</v>
      </c>
      <c r="AI236" s="148">
        <f t="shared" si="97"/>
        <v>17465.79648388868</v>
      </c>
      <c r="AJ236" s="148">
        <f t="shared" si="97"/>
        <v>17465.79648388868</v>
      </c>
      <c r="AK236" s="148">
        <f t="shared" si="97"/>
        <v>17465.79648388868</v>
      </c>
      <c r="AL236" s="148">
        <f t="shared" si="97"/>
        <v>17465.79648388868</v>
      </c>
      <c r="AM236" s="148">
        <f t="shared" si="97"/>
        <v>17465.79648388868</v>
      </c>
      <c r="AN236" s="148">
        <f t="shared" si="97"/>
        <v>17465.79648388868</v>
      </c>
      <c r="AO236" s="148">
        <f t="shared" si="97"/>
        <v>17465.79648388868</v>
      </c>
      <c r="AP236" s="148">
        <f t="shared" si="97"/>
        <v>17465.79648388868</v>
      </c>
      <c r="AQ236" s="148">
        <f t="shared" si="97"/>
        <v>26198.694725833022</v>
      </c>
      <c r="AR236" s="148">
        <f t="shared" si="97"/>
        <v>14391.816302724272</v>
      </c>
      <c r="AS236" s="148">
        <f t="shared" si="97"/>
        <v>13492.327783804005</v>
      </c>
      <c r="AT236" s="148">
        <f t="shared" si="97"/>
        <v>17989.770378405341</v>
      </c>
      <c r="AU236" s="148">
        <f t="shared" si="97"/>
        <v>17989.770378405341</v>
      </c>
      <c r="AV236" s="148">
        <f t="shared" si="97"/>
        <v>17989.770378405341</v>
      </c>
      <c r="AW236" s="148">
        <f t="shared" si="97"/>
        <v>17989.770378405341</v>
      </c>
      <c r="AX236" s="148">
        <f t="shared" si="97"/>
        <v>17989.770378405341</v>
      </c>
      <c r="AY236" s="148">
        <f t="shared" si="97"/>
        <v>17989.770378405341</v>
      </c>
      <c r="AZ236" s="148">
        <f t="shared" si="97"/>
        <v>18096.218723839691</v>
      </c>
      <c r="BA236" s="148">
        <f t="shared" si="97"/>
        <v>18096.218723839691</v>
      </c>
      <c r="BB236" s="148">
        <f t="shared" si="97"/>
        <v>18096.218723839691</v>
      </c>
      <c r="BC236" s="148">
        <f t="shared" si="97"/>
        <v>27144.328085759535</v>
      </c>
      <c r="BD236" s="148">
        <f t="shared" si="97"/>
        <v>14911.284228443905</v>
      </c>
      <c r="BE236" s="148">
        <f t="shared" si="97"/>
        <v>13979.328964166159</v>
      </c>
      <c r="BF236" s="148">
        <f t="shared" si="97"/>
        <v>18639.105285554881</v>
      </c>
      <c r="BG236" s="148">
        <f t="shared" si="97"/>
        <v>18639.105285554881</v>
      </c>
      <c r="BH236" s="148">
        <f t="shared" si="97"/>
        <v>18639.105285554881</v>
      </c>
      <c r="BI236" s="148">
        <f t="shared" si="97"/>
        <v>18639.105285554881</v>
      </c>
      <c r="BJ236" s="148">
        <f t="shared" si="97"/>
        <v>18639.105285554881</v>
      </c>
      <c r="BK236" s="148">
        <f t="shared" si="97"/>
        <v>18639.105285554881</v>
      </c>
      <c r="BL236" s="148">
        <f t="shared" si="97"/>
        <v>18639.105285554881</v>
      </c>
      <c r="BM236" s="148">
        <f t="shared" si="97"/>
        <v>18639.105285554881</v>
      </c>
      <c r="BN236" s="148">
        <f t="shared" si="97"/>
        <v>18639.105285554881</v>
      </c>
      <c r="BO236" s="148">
        <f t="shared" si="97"/>
        <v>27958.657928332319</v>
      </c>
      <c r="BP236" s="148">
        <f t="shared" si="79"/>
        <v>1053303.3687126467</v>
      </c>
      <c r="BQ236" s="148">
        <f t="shared" si="80"/>
        <v>1278666.0470440511</v>
      </c>
    </row>
    <row r="237" spans="3:69" s="22" customFormat="1" outlineLevel="1">
      <c r="C237" s="22" t="str">
        <v>TerraTask</v>
      </c>
      <c r="D237" s="161">
        <f>SUMIFS('Existing Stores'!$F$9:$F$1008,'Existing Stores'!$D$9:$D$1008,Model!$C237)</f>
        <v>5107.9999999999982</v>
      </c>
      <c r="E237" s="165">
        <f>(AVERAGEIFS('Existing Stores'!$F$9:$F$1008,'Existing Stores'!$D$9:$D$1008,Model!$C237))</f>
        <v>92.872727272727246</v>
      </c>
      <c r="F237" s="29" t="s">
        <v>119</v>
      </c>
      <c r="G237" s="167">
        <f t="shared" ref="G237:BO237" si="98">$E237*G146*G$120*G$118*G207</f>
        <v>7661.9999999999973</v>
      </c>
      <c r="H237" s="148">
        <f t="shared" si="98"/>
        <v>4208.9919999999984</v>
      </c>
      <c r="I237" s="148">
        <f t="shared" si="98"/>
        <v>3945.9299999999985</v>
      </c>
      <c r="J237" s="148">
        <f t="shared" si="98"/>
        <v>5261.239999999998</v>
      </c>
      <c r="K237" s="148">
        <f t="shared" si="98"/>
        <v>5261.239999999998</v>
      </c>
      <c r="L237" s="148">
        <f t="shared" si="98"/>
        <v>5261.239999999998</v>
      </c>
      <c r="M237" s="148">
        <f t="shared" si="98"/>
        <v>5261.239999999998</v>
      </c>
      <c r="N237" s="148">
        <f t="shared" si="98"/>
        <v>5261.239999999998</v>
      </c>
      <c r="O237" s="148">
        <f t="shared" si="98"/>
        <v>5261.239999999998</v>
      </c>
      <c r="P237" s="148">
        <f t="shared" si="98"/>
        <v>5261.239999999998</v>
      </c>
      <c r="Q237" s="148">
        <f t="shared" si="98"/>
        <v>5261.239999999998</v>
      </c>
      <c r="R237" s="148">
        <f t="shared" si="98"/>
        <v>5261.239999999998</v>
      </c>
      <c r="S237" s="148">
        <f t="shared" si="98"/>
        <v>7891.8599999999969</v>
      </c>
      <c r="T237" s="148">
        <f t="shared" si="98"/>
        <v>4335.2617599999985</v>
      </c>
      <c r="U237" s="148">
        <f t="shared" si="98"/>
        <v>4064.3078999999984</v>
      </c>
      <c r="V237" s="148">
        <f t="shared" si="98"/>
        <v>5419.0771999999979</v>
      </c>
      <c r="W237" s="148">
        <f t="shared" si="98"/>
        <v>5419.0771999999979</v>
      </c>
      <c r="X237" s="148">
        <f t="shared" si="98"/>
        <v>5419.0771999999979</v>
      </c>
      <c r="Y237" s="148">
        <f t="shared" si="98"/>
        <v>5419.0771999999979</v>
      </c>
      <c r="Z237" s="148">
        <f t="shared" si="98"/>
        <v>5419.0771999999979</v>
      </c>
      <c r="AA237" s="148">
        <f t="shared" si="98"/>
        <v>5517.6058763636347</v>
      </c>
      <c r="AB237" s="148">
        <f t="shared" si="98"/>
        <v>5517.6058763636347</v>
      </c>
      <c r="AC237" s="148">
        <f t="shared" si="98"/>
        <v>5517.6058763636347</v>
      </c>
      <c r="AD237" s="148">
        <f t="shared" si="98"/>
        <v>5517.6058763636347</v>
      </c>
      <c r="AE237" s="148">
        <f t="shared" si="98"/>
        <v>8276.4088145454516</v>
      </c>
      <c r="AF237" s="148">
        <f t="shared" si="98"/>
        <v>4546.5072421236346</v>
      </c>
      <c r="AG237" s="148">
        <f t="shared" si="98"/>
        <v>4262.3505394909071</v>
      </c>
      <c r="AH237" s="148">
        <f t="shared" si="98"/>
        <v>5683.1340526545437</v>
      </c>
      <c r="AI237" s="148">
        <f t="shared" si="98"/>
        <v>5683.1340526545437</v>
      </c>
      <c r="AJ237" s="148">
        <f t="shared" si="98"/>
        <v>5683.1340526545437</v>
      </c>
      <c r="AK237" s="148">
        <f t="shared" si="98"/>
        <v>5683.1340526545437</v>
      </c>
      <c r="AL237" s="148">
        <f t="shared" si="98"/>
        <v>5683.1340526545437</v>
      </c>
      <c r="AM237" s="148">
        <f t="shared" si="98"/>
        <v>5683.1340526545437</v>
      </c>
      <c r="AN237" s="148">
        <f t="shared" si="98"/>
        <v>5683.1340526545437</v>
      </c>
      <c r="AO237" s="148">
        <f t="shared" si="98"/>
        <v>5683.1340526545437</v>
      </c>
      <c r="AP237" s="148">
        <f t="shared" si="98"/>
        <v>5683.1340526545437</v>
      </c>
      <c r="AQ237" s="148">
        <f t="shared" si="98"/>
        <v>8524.7010789818141</v>
      </c>
      <c r="AR237" s="148">
        <f t="shared" si="98"/>
        <v>4682.9024593873437</v>
      </c>
      <c r="AS237" s="148">
        <f t="shared" si="98"/>
        <v>4390.2210556756345</v>
      </c>
      <c r="AT237" s="148">
        <f t="shared" si="98"/>
        <v>5853.6280742341796</v>
      </c>
      <c r="AU237" s="148">
        <f t="shared" si="98"/>
        <v>5853.6280742341796</v>
      </c>
      <c r="AV237" s="148">
        <f t="shared" si="98"/>
        <v>5853.6280742341796</v>
      </c>
      <c r="AW237" s="148">
        <f t="shared" si="98"/>
        <v>5853.6280742341796</v>
      </c>
      <c r="AX237" s="148">
        <f t="shared" si="98"/>
        <v>5853.6280742341796</v>
      </c>
      <c r="AY237" s="148">
        <f t="shared" si="98"/>
        <v>5853.6280742341796</v>
      </c>
      <c r="AZ237" s="148">
        <f t="shared" si="98"/>
        <v>5853.6280742341796</v>
      </c>
      <c r="BA237" s="148">
        <f t="shared" si="98"/>
        <v>5958.1571469883611</v>
      </c>
      <c r="BB237" s="148">
        <f t="shared" si="98"/>
        <v>5958.1571469883611</v>
      </c>
      <c r="BC237" s="148">
        <f t="shared" si="98"/>
        <v>8937.2357204825421</v>
      </c>
      <c r="BD237" s="148">
        <f t="shared" si="98"/>
        <v>4909.5214891184096</v>
      </c>
      <c r="BE237" s="148">
        <f t="shared" si="98"/>
        <v>4602.6763960485086</v>
      </c>
      <c r="BF237" s="148">
        <f t="shared" si="98"/>
        <v>6136.9018613980115</v>
      </c>
      <c r="BG237" s="148">
        <f t="shared" si="98"/>
        <v>6136.9018613980115</v>
      </c>
      <c r="BH237" s="148">
        <f t="shared" si="98"/>
        <v>6136.9018613980115</v>
      </c>
      <c r="BI237" s="148">
        <f t="shared" si="98"/>
        <v>6136.9018613980115</v>
      </c>
      <c r="BJ237" s="148">
        <f t="shared" si="98"/>
        <v>6136.9018613980115</v>
      </c>
      <c r="BK237" s="148">
        <f t="shared" si="98"/>
        <v>6136.9018613980115</v>
      </c>
      <c r="BL237" s="148">
        <f t="shared" si="98"/>
        <v>6136.9018613980115</v>
      </c>
      <c r="BM237" s="148">
        <f t="shared" si="98"/>
        <v>6136.9018613980115</v>
      </c>
      <c r="BN237" s="148">
        <f t="shared" si="98"/>
        <v>6136.9018613980115</v>
      </c>
      <c r="BO237" s="148">
        <f t="shared" si="98"/>
        <v>9205.3527920970173</v>
      </c>
      <c r="BP237" s="148">
        <f t="shared" si="79"/>
        <v>342573.23279349483</v>
      </c>
      <c r="BQ237" s="148">
        <f t="shared" si="80"/>
        <v>417908.49363862653</v>
      </c>
    </row>
    <row r="238" spans="3:69" s="22" customFormat="1" outlineLevel="1">
      <c r="C238" s="22" t="str">
        <v>Uploadia</v>
      </c>
      <c r="D238" s="161">
        <f>SUMIFS('Existing Stores'!$F$9:$F$1008,'Existing Stores'!$D$9:$D$1008,Model!$C238)</f>
        <v>95.4</v>
      </c>
      <c r="E238" s="165">
        <f>(AVERAGEIFS('Existing Stores'!$F$9:$F$1008,'Existing Stores'!$D$9:$D$1008,Model!$C238))</f>
        <v>95.4</v>
      </c>
      <c r="F238" s="29" t="s">
        <v>119</v>
      </c>
      <c r="G238" s="167">
        <f t="shared" ref="G238:BO238" si="99">$E238*G147*G$120*G$118*G208</f>
        <v>143.10000000000002</v>
      </c>
      <c r="H238" s="148">
        <f t="shared" si="99"/>
        <v>78.609600000000015</v>
      </c>
      <c r="I238" s="148">
        <f t="shared" si="99"/>
        <v>73.696500000000015</v>
      </c>
      <c r="J238" s="148">
        <f t="shared" si="99"/>
        <v>98.262000000000015</v>
      </c>
      <c r="K238" s="148">
        <f t="shared" si="99"/>
        <v>98.262000000000015</v>
      </c>
      <c r="L238" s="148">
        <f t="shared" si="99"/>
        <v>98.262000000000015</v>
      </c>
      <c r="M238" s="148">
        <f t="shared" si="99"/>
        <v>98.262000000000015</v>
      </c>
      <c r="N238" s="148">
        <f t="shared" si="99"/>
        <v>98.262000000000015</v>
      </c>
      <c r="O238" s="148">
        <f t="shared" si="99"/>
        <v>98.262000000000015</v>
      </c>
      <c r="P238" s="148">
        <f t="shared" si="99"/>
        <v>98.262000000000015</v>
      </c>
      <c r="Q238" s="148">
        <f t="shared" si="99"/>
        <v>98.262000000000015</v>
      </c>
      <c r="R238" s="148">
        <f t="shared" si="99"/>
        <v>98.262000000000015</v>
      </c>
      <c r="S238" s="148">
        <f t="shared" si="99"/>
        <v>147.39300000000003</v>
      </c>
      <c r="T238" s="148">
        <f t="shared" si="99"/>
        <v>80.967888000000002</v>
      </c>
      <c r="U238" s="148">
        <f t="shared" si="99"/>
        <v>75.907395000000008</v>
      </c>
      <c r="V238" s="148">
        <f t="shared" si="99"/>
        <v>101.20986000000001</v>
      </c>
      <c r="W238" s="148">
        <f t="shared" si="99"/>
        <v>101.20986000000001</v>
      </c>
      <c r="X238" s="148">
        <f t="shared" si="99"/>
        <v>101.20986000000001</v>
      </c>
      <c r="Y238" s="148">
        <f t="shared" si="99"/>
        <v>101.20986000000001</v>
      </c>
      <c r="Z238" s="148">
        <f t="shared" si="99"/>
        <v>101.20986000000001</v>
      </c>
      <c r="AA238" s="148">
        <f t="shared" si="99"/>
        <v>101.20986000000001</v>
      </c>
      <c r="AB238" s="148">
        <f t="shared" si="99"/>
        <v>161.93577600000003</v>
      </c>
      <c r="AC238" s="148">
        <f t="shared" si="99"/>
        <v>161.93577600000003</v>
      </c>
      <c r="AD238" s="148">
        <f t="shared" si="99"/>
        <v>161.93577600000003</v>
      </c>
      <c r="AE238" s="148">
        <f t="shared" si="99"/>
        <v>242.90366400000005</v>
      </c>
      <c r="AF238" s="148">
        <f t="shared" si="99"/>
        <v>133.43507942400001</v>
      </c>
      <c r="AG238" s="148">
        <f t="shared" si="99"/>
        <v>125.09538696000003</v>
      </c>
      <c r="AH238" s="148">
        <f t="shared" si="99"/>
        <v>166.79384928000002</v>
      </c>
      <c r="AI238" s="148">
        <f t="shared" si="99"/>
        <v>166.79384928000002</v>
      </c>
      <c r="AJ238" s="148">
        <f t="shared" si="99"/>
        <v>166.79384928000002</v>
      </c>
      <c r="AK238" s="148">
        <f t="shared" si="99"/>
        <v>166.79384928000002</v>
      </c>
      <c r="AL238" s="148">
        <f t="shared" si="99"/>
        <v>166.79384928000002</v>
      </c>
      <c r="AM238" s="148">
        <f t="shared" si="99"/>
        <v>166.79384928000002</v>
      </c>
      <c r="AN238" s="148">
        <f t="shared" si="99"/>
        <v>166.79384928000002</v>
      </c>
      <c r="AO238" s="148">
        <f t="shared" si="99"/>
        <v>166.79384928000002</v>
      </c>
      <c r="AP238" s="148">
        <f t="shared" si="99"/>
        <v>166.79384928000002</v>
      </c>
      <c r="AQ238" s="148">
        <f t="shared" si="99"/>
        <v>250.19077392000005</v>
      </c>
      <c r="AR238" s="148">
        <f t="shared" si="99"/>
        <v>137.43813180672001</v>
      </c>
      <c r="AS238" s="148">
        <f t="shared" si="99"/>
        <v>128.84824856880002</v>
      </c>
      <c r="AT238" s="148">
        <f t="shared" si="99"/>
        <v>171.7976647584</v>
      </c>
      <c r="AU238" s="148">
        <f t="shared" si="99"/>
        <v>171.7976647584</v>
      </c>
      <c r="AV238" s="148">
        <f t="shared" si="99"/>
        <v>171.7976647584</v>
      </c>
      <c r="AW238" s="148">
        <f t="shared" si="99"/>
        <v>171.7976647584</v>
      </c>
      <c r="AX238" s="148">
        <f t="shared" si="99"/>
        <v>171.7976647584</v>
      </c>
      <c r="AY238" s="148">
        <f t="shared" si="99"/>
        <v>171.7976647584</v>
      </c>
      <c r="AZ238" s="148">
        <f t="shared" si="99"/>
        <v>171.7976647584</v>
      </c>
      <c r="BA238" s="148">
        <f t="shared" si="99"/>
        <v>171.7976647584</v>
      </c>
      <c r="BB238" s="148">
        <f t="shared" si="99"/>
        <v>257.69649713760003</v>
      </c>
      <c r="BC238" s="148">
        <f t="shared" si="99"/>
        <v>386.54474570640008</v>
      </c>
      <c r="BD238" s="148">
        <f t="shared" si="99"/>
        <v>212.34191364138243</v>
      </c>
      <c r="BE238" s="148">
        <f t="shared" si="99"/>
        <v>199.07054403879602</v>
      </c>
      <c r="BF238" s="148">
        <f t="shared" si="99"/>
        <v>265.42739205172802</v>
      </c>
      <c r="BG238" s="148">
        <f t="shared" si="99"/>
        <v>265.42739205172802</v>
      </c>
      <c r="BH238" s="148">
        <f t="shared" si="99"/>
        <v>265.42739205172802</v>
      </c>
      <c r="BI238" s="148">
        <f t="shared" si="99"/>
        <v>265.42739205172802</v>
      </c>
      <c r="BJ238" s="148">
        <f t="shared" si="99"/>
        <v>265.42739205172802</v>
      </c>
      <c r="BK238" s="148">
        <f t="shared" si="99"/>
        <v>265.42739205172802</v>
      </c>
      <c r="BL238" s="148">
        <f t="shared" si="99"/>
        <v>265.42739205172802</v>
      </c>
      <c r="BM238" s="148">
        <f t="shared" si="99"/>
        <v>265.42739205172802</v>
      </c>
      <c r="BN238" s="148">
        <f t="shared" si="99"/>
        <v>265.42739205172802</v>
      </c>
      <c r="BO238" s="148">
        <f t="shared" si="99"/>
        <v>398.14108807759203</v>
      </c>
      <c r="BP238" s="148">
        <f t="shared" si="79"/>
        <v>10170.077434334042</v>
      </c>
      <c r="BQ238" s="148">
        <f t="shared" si="80"/>
        <v>12291.508681118607</v>
      </c>
    </row>
    <row r="239" spans="3:69" s="22" customFormat="1" outlineLevel="1">
      <c r="C239" s="22" t="str">
        <v>Vector Valley</v>
      </c>
      <c r="D239" s="161">
        <f>SUMIFS('Existing Stores'!$F$9:$F$1008,'Existing Stores'!$D$9:$D$1008,Model!$C239)</f>
        <v>2536.4</v>
      </c>
      <c r="E239" s="165">
        <f>(AVERAGEIFS('Existing Stores'!$F$9:$F$1008,'Existing Stores'!$D$9:$D$1008,Model!$C239))</f>
        <v>97.553846153846152</v>
      </c>
      <c r="F239" s="29" t="s">
        <v>119</v>
      </c>
      <c r="G239" s="167">
        <f t="shared" ref="G239:BO239" si="100">$E239*G148*G$120*G$118*G209</f>
        <v>3804.6000000000004</v>
      </c>
      <c r="H239" s="148">
        <f t="shared" si="100"/>
        <v>2089.9936000000002</v>
      </c>
      <c r="I239" s="148">
        <f t="shared" si="100"/>
        <v>1959.3690000000001</v>
      </c>
      <c r="J239" s="148">
        <f t="shared" si="100"/>
        <v>2612.4920000000002</v>
      </c>
      <c r="K239" s="148">
        <f t="shared" si="100"/>
        <v>2612.4920000000002</v>
      </c>
      <c r="L239" s="148">
        <f t="shared" si="100"/>
        <v>2612.4920000000002</v>
      </c>
      <c r="M239" s="148">
        <f t="shared" si="100"/>
        <v>2612.4920000000002</v>
      </c>
      <c r="N239" s="148">
        <f t="shared" si="100"/>
        <v>2612.4920000000002</v>
      </c>
      <c r="O239" s="148">
        <f t="shared" si="100"/>
        <v>2612.4920000000002</v>
      </c>
      <c r="P239" s="148">
        <f t="shared" si="100"/>
        <v>2612.4920000000002</v>
      </c>
      <c r="Q239" s="148">
        <f t="shared" si="100"/>
        <v>2612.4920000000002</v>
      </c>
      <c r="R239" s="148">
        <f t="shared" si="100"/>
        <v>2612.4920000000002</v>
      </c>
      <c r="S239" s="148">
        <f t="shared" si="100"/>
        <v>3918.7380000000003</v>
      </c>
      <c r="T239" s="148">
        <f t="shared" si="100"/>
        <v>2152.6934080000001</v>
      </c>
      <c r="U239" s="148">
        <f t="shared" si="100"/>
        <v>2018.1500700000001</v>
      </c>
      <c r="V239" s="148">
        <f t="shared" si="100"/>
        <v>2690.8667599999999</v>
      </c>
      <c r="W239" s="148">
        <f t="shared" si="100"/>
        <v>2690.8667599999999</v>
      </c>
      <c r="X239" s="148">
        <f t="shared" si="100"/>
        <v>2690.8667599999999</v>
      </c>
      <c r="Y239" s="148">
        <f t="shared" si="100"/>
        <v>2690.8667599999999</v>
      </c>
      <c r="Z239" s="148">
        <f t="shared" si="100"/>
        <v>2690.8667599999999</v>
      </c>
      <c r="AA239" s="148">
        <f t="shared" si="100"/>
        <v>2690.8667599999999</v>
      </c>
      <c r="AB239" s="148">
        <f t="shared" si="100"/>
        <v>2690.8667599999999</v>
      </c>
      <c r="AC239" s="148">
        <f t="shared" si="100"/>
        <v>2794.3616353846151</v>
      </c>
      <c r="AD239" s="148">
        <f t="shared" si="100"/>
        <v>2794.3616353846151</v>
      </c>
      <c r="AE239" s="148">
        <f t="shared" si="100"/>
        <v>4191.5424530769224</v>
      </c>
      <c r="AF239" s="148">
        <f t="shared" si="100"/>
        <v>2302.5539875569229</v>
      </c>
      <c r="AG239" s="148">
        <f t="shared" si="100"/>
        <v>2158.6443633346153</v>
      </c>
      <c r="AH239" s="148">
        <f t="shared" si="100"/>
        <v>2878.1924844461537</v>
      </c>
      <c r="AI239" s="148">
        <f t="shared" si="100"/>
        <v>2878.1924844461537</v>
      </c>
      <c r="AJ239" s="148">
        <f t="shared" si="100"/>
        <v>2878.1924844461537</v>
      </c>
      <c r="AK239" s="148">
        <f t="shared" si="100"/>
        <v>2878.1924844461537</v>
      </c>
      <c r="AL239" s="148">
        <f t="shared" si="100"/>
        <v>2878.1924844461537</v>
      </c>
      <c r="AM239" s="148">
        <f t="shared" si="100"/>
        <v>2878.1924844461537</v>
      </c>
      <c r="AN239" s="148">
        <f t="shared" si="100"/>
        <v>2878.1924844461537</v>
      </c>
      <c r="AO239" s="148">
        <f t="shared" si="100"/>
        <v>2878.1924844461537</v>
      </c>
      <c r="AP239" s="148">
        <f t="shared" si="100"/>
        <v>2878.1924844461537</v>
      </c>
      <c r="AQ239" s="148">
        <f t="shared" si="100"/>
        <v>4317.2887266692305</v>
      </c>
      <c r="AR239" s="148">
        <f t="shared" si="100"/>
        <v>2371.6306071836307</v>
      </c>
      <c r="AS239" s="148">
        <f t="shared" si="100"/>
        <v>2223.4036942346534</v>
      </c>
      <c r="AT239" s="148">
        <f t="shared" si="100"/>
        <v>2964.5382589795381</v>
      </c>
      <c r="AU239" s="148">
        <f t="shared" si="100"/>
        <v>2964.5382589795381</v>
      </c>
      <c r="AV239" s="148">
        <f t="shared" si="100"/>
        <v>2964.5382589795381</v>
      </c>
      <c r="AW239" s="148">
        <f t="shared" si="100"/>
        <v>2964.5382589795381</v>
      </c>
      <c r="AX239" s="148">
        <f t="shared" si="100"/>
        <v>2964.5382589795381</v>
      </c>
      <c r="AY239" s="148">
        <f t="shared" si="100"/>
        <v>2964.5382589795381</v>
      </c>
      <c r="AZ239" s="148">
        <f t="shared" si="100"/>
        <v>2964.5382589795381</v>
      </c>
      <c r="BA239" s="148">
        <f t="shared" si="100"/>
        <v>2964.5382589795381</v>
      </c>
      <c r="BB239" s="148">
        <f t="shared" si="100"/>
        <v>2964.5382589795381</v>
      </c>
      <c r="BC239" s="148">
        <f t="shared" si="100"/>
        <v>4611.5039584126152</v>
      </c>
      <c r="BD239" s="148">
        <f t="shared" si="100"/>
        <v>2533.2528411546632</v>
      </c>
      <c r="BE239" s="148">
        <f t="shared" si="100"/>
        <v>2374.9245385824966</v>
      </c>
      <c r="BF239" s="148">
        <f t="shared" si="100"/>
        <v>3166.5660514433289</v>
      </c>
      <c r="BG239" s="148">
        <f t="shared" si="100"/>
        <v>3166.5660514433289</v>
      </c>
      <c r="BH239" s="148">
        <f t="shared" si="100"/>
        <v>3166.5660514433289</v>
      </c>
      <c r="BI239" s="148">
        <f t="shared" si="100"/>
        <v>3166.5660514433289</v>
      </c>
      <c r="BJ239" s="148">
        <f t="shared" si="100"/>
        <v>3166.5660514433289</v>
      </c>
      <c r="BK239" s="148">
        <f t="shared" si="100"/>
        <v>3166.5660514433289</v>
      </c>
      <c r="BL239" s="148">
        <f t="shared" si="100"/>
        <v>3166.5660514433289</v>
      </c>
      <c r="BM239" s="148">
        <f t="shared" si="100"/>
        <v>3166.5660514433289</v>
      </c>
      <c r="BN239" s="148">
        <f t="shared" si="100"/>
        <v>3166.5660514433289</v>
      </c>
      <c r="BO239" s="148">
        <f t="shared" si="100"/>
        <v>4749.8490771649931</v>
      </c>
      <c r="BP239" s="148">
        <f t="shared" si="79"/>
        <v>172994.42806996126</v>
      </c>
      <c r="BQ239" s="148">
        <f t="shared" si="80"/>
        <v>212157.57292005263</v>
      </c>
    </row>
    <row r="240" spans="3:69" s="22" customFormat="1" outlineLevel="1">
      <c r="C240" s="22" t="str">
        <v>Wiredown</v>
      </c>
      <c r="D240" s="161">
        <f>SUMIFS('Existing Stores'!$F$9:$F$1008,'Existing Stores'!$D$9:$D$1008,Model!$C240)</f>
        <v>667.6</v>
      </c>
      <c r="E240" s="165">
        <f>(AVERAGEIFS('Existing Stores'!$F$9:$F$1008,'Existing Stores'!$D$9:$D$1008,Model!$C240))</f>
        <v>95.371428571428581</v>
      </c>
      <c r="F240" s="29" t="s">
        <v>119</v>
      </c>
      <c r="G240" s="167">
        <f t="shared" ref="G240:BO240" si="101">$E240*G149*G$120*G$118*G210</f>
        <v>1001.4000000000001</v>
      </c>
      <c r="H240" s="148">
        <f t="shared" si="101"/>
        <v>550.1024000000001</v>
      </c>
      <c r="I240" s="148">
        <f t="shared" si="101"/>
        <v>515.721</v>
      </c>
      <c r="J240" s="148">
        <f t="shared" si="101"/>
        <v>687.62800000000004</v>
      </c>
      <c r="K240" s="148">
        <f t="shared" si="101"/>
        <v>687.62800000000004</v>
      </c>
      <c r="L240" s="148">
        <f t="shared" si="101"/>
        <v>687.62800000000004</v>
      </c>
      <c r="M240" s="148">
        <f t="shared" si="101"/>
        <v>687.62800000000004</v>
      </c>
      <c r="N240" s="148">
        <f t="shared" si="101"/>
        <v>687.62800000000004</v>
      </c>
      <c r="O240" s="148">
        <f t="shared" si="101"/>
        <v>687.62800000000004</v>
      </c>
      <c r="P240" s="148">
        <f t="shared" si="101"/>
        <v>687.62800000000004</v>
      </c>
      <c r="Q240" s="148">
        <f t="shared" si="101"/>
        <v>687.62800000000004</v>
      </c>
      <c r="R240" s="148">
        <f t="shared" si="101"/>
        <v>687.62800000000004</v>
      </c>
      <c r="S240" s="148">
        <f t="shared" si="101"/>
        <v>1031.442</v>
      </c>
      <c r="T240" s="148">
        <f t="shared" si="101"/>
        <v>566.60547199999996</v>
      </c>
      <c r="U240" s="148">
        <f t="shared" si="101"/>
        <v>531.19263000000001</v>
      </c>
      <c r="V240" s="148">
        <f t="shared" si="101"/>
        <v>708.25684000000001</v>
      </c>
      <c r="W240" s="148">
        <f t="shared" si="101"/>
        <v>708.25684000000001</v>
      </c>
      <c r="X240" s="148">
        <f t="shared" si="101"/>
        <v>708.25684000000001</v>
      </c>
      <c r="Y240" s="148">
        <f t="shared" si="101"/>
        <v>708.25684000000001</v>
      </c>
      <c r="Z240" s="148">
        <f t="shared" si="101"/>
        <v>708.25684000000001</v>
      </c>
      <c r="AA240" s="148">
        <f t="shared" si="101"/>
        <v>708.25684000000001</v>
      </c>
      <c r="AB240" s="148">
        <f t="shared" si="101"/>
        <v>708.25684000000001</v>
      </c>
      <c r="AC240" s="148">
        <f t="shared" si="101"/>
        <v>708.25684000000001</v>
      </c>
      <c r="AD240" s="148">
        <f t="shared" si="101"/>
        <v>809.43638857142867</v>
      </c>
      <c r="AE240" s="148">
        <f t="shared" si="101"/>
        <v>1214.1545828571429</v>
      </c>
      <c r="AF240" s="148">
        <f t="shared" si="101"/>
        <v>666.97558418285723</v>
      </c>
      <c r="AG240" s="148">
        <f t="shared" si="101"/>
        <v>625.28961017142865</v>
      </c>
      <c r="AH240" s="148">
        <f t="shared" si="101"/>
        <v>833.71948022857157</v>
      </c>
      <c r="AI240" s="148">
        <f t="shared" si="101"/>
        <v>833.71948022857157</v>
      </c>
      <c r="AJ240" s="148">
        <f t="shared" si="101"/>
        <v>833.71948022857157</v>
      </c>
      <c r="AK240" s="148">
        <f t="shared" si="101"/>
        <v>833.71948022857157</v>
      </c>
      <c r="AL240" s="148">
        <f t="shared" si="101"/>
        <v>833.71948022857157</v>
      </c>
      <c r="AM240" s="148">
        <f t="shared" si="101"/>
        <v>833.71948022857157</v>
      </c>
      <c r="AN240" s="148">
        <f t="shared" si="101"/>
        <v>833.71948022857157</v>
      </c>
      <c r="AO240" s="148">
        <f t="shared" si="101"/>
        <v>833.71948022857157</v>
      </c>
      <c r="AP240" s="148">
        <f t="shared" si="101"/>
        <v>833.71948022857157</v>
      </c>
      <c r="AQ240" s="148">
        <f t="shared" si="101"/>
        <v>1250.5792203428573</v>
      </c>
      <c r="AR240" s="148">
        <f t="shared" si="101"/>
        <v>686.98485170834294</v>
      </c>
      <c r="AS240" s="148">
        <f t="shared" si="101"/>
        <v>644.04829847657152</v>
      </c>
      <c r="AT240" s="148">
        <f t="shared" si="101"/>
        <v>858.73106463542854</v>
      </c>
      <c r="AU240" s="148">
        <f t="shared" si="101"/>
        <v>858.73106463542854</v>
      </c>
      <c r="AV240" s="148">
        <f t="shared" si="101"/>
        <v>858.73106463542854</v>
      </c>
      <c r="AW240" s="148">
        <f t="shared" si="101"/>
        <v>858.73106463542854</v>
      </c>
      <c r="AX240" s="148">
        <f t="shared" si="101"/>
        <v>858.73106463542854</v>
      </c>
      <c r="AY240" s="148">
        <f t="shared" si="101"/>
        <v>858.73106463542854</v>
      </c>
      <c r="AZ240" s="148">
        <f t="shared" si="101"/>
        <v>858.73106463542854</v>
      </c>
      <c r="BA240" s="148">
        <f t="shared" si="101"/>
        <v>858.73106463542854</v>
      </c>
      <c r="BB240" s="148">
        <f t="shared" si="101"/>
        <v>858.73106463542854</v>
      </c>
      <c r="BC240" s="148">
        <f t="shared" si="101"/>
        <v>1288.096596953143</v>
      </c>
      <c r="BD240" s="148">
        <f t="shared" si="101"/>
        <v>796.04369691704233</v>
      </c>
      <c r="BE240" s="148">
        <f t="shared" si="101"/>
        <v>746.29096585972718</v>
      </c>
      <c r="BF240" s="148">
        <f t="shared" si="101"/>
        <v>995.05462114630291</v>
      </c>
      <c r="BG240" s="148">
        <f t="shared" si="101"/>
        <v>995.05462114630291</v>
      </c>
      <c r="BH240" s="148">
        <f t="shared" si="101"/>
        <v>995.05462114630291</v>
      </c>
      <c r="BI240" s="148">
        <f t="shared" si="101"/>
        <v>995.05462114630291</v>
      </c>
      <c r="BJ240" s="148">
        <f t="shared" si="101"/>
        <v>995.05462114630291</v>
      </c>
      <c r="BK240" s="148">
        <f t="shared" si="101"/>
        <v>995.05462114630291</v>
      </c>
      <c r="BL240" s="148">
        <f t="shared" si="101"/>
        <v>995.05462114630291</v>
      </c>
      <c r="BM240" s="148">
        <f t="shared" si="101"/>
        <v>995.05462114630291</v>
      </c>
      <c r="BN240" s="148">
        <f t="shared" si="101"/>
        <v>995.05462114630291</v>
      </c>
      <c r="BO240" s="148">
        <f t="shared" si="101"/>
        <v>1492.5819317194544</v>
      </c>
      <c r="BP240" s="148">
        <f t="shared" si="79"/>
        <v>49457.798443852691</v>
      </c>
      <c r="BQ240" s="148">
        <f t="shared" si="80"/>
        <v>59910.907132330249</v>
      </c>
    </row>
    <row r="241" spans="2:69" s="22" customFormat="1" outlineLevel="1">
      <c r="C241" s="22" t="str">
        <v>Xenocode City</v>
      </c>
      <c r="D241" s="162">
        <f>SUMIFS('Existing Stores'!$F$9:$F$1008,'Existing Stores'!$D$9:$D$1008,Model!$C241)</f>
        <v>515.19999999999993</v>
      </c>
      <c r="E241" s="165">
        <f>(AVERAGEIFS('Existing Stores'!$F$9:$F$1008,'Existing Stores'!$D$9:$D$1008,Model!$C241))</f>
        <v>128.79999999999998</v>
      </c>
      <c r="F241" s="29" t="s">
        <v>119</v>
      </c>
      <c r="G241" s="167">
        <f t="shared" ref="G241:BO241" si="102">$E241*G150*G$120*G$118*G211</f>
        <v>772.8</v>
      </c>
      <c r="H241" s="148">
        <f t="shared" si="102"/>
        <v>424.52479999999997</v>
      </c>
      <c r="I241" s="148">
        <f t="shared" si="102"/>
        <v>397.99199999999996</v>
      </c>
      <c r="J241" s="148">
        <f t="shared" si="102"/>
        <v>530.65599999999995</v>
      </c>
      <c r="K241" s="148">
        <f t="shared" si="102"/>
        <v>530.65599999999995</v>
      </c>
      <c r="L241" s="148">
        <f t="shared" si="102"/>
        <v>530.65599999999995</v>
      </c>
      <c r="M241" s="148">
        <f t="shared" si="102"/>
        <v>530.65599999999995</v>
      </c>
      <c r="N241" s="148">
        <f t="shared" si="102"/>
        <v>530.65599999999995</v>
      </c>
      <c r="O241" s="148">
        <f t="shared" si="102"/>
        <v>530.65599999999995</v>
      </c>
      <c r="P241" s="148">
        <f t="shared" si="102"/>
        <v>530.65599999999995</v>
      </c>
      <c r="Q241" s="148">
        <f t="shared" si="102"/>
        <v>530.65599999999995</v>
      </c>
      <c r="R241" s="148">
        <f t="shared" si="102"/>
        <v>530.65599999999995</v>
      </c>
      <c r="S241" s="148">
        <f t="shared" si="102"/>
        <v>795.98399999999992</v>
      </c>
      <c r="T241" s="148">
        <f t="shared" si="102"/>
        <v>437.26054399999992</v>
      </c>
      <c r="U241" s="148">
        <f t="shared" si="102"/>
        <v>409.93175999999994</v>
      </c>
      <c r="V241" s="148">
        <f t="shared" si="102"/>
        <v>546.57567999999992</v>
      </c>
      <c r="W241" s="148">
        <f t="shared" si="102"/>
        <v>546.57567999999992</v>
      </c>
      <c r="X241" s="148">
        <f t="shared" si="102"/>
        <v>546.57567999999992</v>
      </c>
      <c r="Y241" s="148">
        <f t="shared" si="102"/>
        <v>546.57567999999992</v>
      </c>
      <c r="Z241" s="148">
        <f t="shared" si="102"/>
        <v>546.57567999999992</v>
      </c>
      <c r="AA241" s="148">
        <f t="shared" si="102"/>
        <v>546.57567999999992</v>
      </c>
      <c r="AB241" s="148">
        <f t="shared" si="102"/>
        <v>546.57567999999992</v>
      </c>
      <c r="AC241" s="148">
        <f t="shared" si="102"/>
        <v>546.57567999999992</v>
      </c>
      <c r="AD241" s="148">
        <f t="shared" si="102"/>
        <v>546.57567999999992</v>
      </c>
      <c r="AE241" s="148">
        <f t="shared" si="102"/>
        <v>819.86351999999977</v>
      </c>
      <c r="AF241" s="148">
        <f t="shared" si="102"/>
        <v>450.37836031999996</v>
      </c>
      <c r="AG241" s="148">
        <f t="shared" si="102"/>
        <v>422.22971279999996</v>
      </c>
      <c r="AH241" s="148">
        <f t="shared" si="102"/>
        <v>562.97295039999995</v>
      </c>
      <c r="AI241" s="148">
        <f t="shared" si="102"/>
        <v>562.97295039999995</v>
      </c>
      <c r="AJ241" s="148">
        <f t="shared" si="102"/>
        <v>562.97295039999995</v>
      </c>
      <c r="AK241" s="148">
        <f t="shared" si="102"/>
        <v>562.97295039999995</v>
      </c>
      <c r="AL241" s="148">
        <f t="shared" si="102"/>
        <v>562.97295039999995</v>
      </c>
      <c r="AM241" s="148">
        <f t="shared" si="102"/>
        <v>562.97295039999995</v>
      </c>
      <c r="AN241" s="148">
        <f t="shared" si="102"/>
        <v>562.97295039999995</v>
      </c>
      <c r="AO241" s="148">
        <f t="shared" si="102"/>
        <v>562.97295039999995</v>
      </c>
      <c r="AP241" s="148">
        <f t="shared" si="102"/>
        <v>562.97295039999995</v>
      </c>
      <c r="AQ241" s="148">
        <f t="shared" si="102"/>
        <v>844.45942559999992</v>
      </c>
      <c r="AR241" s="148">
        <f t="shared" si="102"/>
        <v>463.8897111295999</v>
      </c>
      <c r="AS241" s="148">
        <f t="shared" si="102"/>
        <v>434.8966041839999</v>
      </c>
      <c r="AT241" s="148">
        <f t="shared" si="102"/>
        <v>579.86213891199986</v>
      </c>
      <c r="AU241" s="148">
        <f t="shared" si="102"/>
        <v>579.86213891199986</v>
      </c>
      <c r="AV241" s="148">
        <f t="shared" si="102"/>
        <v>579.86213891199986</v>
      </c>
      <c r="AW241" s="148">
        <f t="shared" si="102"/>
        <v>579.86213891199986</v>
      </c>
      <c r="AX241" s="148">
        <f t="shared" si="102"/>
        <v>579.86213891199986</v>
      </c>
      <c r="AY241" s="148">
        <f t="shared" si="102"/>
        <v>579.86213891199986</v>
      </c>
      <c r="AZ241" s="148">
        <f t="shared" si="102"/>
        <v>579.86213891199986</v>
      </c>
      <c r="BA241" s="148">
        <f t="shared" si="102"/>
        <v>579.86213891199986</v>
      </c>
      <c r="BB241" s="148">
        <f t="shared" si="102"/>
        <v>579.86213891199986</v>
      </c>
      <c r="BC241" s="148">
        <f t="shared" si="102"/>
        <v>869.7932083679998</v>
      </c>
      <c r="BD241" s="148">
        <f t="shared" si="102"/>
        <v>477.80640246348787</v>
      </c>
      <c r="BE241" s="148">
        <f t="shared" si="102"/>
        <v>537.53220277142384</v>
      </c>
      <c r="BF241" s="148">
        <f t="shared" si="102"/>
        <v>716.70960369523186</v>
      </c>
      <c r="BG241" s="148">
        <f t="shared" si="102"/>
        <v>716.70960369523186</v>
      </c>
      <c r="BH241" s="148">
        <f t="shared" si="102"/>
        <v>716.70960369523186</v>
      </c>
      <c r="BI241" s="148">
        <f t="shared" si="102"/>
        <v>716.70960369523186</v>
      </c>
      <c r="BJ241" s="148">
        <f t="shared" si="102"/>
        <v>716.70960369523186</v>
      </c>
      <c r="BK241" s="148">
        <f t="shared" si="102"/>
        <v>716.70960369523186</v>
      </c>
      <c r="BL241" s="148">
        <f t="shared" si="102"/>
        <v>716.70960369523186</v>
      </c>
      <c r="BM241" s="148">
        <f t="shared" si="102"/>
        <v>716.70960369523186</v>
      </c>
      <c r="BN241" s="148">
        <f t="shared" si="102"/>
        <v>716.70960369523186</v>
      </c>
      <c r="BO241" s="148">
        <f t="shared" si="102"/>
        <v>1075.0644055428477</v>
      </c>
      <c r="BP241" s="148">
        <f t="shared" si="79"/>
        <v>35292.59401424446</v>
      </c>
      <c r="BQ241" s="148">
        <f t="shared" si="80"/>
        <v>43403.314377766481</v>
      </c>
    </row>
    <row r="242" spans="2:69" s="22" customFormat="1" outlineLevel="1">
      <c r="C242" s="22" t="str">
        <v>Yieldville</v>
      </c>
      <c r="D242" s="161">
        <f>SUMIFS('Existing Stores'!$F$9:$F$1008,'Existing Stores'!$D$9:$D$1008,Model!$C242)</f>
        <v>245.29999999999998</v>
      </c>
      <c r="E242" s="165">
        <f>(AVERAGEIFS('Existing Stores'!$F$9:$F$1008,'Existing Stores'!$D$9:$D$1008,Model!$C242))</f>
        <v>81.766666666666666</v>
      </c>
      <c r="F242" s="29" t="s">
        <v>119</v>
      </c>
      <c r="G242" s="167">
        <f t="shared" ref="G242:BO242" si="103">$E242*G151*G$120*G$118*G212</f>
        <v>367.95000000000005</v>
      </c>
      <c r="H242" s="148">
        <f t="shared" si="103"/>
        <v>202.12720000000002</v>
      </c>
      <c r="I242" s="148">
        <f t="shared" si="103"/>
        <v>189.49425000000002</v>
      </c>
      <c r="J242" s="148">
        <f t="shared" si="103"/>
        <v>252.65900000000002</v>
      </c>
      <c r="K242" s="148">
        <f t="shared" si="103"/>
        <v>252.65900000000002</v>
      </c>
      <c r="L242" s="148">
        <f t="shared" si="103"/>
        <v>252.65900000000002</v>
      </c>
      <c r="M242" s="148">
        <f t="shared" si="103"/>
        <v>252.65900000000002</v>
      </c>
      <c r="N242" s="148">
        <f t="shared" si="103"/>
        <v>252.65900000000002</v>
      </c>
      <c r="O242" s="148">
        <f t="shared" si="103"/>
        <v>252.65900000000002</v>
      </c>
      <c r="P242" s="148">
        <f t="shared" si="103"/>
        <v>252.65900000000002</v>
      </c>
      <c r="Q242" s="148">
        <f t="shared" si="103"/>
        <v>252.65900000000002</v>
      </c>
      <c r="R242" s="148">
        <f t="shared" si="103"/>
        <v>252.65900000000002</v>
      </c>
      <c r="S242" s="148">
        <f t="shared" si="103"/>
        <v>378.98850000000004</v>
      </c>
      <c r="T242" s="148">
        <f t="shared" si="103"/>
        <v>208.19101599999999</v>
      </c>
      <c r="U242" s="148">
        <f t="shared" si="103"/>
        <v>195.17907750000001</v>
      </c>
      <c r="V242" s="148">
        <f t="shared" si="103"/>
        <v>260.23876999999999</v>
      </c>
      <c r="W242" s="148">
        <f t="shared" si="103"/>
        <v>260.23876999999999</v>
      </c>
      <c r="X242" s="148">
        <f t="shared" si="103"/>
        <v>260.23876999999999</v>
      </c>
      <c r="Y242" s="148">
        <f t="shared" si="103"/>
        <v>260.23876999999999</v>
      </c>
      <c r="Z242" s="148">
        <f t="shared" si="103"/>
        <v>260.23876999999999</v>
      </c>
      <c r="AA242" s="148">
        <f t="shared" si="103"/>
        <v>260.23876999999999</v>
      </c>
      <c r="AB242" s="148">
        <f t="shared" si="103"/>
        <v>260.23876999999999</v>
      </c>
      <c r="AC242" s="148">
        <f t="shared" si="103"/>
        <v>260.23876999999999</v>
      </c>
      <c r="AD242" s="148">
        <f t="shared" si="103"/>
        <v>260.23876999999999</v>
      </c>
      <c r="AE242" s="148">
        <f t="shared" si="103"/>
        <v>390.35815500000001</v>
      </c>
      <c r="AF242" s="148">
        <f t="shared" si="103"/>
        <v>285.91566197333339</v>
      </c>
      <c r="AG242" s="148">
        <f t="shared" si="103"/>
        <v>268.04593310000001</v>
      </c>
      <c r="AH242" s="148">
        <f t="shared" si="103"/>
        <v>357.39457746666665</v>
      </c>
      <c r="AI242" s="148">
        <f t="shared" si="103"/>
        <v>357.39457746666665</v>
      </c>
      <c r="AJ242" s="148">
        <f t="shared" si="103"/>
        <v>357.39457746666665</v>
      </c>
      <c r="AK242" s="148">
        <f t="shared" si="103"/>
        <v>357.39457746666665</v>
      </c>
      <c r="AL242" s="148">
        <f t="shared" si="103"/>
        <v>357.39457746666665</v>
      </c>
      <c r="AM242" s="148">
        <f t="shared" si="103"/>
        <v>357.39457746666665</v>
      </c>
      <c r="AN242" s="148">
        <f t="shared" si="103"/>
        <v>357.39457746666665</v>
      </c>
      <c r="AO242" s="148">
        <f t="shared" si="103"/>
        <v>357.39457746666665</v>
      </c>
      <c r="AP242" s="148">
        <f t="shared" si="103"/>
        <v>357.39457746666665</v>
      </c>
      <c r="AQ242" s="148">
        <f t="shared" si="103"/>
        <v>536.09186620000003</v>
      </c>
      <c r="AR242" s="148">
        <f t="shared" si="103"/>
        <v>294.49313183253332</v>
      </c>
      <c r="AS242" s="148">
        <f t="shared" si="103"/>
        <v>276.08731109299998</v>
      </c>
      <c r="AT242" s="148">
        <f t="shared" si="103"/>
        <v>368.11641479066662</v>
      </c>
      <c r="AU242" s="148">
        <f t="shared" si="103"/>
        <v>368.11641479066662</v>
      </c>
      <c r="AV242" s="148">
        <f t="shared" si="103"/>
        <v>368.11641479066662</v>
      </c>
      <c r="AW242" s="148">
        <f t="shared" si="103"/>
        <v>368.11641479066662</v>
      </c>
      <c r="AX242" s="148">
        <f t="shared" si="103"/>
        <v>368.11641479066662</v>
      </c>
      <c r="AY242" s="148">
        <f t="shared" si="103"/>
        <v>368.11641479066662</v>
      </c>
      <c r="AZ242" s="148">
        <f t="shared" si="103"/>
        <v>368.11641479066662</v>
      </c>
      <c r="BA242" s="148">
        <f t="shared" si="103"/>
        <v>368.11641479066662</v>
      </c>
      <c r="BB242" s="148">
        <f t="shared" si="103"/>
        <v>368.11641479066662</v>
      </c>
      <c r="BC242" s="148">
        <f t="shared" si="103"/>
        <v>552.17462218599997</v>
      </c>
      <c r="BD242" s="148">
        <f t="shared" si="103"/>
        <v>303.32792578750934</v>
      </c>
      <c r="BE242" s="148">
        <f t="shared" si="103"/>
        <v>284.36993042578996</v>
      </c>
      <c r="BF242" s="148">
        <f t="shared" si="103"/>
        <v>473.94988404298323</v>
      </c>
      <c r="BG242" s="148">
        <f t="shared" si="103"/>
        <v>473.94988404298323</v>
      </c>
      <c r="BH242" s="148">
        <f t="shared" si="103"/>
        <v>473.94988404298323</v>
      </c>
      <c r="BI242" s="148">
        <f t="shared" si="103"/>
        <v>473.94988404298323</v>
      </c>
      <c r="BJ242" s="148">
        <f t="shared" si="103"/>
        <v>473.94988404298323</v>
      </c>
      <c r="BK242" s="148">
        <f t="shared" si="103"/>
        <v>473.94988404298323</v>
      </c>
      <c r="BL242" s="148">
        <f t="shared" si="103"/>
        <v>473.94988404298323</v>
      </c>
      <c r="BM242" s="148">
        <f t="shared" si="103"/>
        <v>473.94988404298323</v>
      </c>
      <c r="BN242" s="148">
        <f t="shared" si="103"/>
        <v>473.94988404298323</v>
      </c>
      <c r="BO242" s="148">
        <f t="shared" si="103"/>
        <v>710.92482606447493</v>
      </c>
      <c r="BP242" s="148">
        <f t="shared" si="79"/>
        <v>20486.997223865499</v>
      </c>
      <c r="BQ242" s="148">
        <f t="shared" si="80"/>
        <v>25055.438920341006</v>
      </c>
    </row>
    <row r="243" spans="2:69" s="22" customFormat="1" outlineLevel="1">
      <c r="C243" s="22" t="str">
        <v>ZeroDay Zone</v>
      </c>
      <c r="D243" s="163">
        <f>SUMIFS('Existing Stores'!$F$9:$F$1008,'Existing Stores'!$D$9:$D$1008,Model!$C243)</f>
        <v>75.2</v>
      </c>
      <c r="E243" s="166">
        <f>(AVERAGEIFS('Existing Stores'!$F$9:$F$1008,'Existing Stores'!$D$9:$D$1008,Model!$C243))</f>
        <v>75.2</v>
      </c>
      <c r="F243" s="75" t="s">
        <v>119</v>
      </c>
      <c r="G243" s="167">
        <f t="shared" ref="G243:BO243" si="104">$E243*G152*G$120*G$118*G213</f>
        <v>112.80000000000001</v>
      </c>
      <c r="H243" s="148">
        <f t="shared" si="104"/>
        <v>61.964800000000004</v>
      </c>
      <c r="I243" s="148">
        <f t="shared" si="104"/>
        <v>58.092000000000006</v>
      </c>
      <c r="J243" s="148">
        <f t="shared" si="104"/>
        <v>77.456000000000003</v>
      </c>
      <c r="K243" s="148">
        <f t="shared" si="104"/>
        <v>77.456000000000003</v>
      </c>
      <c r="L243" s="148">
        <f t="shared" si="104"/>
        <v>77.456000000000003</v>
      </c>
      <c r="M243" s="148">
        <f t="shared" si="104"/>
        <v>77.456000000000003</v>
      </c>
      <c r="N243" s="148">
        <f t="shared" si="104"/>
        <v>77.456000000000003</v>
      </c>
      <c r="O243" s="148">
        <f t="shared" si="104"/>
        <v>77.456000000000003</v>
      </c>
      <c r="P243" s="148">
        <f t="shared" si="104"/>
        <v>77.456000000000003</v>
      </c>
      <c r="Q243" s="148">
        <f t="shared" si="104"/>
        <v>77.456000000000003</v>
      </c>
      <c r="R243" s="148">
        <f t="shared" si="104"/>
        <v>77.456000000000003</v>
      </c>
      <c r="S243" s="148">
        <f t="shared" si="104"/>
        <v>116.18400000000001</v>
      </c>
      <c r="T243" s="148">
        <f t="shared" si="104"/>
        <v>63.823743999999998</v>
      </c>
      <c r="U243" s="148">
        <f t="shared" si="104"/>
        <v>59.834760000000003</v>
      </c>
      <c r="V243" s="148">
        <f t="shared" si="104"/>
        <v>79.779679999999999</v>
      </c>
      <c r="W243" s="148">
        <f t="shared" si="104"/>
        <v>79.779679999999999</v>
      </c>
      <c r="X243" s="148">
        <f t="shared" si="104"/>
        <v>79.779679999999999</v>
      </c>
      <c r="Y243" s="148">
        <f t="shared" si="104"/>
        <v>79.779679999999999</v>
      </c>
      <c r="Z243" s="148">
        <f t="shared" si="104"/>
        <v>79.779679999999999</v>
      </c>
      <c r="AA243" s="148">
        <f t="shared" si="104"/>
        <v>79.779679999999999</v>
      </c>
      <c r="AB243" s="148">
        <f t="shared" si="104"/>
        <v>79.779679999999999</v>
      </c>
      <c r="AC243" s="148">
        <f t="shared" si="104"/>
        <v>79.779679999999999</v>
      </c>
      <c r="AD243" s="148">
        <f t="shared" si="104"/>
        <v>79.779679999999999</v>
      </c>
      <c r="AE243" s="148">
        <f t="shared" si="104"/>
        <v>119.66952000000001</v>
      </c>
      <c r="AF243" s="148">
        <f t="shared" si="104"/>
        <v>65.738456319999997</v>
      </c>
      <c r="AG243" s="148">
        <f t="shared" si="104"/>
        <v>123.25960560000001</v>
      </c>
      <c r="AH243" s="148">
        <f t="shared" si="104"/>
        <v>164.3461408</v>
      </c>
      <c r="AI243" s="148">
        <f t="shared" si="104"/>
        <v>164.3461408</v>
      </c>
      <c r="AJ243" s="148">
        <f t="shared" si="104"/>
        <v>164.3461408</v>
      </c>
      <c r="AK243" s="148">
        <f t="shared" si="104"/>
        <v>164.3461408</v>
      </c>
      <c r="AL243" s="148">
        <f t="shared" si="104"/>
        <v>164.3461408</v>
      </c>
      <c r="AM243" s="148">
        <f t="shared" si="104"/>
        <v>164.3461408</v>
      </c>
      <c r="AN243" s="148">
        <f t="shared" si="104"/>
        <v>164.3461408</v>
      </c>
      <c r="AO243" s="148">
        <f t="shared" si="104"/>
        <v>164.3461408</v>
      </c>
      <c r="AP243" s="148">
        <f t="shared" si="104"/>
        <v>164.3461408</v>
      </c>
      <c r="AQ243" s="148">
        <f t="shared" si="104"/>
        <v>246.51921120000003</v>
      </c>
      <c r="AR243" s="148">
        <f t="shared" si="104"/>
        <v>135.42122001920001</v>
      </c>
      <c r="AS243" s="148">
        <f t="shared" si="104"/>
        <v>126.957393768</v>
      </c>
      <c r="AT243" s="148">
        <f t="shared" si="104"/>
        <v>169.27652502399999</v>
      </c>
      <c r="AU243" s="148">
        <f t="shared" si="104"/>
        <v>169.27652502399999</v>
      </c>
      <c r="AV243" s="148">
        <f t="shared" si="104"/>
        <v>169.27652502399999</v>
      </c>
      <c r="AW243" s="148">
        <f t="shared" si="104"/>
        <v>169.27652502399999</v>
      </c>
      <c r="AX243" s="148">
        <f t="shared" si="104"/>
        <v>169.27652502399999</v>
      </c>
      <c r="AY243" s="148">
        <f t="shared" si="104"/>
        <v>169.27652502399999</v>
      </c>
      <c r="AZ243" s="148">
        <f t="shared" si="104"/>
        <v>169.27652502399999</v>
      </c>
      <c r="BA243" s="148">
        <f t="shared" si="104"/>
        <v>169.27652502399999</v>
      </c>
      <c r="BB243" s="148">
        <f t="shared" si="104"/>
        <v>169.27652502399999</v>
      </c>
      <c r="BC243" s="148">
        <f t="shared" si="104"/>
        <v>253.91478753600001</v>
      </c>
      <c r="BD243" s="148">
        <f t="shared" si="104"/>
        <v>139.48385661977599</v>
      </c>
      <c r="BE243" s="148">
        <f t="shared" si="104"/>
        <v>130.76611558104</v>
      </c>
      <c r="BF243" s="148">
        <f t="shared" si="104"/>
        <v>174.35482077472</v>
      </c>
      <c r="BG243" s="148">
        <f t="shared" si="104"/>
        <v>261.53223116208</v>
      </c>
      <c r="BH243" s="148">
        <f t="shared" si="104"/>
        <v>261.53223116208</v>
      </c>
      <c r="BI243" s="148">
        <f t="shared" si="104"/>
        <v>261.53223116208</v>
      </c>
      <c r="BJ243" s="148">
        <f t="shared" si="104"/>
        <v>261.53223116208</v>
      </c>
      <c r="BK243" s="148">
        <f t="shared" si="104"/>
        <v>261.53223116208</v>
      </c>
      <c r="BL243" s="148">
        <f t="shared" si="104"/>
        <v>261.53223116208</v>
      </c>
      <c r="BM243" s="148">
        <f t="shared" si="104"/>
        <v>261.53223116208</v>
      </c>
      <c r="BN243" s="148">
        <f t="shared" si="104"/>
        <v>261.53223116208</v>
      </c>
      <c r="BO243" s="148">
        <f t="shared" si="104"/>
        <v>392.29834674311996</v>
      </c>
      <c r="BP243" s="148">
        <f t="shared" si="79"/>
        <v>8778.2655998744976</v>
      </c>
      <c r="BQ243" s="148">
        <f t="shared" si="80"/>
        <v>10494.229753041453</v>
      </c>
    </row>
    <row r="244" spans="2:69" s="31" customFormat="1" ht="12" customHeight="1" outlineLevel="1">
      <c r="C244" s="70" t="s">
        <v>1244</v>
      </c>
      <c r="D244" s="70"/>
      <c r="E244" s="71"/>
      <c r="F244" s="29" t="s">
        <v>119</v>
      </c>
      <c r="G244" s="168">
        <f>SUM(G218:G243)</f>
        <v>145495.79999999993</v>
      </c>
      <c r="H244" s="169">
        <f>SUM(H218:H243)</f>
        <v>80025.396799999988</v>
      </c>
      <c r="I244" s="169">
        <f t="shared" ref="I244:BO244" si="105">SUM(I218:I243)</f>
        <v>75097.910274999987</v>
      </c>
      <c r="J244" s="169">
        <f t="shared" si="105"/>
        <v>100109.6462733333</v>
      </c>
      <c r="K244" s="169">
        <f t="shared" si="105"/>
        <v>100214.1444551515</v>
      </c>
      <c r="L244" s="169">
        <f t="shared" si="105"/>
        <v>100288.92245515149</v>
      </c>
      <c r="M244" s="169">
        <f t="shared" si="105"/>
        <v>100303.61712181817</v>
      </c>
      <c r="N244" s="169">
        <f t="shared" si="105"/>
        <v>100401.92349104893</v>
      </c>
      <c r="O244" s="169">
        <f t="shared" si="105"/>
        <v>100502.63463895889</v>
      </c>
      <c r="P244" s="169">
        <f t="shared" si="105"/>
        <v>100600.43010954712</v>
      </c>
      <c r="Q244" s="169">
        <f t="shared" si="105"/>
        <v>100738.25698454712</v>
      </c>
      <c r="R244" s="169">
        <f t="shared" si="105"/>
        <v>100842.18398454711</v>
      </c>
      <c r="S244" s="169">
        <f t="shared" si="105"/>
        <v>151408.84587682073</v>
      </c>
      <c r="T244" s="169">
        <f t="shared" si="105"/>
        <v>83225.25658726682</v>
      </c>
      <c r="U244" s="169">
        <f t="shared" si="105"/>
        <v>78098.89207163408</v>
      </c>
      <c r="V244" s="169">
        <f t="shared" si="105"/>
        <v>104236.64805315917</v>
      </c>
      <c r="W244" s="169">
        <f t="shared" si="105"/>
        <v>104329.58289315917</v>
      </c>
      <c r="X244" s="169">
        <f t="shared" si="105"/>
        <v>104434.01523690917</v>
      </c>
      <c r="Y244" s="169">
        <f t="shared" si="105"/>
        <v>104537.09103279152</v>
      </c>
      <c r="Z244" s="169">
        <f t="shared" si="105"/>
        <v>104637.42880773199</v>
      </c>
      <c r="AA244" s="169">
        <f t="shared" si="105"/>
        <v>104735.95748409563</v>
      </c>
      <c r="AB244" s="169">
        <f t="shared" si="105"/>
        <v>104796.68340009563</v>
      </c>
      <c r="AC244" s="169">
        <f t="shared" si="105"/>
        <v>104900.17827548024</v>
      </c>
      <c r="AD244" s="169">
        <f t="shared" si="105"/>
        <v>105001.35782405167</v>
      </c>
      <c r="AE244" s="169">
        <f t="shared" si="105"/>
        <v>157502.03673607754</v>
      </c>
      <c r="AF244" s="169">
        <f t="shared" si="105"/>
        <v>86592.597762511941</v>
      </c>
      <c r="AG244" s="169">
        <f t="shared" si="105"/>
        <v>81242.19020515494</v>
      </c>
      <c r="AH244" s="169">
        <f t="shared" si="105"/>
        <v>108455.1402405399</v>
      </c>
      <c r="AI244" s="169">
        <f t="shared" si="105"/>
        <v>108559.95825680321</v>
      </c>
      <c r="AJ244" s="169">
        <f t="shared" si="105"/>
        <v>108648.65272193922</v>
      </c>
      <c r="AK244" s="169">
        <f t="shared" si="105"/>
        <v>108759.51484303012</v>
      </c>
      <c r="AL244" s="169">
        <f t="shared" si="105"/>
        <v>108838.84682323014</v>
      </c>
      <c r="AM244" s="169">
        <f t="shared" si="105"/>
        <v>108901.2051106968</v>
      </c>
      <c r="AN244" s="169">
        <f t="shared" si="105"/>
        <v>109005.49833781373</v>
      </c>
      <c r="AO244" s="169">
        <f t="shared" si="105"/>
        <v>109112.34279463139</v>
      </c>
      <c r="AP244" s="169">
        <f t="shared" si="105"/>
        <v>109216.09400937847</v>
      </c>
      <c r="AQ244" s="169">
        <f t="shared" si="105"/>
        <v>164043.47181159898</v>
      </c>
      <c r="AR244" s="169">
        <f t="shared" si="105"/>
        <v>90205.39825298154</v>
      </c>
      <c r="AS244" s="169">
        <f t="shared" si="105"/>
        <v>84647.094942228869</v>
      </c>
      <c r="AT244" s="169">
        <f t="shared" si="105"/>
        <v>112953.55428674356</v>
      </c>
      <c r="AU244" s="169">
        <f t="shared" si="105"/>
        <v>113059.94702668312</v>
      </c>
      <c r="AV244" s="169">
        <f t="shared" si="105"/>
        <v>113171.12081455089</v>
      </c>
      <c r="AW244" s="169">
        <f t="shared" si="105"/>
        <v>113171.12081455089</v>
      </c>
      <c r="AX244" s="169">
        <f t="shared" si="105"/>
        <v>113281.91308803526</v>
      </c>
      <c r="AY244" s="169">
        <f t="shared" si="105"/>
        <v>113391.26619988686</v>
      </c>
      <c r="AZ244" s="169">
        <f t="shared" si="105"/>
        <v>113497.7145453212</v>
      </c>
      <c r="BA244" s="169">
        <f t="shared" si="105"/>
        <v>113602.24361807539</v>
      </c>
      <c r="BB244" s="169">
        <f t="shared" si="105"/>
        <v>113688.14245045459</v>
      </c>
      <c r="BC244" s="169">
        <f t="shared" si="105"/>
        <v>170696.91024562519</v>
      </c>
      <c r="BD244" s="169">
        <f t="shared" si="105"/>
        <v>93857.951994587565</v>
      </c>
      <c r="BE244" s="169">
        <f t="shared" si="105"/>
        <v>88081.418695387707</v>
      </c>
      <c r="BF244" s="169">
        <f t="shared" si="105"/>
        <v>117536.68157065888</v>
      </c>
      <c r="BG244" s="169">
        <f t="shared" si="105"/>
        <v>117623.85898104624</v>
      </c>
      <c r="BH244" s="169">
        <f t="shared" si="105"/>
        <v>117764.13114403655</v>
      </c>
      <c r="BI244" s="169">
        <f t="shared" si="105"/>
        <v>117875.33257749032</v>
      </c>
      <c r="BJ244" s="169">
        <f t="shared" si="105"/>
        <v>117969.4285355531</v>
      </c>
      <c r="BK244" s="169">
        <f t="shared" si="105"/>
        <v>118087.04215981845</v>
      </c>
      <c r="BL244" s="169">
        <f t="shared" si="105"/>
        <v>118171.20545761262</v>
      </c>
      <c r="BM244" s="169">
        <f t="shared" si="105"/>
        <v>118237.36136478602</v>
      </c>
      <c r="BN244" s="169">
        <f t="shared" si="105"/>
        <v>118348.00604943436</v>
      </c>
      <c r="BO244" s="169">
        <f t="shared" si="105"/>
        <v>177692.03600050835</v>
      </c>
      <c r="BP244" s="148">
        <f t="shared" si="79"/>
        <v>6568955.4346017614</v>
      </c>
      <c r="BQ244" s="148">
        <f t="shared" si="80"/>
        <v>8000721.8669809317</v>
      </c>
    </row>
    <row r="245" spans="2:69" s="22" customFormat="1" outlineLevel="1">
      <c r="D245" s="28"/>
      <c r="E245" s="28"/>
      <c r="F245" s="29"/>
      <c r="G245" s="66"/>
      <c r="BP245" s="148">
        <f t="shared" si="79"/>
        <v>0</v>
      </c>
      <c r="BQ245" s="148"/>
    </row>
    <row r="246" spans="2:69" s="22" customFormat="1" outlineLevel="1">
      <c r="B246" s="32" t="s">
        <v>157</v>
      </c>
      <c r="D246" s="28" t="s">
        <v>1242</v>
      </c>
      <c r="E246" s="28" t="s">
        <v>1243</v>
      </c>
      <c r="F246" s="29"/>
      <c r="G246" s="66"/>
      <c r="BP246" s="148">
        <f t="shared" si="79"/>
        <v>0</v>
      </c>
      <c r="BQ246" s="148"/>
    </row>
    <row r="247" spans="2:69" s="22" customFormat="1" outlineLevel="1">
      <c r="C247" s="22" t="str" cm="1">
        <f t="array" ref="C247:C272">_xlfn._xlws.SORT(_xlfn.UNIQUE('Existing Stores'!D9:D1008),,1)</f>
        <v>Axisbyte</v>
      </c>
      <c r="D247" s="160">
        <f>SUMIFS('Existing Stores'!$G$9:$G$1008,'Existing Stores'!$D$9:$D$1008,Model!$C247)</f>
        <v>109</v>
      </c>
      <c r="E247" s="164">
        <f>(AVERAGEIFS('Existing Stores'!$G$9:$G$1008,'Existing Stores'!$D$9:$D$1008,Model!$C247))</f>
        <v>18.166666666666668</v>
      </c>
      <c r="F247" s="29" t="s">
        <v>119</v>
      </c>
      <c r="G247" s="167">
        <f>$E247*G127*G$120*G$118*G188</f>
        <v>163.5</v>
      </c>
      <c r="H247" s="148">
        <f t="shared" ref="H247:BO247" si="106">$E247*H127*H$120*H$118*H188</f>
        <v>104.78533333333336</v>
      </c>
      <c r="I247" s="148">
        <f t="shared" si="106"/>
        <v>98.236249999999998</v>
      </c>
      <c r="J247" s="148">
        <f t="shared" si="106"/>
        <v>130.98166666666668</v>
      </c>
      <c r="K247" s="148">
        <f t="shared" si="106"/>
        <v>130.98166666666668</v>
      </c>
      <c r="L247" s="148">
        <f t="shared" si="106"/>
        <v>130.98166666666668</v>
      </c>
      <c r="M247" s="148">
        <f t="shared" si="106"/>
        <v>130.98166666666668</v>
      </c>
      <c r="N247" s="148">
        <f t="shared" si="106"/>
        <v>130.98166666666668</v>
      </c>
      <c r="O247" s="148">
        <f t="shared" si="106"/>
        <v>130.98166666666668</v>
      </c>
      <c r="P247" s="148">
        <f t="shared" si="106"/>
        <v>130.98166666666668</v>
      </c>
      <c r="Q247" s="148">
        <f t="shared" si="106"/>
        <v>130.98166666666668</v>
      </c>
      <c r="R247" s="148">
        <f t="shared" si="106"/>
        <v>130.98166666666668</v>
      </c>
      <c r="S247" s="148">
        <f t="shared" si="106"/>
        <v>196.4725</v>
      </c>
      <c r="T247" s="148">
        <f t="shared" si="106"/>
        <v>107.92889333333335</v>
      </c>
      <c r="U247" s="148">
        <f t="shared" si="106"/>
        <v>101.18333749999999</v>
      </c>
      <c r="V247" s="148">
        <f t="shared" si="106"/>
        <v>134.91111666666666</v>
      </c>
      <c r="W247" s="148">
        <f t="shared" si="106"/>
        <v>134.91111666666666</v>
      </c>
      <c r="X247" s="148">
        <f t="shared" si="106"/>
        <v>134.91111666666666</v>
      </c>
      <c r="Y247" s="148">
        <f t="shared" si="106"/>
        <v>134.91111666666666</v>
      </c>
      <c r="Z247" s="148">
        <f t="shared" si="106"/>
        <v>134.91111666666666</v>
      </c>
      <c r="AA247" s="148">
        <f t="shared" si="106"/>
        <v>134.91111666666666</v>
      </c>
      <c r="AB247" s="148">
        <f t="shared" si="106"/>
        <v>134.91111666666666</v>
      </c>
      <c r="AC247" s="148">
        <f t="shared" si="106"/>
        <v>134.91111666666666</v>
      </c>
      <c r="AD247" s="148">
        <f t="shared" si="106"/>
        <v>134.91111666666666</v>
      </c>
      <c r="AE247" s="148">
        <f t="shared" si="106"/>
        <v>202.36667499999999</v>
      </c>
      <c r="AF247" s="148">
        <f t="shared" si="106"/>
        <v>111.16676013333336</v>
      </c>
      <c r="AG247" s="148">
        <f t="shared" si="106"/>
        <v>104.21883762500001</v>
      </c>
      <c r="AH247" s="148">
        <f t="shared" si="106"/>
        <v>158.80965733333335</v>
      </c>
      <c r="AI247" s="148">
        <f t="shared" si="106"/>
        <v>158.80965733333335</v>
      </c>
      <c r="AJ247" s="148">
        <f t="shared" si="106"/>
        <v>158.80965733333335</v>
      </c>
      <c r="AK247" s="148">
        <f t="shared" si="106"/>
        <v>158.80965733333335</v>
      </c>
      <c r="AL247" s="148">
        <f t="shared" si="106"/>
        <v>158.80965733333335</v>
      </c>
      <c r="AM247" s="148">
        <f t="shared" si="106"/>
        <v>158.80965733333335</v>
      </c>
      <c r="AN247" s="148">
        <f t="shared" si="106"/>
        <v>158.80965733333335</v>
      </c>
      <c r="AO247" s="148">
        <f t="shared" si="106"/>
        <v>158.80965733333335</v>
      </c>
      <c r="AP247" s="148">
        <f t="shared" si="106"/>
        <v>158.80965733333335</v>
      </c>
      <c r="AQ247" s="148">
        <f t="shared" si="106"/>
        <v>238.21448599999999</v>
      </c>
      <c r="AR247" s="148">
        <f t="shared" si="106"/>
        <v>130.85915764266667</v>
      </c>
      <c r="AS247" s="148">
        <f t="shared" si="106"/>
        <v>122.68046028999998</v>
      </c>
      <c r="AT247" s="148">
        <f t="shared" si="106"/>
        <v>163.57394705333334</v>
      </c>
      <c r="AU247" s="148">
        <f t="shared" si="106"/>
        <v>163.57394705333334</v>
      </c>
      <c r="AV247" s="148">
        <f t="shared" si="106"/>
        <v>163.57394705333334</v>
      </c>
      <c r="AW247" s="148">
        <f t="shared" si="106"/>
        <v>163.57394705333334</v>
      </c>
      <c r="AX247" s="148">
        <f t="shared" si="106"/>
        <v>163.57394705333334</v>
      </c>
      <c r="AY247" s="148">
        <f t="shared" si="106"/>
        <v>163.57394705333334</v>
      </c>
      <c r="AZ247" s="148">
        <f t="shared" si="106"/>
        <v>163.57394705333334</v>
      </c>
      <c r="BA247" s="148">
        <f t="shared" si="106"/>
        <v>163.57394705333334</v>
      </c>
      <c r="BB247" s="148">
        <f t="shared" si="106"/>
        <v>163.57394705333334</v>
      </c>
      <c r="BC247" s="148">
        <f t="shared" si="106"/>
        <v>245.36092057999997</v>
      </c>
      <c r="BD247" s="148">
        <f t="shared" si="106"/>
        <v>134.78493237194667</v>
      </c>
      <c r="BE247" s="148">
        <f t="shared" si="106"/>
        <v>126.36087409869998</v>
      </c>
      <c r="BF247" s="148">
        <f t="shared" si="106"/>
        <v>168.48116546493333</v>
      </c>
      <c r="BG247" s="148">
        <f t="shared" si="106"/>
        <v>168.48116546493333</v>
      </c>
      <c r="BH247" s="148">
        <f t="shared" si="106"/>
        <v>189.54131114804997</v>
      </c>
      <c r="BI247" s="148">
        <f t="shared" si="106"/>
        <v>189.54131114804997</v>
      </c>
      <c r="BJ247" s="148">
        <f t="shared" si="106"/>
        <v>189.54131114804997</v>
      </c>
      <c r="BK247" s="148">
        <f t="shared" si="106"/>
        <v>189.54131114804997</v>
      </c>
      <c r="BL247" s="148">
        <f t="shared" si="106"/>
        <v>189.54131114804997</v>
      </c>
      <c r="BM247" s="148">
        <f t="shared" si="106"/>
        <v>189.54131114804997</v>
      </c>
      <c r="BN247" s="148">
        <f t="shared" si="106"/>
        <v>189.54131114804997</v>
      </c>
      <c r="BO247" s="148">
        <f t="shared" si="106"/>
        <v>284.31196672207494</v>
      </c>
      <c r="BP247" s="148">
        <f t="shared" si="79"/>
        <v>9267.1703830766073</v>
      </c>
      <c r="BQ247" s="148"/>
    </row>
    <row r="248" spans="2:69" s="22" customFormat="1" outlineLevel="1">
      <c r="C248" s="22" t="str">
        <v>Bootwell</v>
      </c>
      <c r="D248" s="161">
        <f>SUMIFS('Existing Stores'!$G$9:$G$1008,'Existing Stores'!$D$9:$D$1008,Model!$C248)</f>
        <v>420</v>
      </c>
      <c r="E248" s="165">
        <f>(AVERAGEIFS('Existing Stores'!$G$9:$G$1008,'Existing Stores'!$D$9:$D$1008,Model!$C248))</f>
        <v>14</v>
      </c>
      <c r="F248" s="29" t="s">
        <v>119</v>
      </c>
      <c r="G248" s="167">
        <f t="shared" ref="G248:BO248" si="107">$E248*G128*G$120*G$118*G189</f>
        <v>630</v>
      </c>
      <c r="H248" s="148">
        <f t="shared" si="107"/>
        <v>346.08</v>
      </c>
      <c r="I248" s="148">
        <f t="shared" si="107"/>
        <v>335.26499999999999</v>
      </c>
      <c r="J248" s="148">
        <f t="shared" si="107"/>
        <v>447.02000000000004</v>
      </c>
      <c r="K248" s="148">
        <f t="shared" si="107"/>
        <v>447.02000000000004</v>
      </c>
      <c r="L248" s="148">
        <f t="shared" si="107"/>
        <v>447.02000000000004</v>
      </c>
      <c r="M248" s="148">
        <f t="shared" si="107"/>
        <v>447.02000000000004</v>
      </c>
      <c r="N248" s="148">
        <f t="shared" si="107"/>
        <v>447.02000000000004</v>
      </c>
      <c r="O248" s="148">
        <f t="shared" si="107"/>
        <v>447.02000000000004</v>
      </c>
      <c r="P248" s="148">
        <f t="shared" si="107"/>
        <v>447.02000000000004</v>
      </c>
      <c r="Q248" s="148">
        <f t="shared" si="107"/>
        <v>447.02000000000004</v>
      </c>
      <c r="R248" s="148">
        <f t="shared" si="107"/>
        <v>447.02000000000004</v>
      </c>
      <c r="S248" s="148">
        <f t="shared" si="107"/>
        <v>670.53</v>
      </c>
      <c r="T248" s="148">
        <f t="shared" si="107"/>
        <v>368.34448000000003</v>
      </c>
      <c r="U248" s="148">
        <f t="shared" si="107"/>
        <v>345.32294999999999</v>
      </c>
      <c r="V248" s="148">
        <f t="shared" si="107"/>
        <v>460.43059999999997</v>
      </c>
      <c r="W248" s="148">
        <f t="shared" si="107"/>
        <v>460.43059999999997</v>
      </c>
      <c r="X248" s="148">
        <f t="shared" si="107"/>
        <v>460.43059999999997</v>
      </c>
      <c r="Y248" s="148">
        <f t="shared" si="107"/>
        <v>460.43059999999997</v>
      </c>
      <c r="Z248" s="148">
        <f t="shared" si="107"/>
        <v>460.43059999999997</v>
      </c>
      <c r="AA248" s="148">
        <f t="shared" si="107"/>
        <v>460.43059999999997</v>
      </c>
      <c r="AB248" s="148">
        <f t="shared" si="107"/>
        <v>460.43059999999997</v>
      </c>
      <c r="AC248" s="148">
        <f t="shared" si="107"/>
        <v>460.43059999999997</v>
      </c>
      <c r="AD248" s="148">
        <f t="shared" si="107"/>
        <v>460.43059999999997</v>
      </c>
      <c r="AE248" s="148">
        <f t="shared" si="107"/>
        <v>690.64589999999998</v>
      </c>
      <c r="AF248" s="148">
        <f t="shared" si="107"/>
        <v>379.39481440000003</v>
      </c>
      <c r="AG248" s="148">
        <f t="shared" si="107"/>
        <v>355.6826385</v>
      </c>
      <c r="AH248" s="148">
        <f t="shared" si="107"/>
        <v>474.24351799999999</v>
      </c>
      <c r="AI248" s="148">
        <f t="shared" si="107"/>
        <v>489.541696</v>
      </c>
      <c r="AJ248" s="148">
        <f t="shared" si="107"/>
        <v>489.541696</v>
      </c>
      <c r="AK248" s="148">
        <f t="shared" si="107"/>
        <v>489.541696</v>
      </c>
      <c r="AL248" s="148">
        <f t="shared" si="107"/>
        <v>489.541696</v>
      </c>
      <c r="AM248" s="148">
        <f t="shared" si="107"/>
        <v>489.541696</v>
      </c>
      <c r="AN248" s="148">
        <f t="shared" si="107"/>
        <v>489.541696</v>
      </c>
      <c r="AO248" s="148">
        <f t="shared" si="107"/>
        <v>489.541696</v>
      </c>
      <c r="AP248" s="148">
        <f t="shared" si="107"/>
        <v>489.541696</v>
      </c>
      <c r="AQ248" s="148">
        <f t="shared" si="107"/>
        <v>734.312544</v>
      </c>
      <c r="AR248" s="148">
        <f t="shared" si="107"/>
        <v>403.38235750400003</v>
      </c>
      <c r="AS248" s="148">
        <f t="shared" si="107"/>
        <v>378.17096015999999</v>
      </c>
      <c r="AT248" s="148">
        <f t="shared" si="107"/>
        <v>504.22794687999999</v>
      </c>
      <c r="AU248" s="148">
        <f t="shared" si="107"/>
        <v>504.22794687999999</v>
      </c>
      <c r="AV248" s="148">
        <f t="shared" si="107"/>
        <v>504.22794687999999</v>
      </c>
      <c r="AW248" s="148">
        <f t="shared" si="107"/>
        <v>504.22794687999999</v>
      </c>
      <c r="AX248" s="148">
        <f t="shared" si="107"/>
        <v>504.22794687999999</v>
      </c>
      <c r="AY248" s="148">
        <f t="shared" si="107"/>
        <v>504.22794687999999</v>
      </c>
      <c r="AZ248" s="148">
        <f t="shared" si="107"/>
        <v>504.22794687999999</v>
      </c>
      <c r="BA248" s="148">
        <f t="shared" si="107"/>
        <v>504.22794687999999</v>
      </c>
      <c r="BB248" s="148">
        <f t="shared" si="107"/>
        <v>504.22794687999999</v>
      </c>
      <c r="BC248" s="148">
        <f t="shared" si="107"/>
        <v>756.34192031999999</v>
      </c>
      <c r="BD248" s="148">
        <f t="shared" si="107"/>
        <v>415.48382822911998</v>
      </c>
      <c r="BE248" s="148">
        <f t="shared" si="107"/>
        <v>389.51608896479996</v>
      </c>
      <c r="BF248" s="148">
        <f t="shared" si="107"/>
        <v>519.35478528639987</v>
      </c>
      <c r="BG248" s="148">
        <f t="shared" si="107"/>
        <v>519.35478528639987</v>
      </c>
      <c r="BH248" s="148">
        <f t="shared" si="107"/>
        <v>519.35478528639987</v>
      </c>
      <c r="BI248" s="148">
        <f t="shared" si="107"/>
        <v>535.58462232659997</v>
      </c>
      <c r="BJ248" s="148">
        <f t="shared" si="107"/>
        <v>535.58462232659997</v>
      </c>
      <c r="BK248" s="148">
        <f t="shared" si="107"/>
        <v>535.58462232659997</v>
      </c>
      <c r="BL248" s="148">
        <f t="shared" si="107"/>
        <v>535.58462232659997</v>
      </c>
      <c r="BM248" s="148">
        <f t="shared" si="107"/>
        <v>535.58462232659997</v>
      </c>
      <c r="BN248" s="148">
        <f t="shared" si="107"/>
        <v>535.58462232659997</v>
      </c>
      <c r="BO248" s="148">
        <f t="shared" si="107"/>
        <v>803.3769334898999</v>
      </c>
      <c r="BP248" s="148">
        <f t="shared" si="79"/>
        <v>29239.106513306633</v>
      </c>
      <c r="BQ248" s="148"/>
    </row>
    <row r="249" spans="2:69" s="22" customFormat="1" outlineLevel="1">
      <c r="C249" s="22" t="str">
        <v>Cacheford</v>
      </c>
      <c r="D249" s="161">
        <f>SUMIFS('Existing Stores'!$G$9:$G$1008,'Existing Stores'!$D$9:$D$1008,Model!$C249)</f>
        <v>75</v>
      </c>
      <c r="E249" s="165">
        <f>(AVERAGEIFS('Existing Stores'!$G$9:$G$1008,'Existing Stores'!$D$9:$D$1008,Model!$C249))</f>
        <v>15</v>
      </c>
      <c r="F249" s="29" t="s">
        <v>119</v>
      </c>
      <c r="G249" s="167">
        <f t="shared" ref="G249:BO249" si="108">$E249*G129*G$120*G$118*G190</f>
        <v>112.5</v>
      </c>
      <c r="H249" s="148">
        <f t="shared" si="108"/>
        <v>61.800000000000004</v>
      </c>
      <c r="I249" s="148">
        <f t="shared" si="108"/>
        <v>57.9375</v>
      </c>
      <c r="J249" s="148">
        <f t="shared" si="108"/>
        <v>74.160000000000011</v>
      </c>
      <c r="K249" s="148">
        <f t="shared" si="108"/>
        <v>74.160000000000011</v>
      </c>
      <c r="L249" s="148">
        <f t="shared" si="108"/>
        <v>74.160000000000011</v>
      </c>
      <c r="M249" s="148">
        <f t="shared" si="108"/>
        <v>74.160000000000011</v>
      </c>
      <c r="N249" s="148">
        <f t="shared" si="108"/>
        <v>74.160000000000011</v>
      </c>
      <c r="O249" s="148">
        <f t="shared" si="108"/>
        <v>74.160000000000011</v>
      </c>
      <c r="P249" s="148">
        <f t="shared" si="108"/>
        <v>74.160000000000011</v>
      </c>
      <c r="Q249" s="148">
        <f t="shared" si="108"/>
        <v>74.160000000000011</v>
      </c>
      <c r="R249" s="148">
        <f t="shared" si="108"/>
        <v>74.160000000000011</v>
      </c>
      <c r="S249" s="148">
        <f t="shared" si="108"/>
        <v>111.24000000000001</v>
      </c>
      <c r="T249" s="148">
        <f t="shared" si="108"/>
        <v>61.107840000000003</v>
      </c>
      <c r="U249" s="148">
        <f t="shared" si="108"/>
        <v>57.288600000000002</v>
      </c>
      <c r="V249" s="148">
        <f t="shared" si="108"/>
        <v>76.384799999999998</v>
      </c>
      <c r="W249" s="148">
        <f t="shared" si="108"/>
        <v>76.384799999999998</v>
      </c>
      <c r="X249" s="148">
        <f t="shared" si="108"/>
        <v>76.384799999999998</v>
      </c>
      <c r="Y249" s="148">
        <f t="shared" si="108"/>
        <v>76.384799999999998</v>
      </c>
      <c r="Z249" s="148">
        <f t="shared" si="108"/>
        <v>76.384799999999998</v>
      </c>
      <c r="AA249" s="148">
        <f t="shared" si="108"/>
        <v>76.384799999999998</v>
      </c>
      <c r="AB249" s="148">
        <f t="shared" si="108"/>
        <v>76.384799999999998</v>
      </c>
      <c r="AC249" s="148">
        <f t="shared" si="108"/>
        <v>76.384799999999998</v>
      </c>
      <c r="AD249" s="148">
        <f t="shared" si="108"/>
        <v>76.384799999999998</v>
      </c>
      <c r="AE249" s="148">
        <f t="shared" si="108"/>
        <v>114.5772</v>
      </c>
      <c r="AF249" s="148">
        <f t="shared" si="108"/>
        <v>62.9410752</v>
      </c>
      <c r="AG249" s="148">
        <f t="shared" si="108"/>
        <v>59.007258000000007</v>
      </c>
      <c r="AH249" s="148">
        <f t="shared" si="108"/>
        <v>78.676344</v>
      </c>
      <c r="AI249" s="148">
        <f t="shared" si="108"/>
        <v>78.676344</v>
      </c>
      <c r="AJ249" s="148">
        <f t="shared" si="108"/>
        <v>91.789068</v>
      </c>
      <c r="AK249" s="148">
        <f t="shared" si="108"/>
        <v>91.789068</v>
      </c>
      <c r="AL249" s="148">
        <f t="shared" si="108"/>
        <v>91.789068</v>
      </c>
      <c r="AM249" s="148">
        <f t="shared" si="108"/>
        <v>91.789068</v>
      </c>
      <c r="AN249" s="148">
        <f t="shared" si="108"/>
        <v>91.789068</v>
      </c>
      <c r="AO249" s="148">
        <f t="shared" si="108"/>
        <v>91.789068</v>
      </c>
      <c r="AP249" s="148">
        <f t="shared" si="108"/>
        <v>91.789068</v>
      </c>
      <c r="AQ249" s="148">
        <f t="shared" si="108"/>
        <v>137.68360200000001</v>
      </c>
      <c r="AR249" s="148">
        <f t="shared" si="108"/>
        <v>75.634192032000001</v>
      </c>
      <c r="AS249" s="148">
        <f t="shared" si="108"/>
        <v>70.907055029999995</v>
      </c>
      <c r="AT249" s="148">
        <f t="shared" si="108"/>
        <v>94.542740039999998</v>
      </c>
      <c r="AU249" s="148">
        <f t="shared" si="108"/>
        <v>94.542740039999998</v>
      </c>
      <c r="AV249" s="148">
        <f t="shared" si="108"/>
        <v>94.542740039999998</v>
      </c>
      <c r="AW249" s="148">
        <f t="shared" si="108"/>
        <v>94.542740039999998</v>
      </c>
      <c r="AX249" s="148">
        <f t="shared" si="108"/>
        <v>94.542740039999998</v>
      </c>
      <c r="AY249" s="148">
        <f t="shared" si="108"/>
        <v>94.542740039999998</v>
      </c>
      <c r="AZ249" s="148">
        <f t="shared" si="108"/>
        <v>94.542740039999998</v>
      </c>
      <c r="BA249" s="148">
        <f t="shared" si="108"/>
        <v>94.542740039999998</v>
      </c>
      <c r="BB249" s="148">
        <f t="shared" si="108"/>
        <v>94.542740039999998</v>
      </c>
      <c r="BC249" s="148">
        <f t="shared" si="108"/>
        <v>141.81411005999999</v>
      </c>
      <c r="BD249" s="148">
        <f t="shared" si="108"/>
        <v>77.903217792959992</v>
      </c>
      <c r="BE249" s="148">
        <f t="shared" si="108"/>
        <v>73.034266680899989</v>
      </c>
      <c r="BF249" s="148">
        <f t="shared" si="108"/>
        <v>97.379022241199991</v>
      </c>
      <c r="BG249" s="148">
        <f t="shared" si="108"/>
        <v>97.379022241199991</v>
      </c>
      <c r="BH249" s="148">
        <f t="shared" si="108"/>
        <v>97.379022241199991</v>
      </c>
      <c r="BI249" s="148">
        <f t="shared" si="108"/>
        <v>97.379022241199991</v>
      </c>
      <c r="BJ249" s="148">
        <f t="shared" si="108"/>
        <v>111.29031113279999</v>
      </c>
      <c r="BK249" s="148">
        <f t="shared" si="108"/>
        <v>111.29031113279999</v>
      </c>
      <c r="BL249" s="148">
        <f t="shared" si="108"/>
        <v>111.29031113279999</v>
      </c>
      <c r="BM249" s="148">
        <f t="shared" si="108"/>
        <v>111.29031113279999</v>
      </c>
      <c r="BN249" s="148">
        <f t="shared" si="108"/>
        <v>111.29031113279999</v>
      </c>
      <c r="BO249" s="148">
        <f t="shared" si="108"/>
        <v>166.93546669919999</v>
      </c>
      <c r="BP249" s="148">
        <f t="shared" si="79"/>
        <v>5281.4430524838572</v>
      </c>
      <c r="BQ249" s="148"/>
    </row>
    <row r="250" spans="2:69" s="22" customFormat="1" outlineLevel="1">
      <c r="C250" s="22" t="str">
        <v>Datahaven</v>
      </c>
      <c r="D250" s="161">
        <f>SUMIFS('Existing Stores'!$G$9:$G$1008,'Existing Stores'!$D$9:$D$1008,Model!$C250)</f>
        <v>317</v>
      </c>
      <c r="E250" s="165">
        <f>(AVERAGEIFS('Existing Stores'!$G$9:$G$1008,'Existing Stores'!$D$9:$D$1008,Model!$C250))</f>
        <v>14.409090909090908</v>
      </c>
      <c r="F250" s="29" t="s">
        <v>119</v>
      </c>
      <c r="G250" s="167">
        <f t="shared" ref="G250:BO250" si="109">$E250*G130*G$120*G$118*G191</f>
        <v>475.5</v>
      </c>
      <c r="H250" s="148">
        <f t="shared" si="109"/>
        <v>261.20800000000003</v>
      </c>
      <c r="I250" s="148">
        <f t="shared" si="109"/>
        <v>244.88249999999999</v>
      </c>
      <c r="J250" s="148">
        <f t="shared" si="109"/>
        <v>326.51</v>
      </c>
      <c r="K250" s="148">
        <f t="shared" si="109"/>
        <v>341.3513636363636</v>
      </c>
      <c r="L250" s="148">
        <f t="shared" si="109"/>
        <v>341.3513636363636</v>
      </c>
      <c r="M250" s="148">
        <f t="shared" si="109"/>
        <v>341.3513636363636</v>
      </c>
      <c r="N250" s="148">
        <f t="shared" si="109"/>
        <v>341.3513636363636</v>
      </c>
      <c r="O250" s="148">
        <f t="shared" si="109"/>
        <v>341.3513636363636</v>
      </c>
      <c r="P250" s="148">
        <f t="shared" si="109"/>
        <v>341.3513636363636</v>
      </c>
      <c r="Q250" s="148">
        <f t="shared" si="109"/>
        <v>341.3513636363636</v>
      </c>
      <c r="R250" s="148">
        <f t="shared" si="109"/>
        <v>341.3513636363636</v>
      </c>
      <c r="S250" s="148">
        <f t="shared" si="109"/>
        <v>512.02704545454537</v>
      </c>
      <c r="T250" s="148">
        <f t="shared" si="109"/>
        <v>281.27352363636362</v>
      </c>
      <c r="U250" s="148">
        <f t="shared" si="109"/>
        <v>263.69392840909086</v>
      </c>
      <c r="V250" s="148">
        <f t="shared" si="109"/>
        <v>351.5919045454545</v>
      </c>
      <c r="W250" s="148">
        <f t="shared" si="109"/>
        <v>351.5919045454545</v>
      </c>
      <c r="X250" s="148">
        <f t="shared" si="109"/>
        <v>351.5919045454545</v>
      </c>
      <c r="Y250" s="148">
        <f t="shared" si="109"/>
        <v>351.5919045454545</v>
      </c>
      <c r="Z250" s="148">
        <f t="shared" si="109"/>
        <v>351.5919045454545</v>
      </c>
      <c r="AA250" s="148">
        <f t="shared" si="109"/>
        <v>351.5919045454545</v>
      </c>
      <c r="AB250" s="148">
        <f t="shared" si="109"/>
        <v>351.5919045454545</v>
      </c>
      <c r="AC250" s="148">
        <f t="shared" si="109"/>
        <v>351.5919045454545</v>
      </c>
      <c r="AD250" s="148">
        <f t="shared" si="109"/>
        <v>351.5919045454545</v>
      </c>
      <c r="AE250" s="148">
        <f t="shared" si="109"/>
        <v>527.38785681818172</v>
      </c>
      <c r="AF250" s="148">
        <f t="shared" si="109"/>
        <v>289.71172934545456</v>
      </c>
      <c r="AG250" s="148">
        <f t="shared" si="109"/>
        <v>271.60474626136363</v>
      </c>
      <c r="AH250" s="148">
        <f t="shared" si="109"/>
        <v>362.13966168181815</v>
      </c>
      <c r="AI250" s="148">
        <f t="shared" si="109"/>
        <v>362.13966168181815</v>
      </c>
      <c r="AJ250" s="148">
        <f t="shared" si="109"/>
        <v>362.13966168181815</v>
      </c>
      <c r="AK250" s="148">
        <f t="shared" si="109"/>
        <v>377.88486436363638</v>
      </c>
      <c r="AL250" s="148">
        <f t="shared" si="109"/>
        <v>377.88486436363638</v>
      </c>
      <c r="AM250" s="148">
        <f t="shared" si="109"/>
        <v>377.88486436363638</v>
      </c>
      <c r="AN250" s="148">
        <f t="shared" si="109"/>
        <v>377.88486436363638</v>
      </c>
      <c r="AO250" s="148">
        <f t="shared" si="109"/>
        <v>377.88486436363638</v>
      </c>
      <c r="AP250" s="148">
        <f t="shared" si="109"/>
        <v>377.88486436363638</v>
      </c>
      <c r="AQ250" s="148">
        <f t="shared" si="109"/>
        <v>566.8272965454546</v>
      </c>
      <c r="AR250" s="148">
        <f t="shared" si="109"/>
        <v>311.37712823563635</v>
      </c>
      <c r="AS250" s="148">
        <f t="shared" si="109"/>
        <v>291.91605772090907</v>
      </c>
      <c r="AT250" s="148">
        <f t="shared" si="109"/>
        <v>389.22141029454542</v>
      </c>
      <c r="AU250" s="148">
        <f t="shared" si="109"/>
        <v>389.22141029454542</v>
      </c>
      <c r="AV250" s="148">
        <f t="shared" si="109"/>
        <v>389.22141029454542</v>
      </c>
      <c r="AW250" s="148">
        <f t="shared" si="109"/>
        <v>389.22141029454542</v>
      </c>
      <c r="AX250" s="148">
        <f t="shared" si="109"/>
        <v>389.22141029454542</v>
      </c>
      <c r="AY250" s="148">
        <f t="shared" si="109"/>
        <v>389.22141029454542</v>
      </c>
      <c r="AZ250" s="148">
        <f t="shared" si="109"/>
        <v>389.22141029454542</v>
      </c>
      <c r="BA250" s="148">
        <f t="shared" si="109"/>
        <v>389.22141029454542</v>
      </c>
      <c r="BB250" s="148">
        <f t="shared" si="109"/>
        <v>389.22141029454542</v>
      </c>
      <c r="BC250" s="148">
        <f t="shared" si="109"/>
        <v>583.83211544181813</v>
      </c>
      <c r="BD250" s="148">
        <f t="shared" si="109"/>
        <v>320.71844208270545</v>
      </c>
      <c r="BE250" s="148">
        <f t="shared" si="109"/>
        <v>300.67353945253632</v>
      </c>
      <c r="BF250" s="148">
        <f t="shared" si="109"/>
        <v>400.89805260338176</v>
      </c>
      <c r="BG250" s="148">
        <f t="shared" si="109"/>
        <v>400.89805260338176</v>
      </c>
      <c r="BH250" s="148">
        <f t="shared" si="109"/>
        <v>400.89805260338176</v>
      </c>
      <c r="BI250" s="148">
        <f t="shared" si="109"/>
        <v>400.89805260338176</v>
      </c>
      <c r="BJ250" s="148">
        <f t="shared" si="109"/>
        <v>400.89805260338176</v>
      </c>
      <c r="BK250" s="148">
        <f t="shared" si="109"/>
        <v>417.60213812852265</v>
      </c>
      <c r="BL250" s="148">
        <f t="shared" si="109"/>
        <v>417.60213812852265</v>
      </c>
      <c r="BM250" s="148">
        <f t="shared" si="109"/>
        <v>417.60213812852265</v>
      </c>
      <c r="BN250" s="148">
        <f t="shared" si="109"/>
        <v>417.60213812852265</v>
      </c>
      <c r="BO250" s="148">
        <f t="shared" si="109"/>
        <v>626.40320719278395</v>
      </c>
      <c r="BP250" s="148">
        <f t="shared" si="79"/>
        <v>22406.804846006013</v>
      </c>
      <c r="BQ250" s="148"/>
    </row>
    <row r="251" spans="2:69" s="22" customFormat="1" outlineLevel="1">
      <c r="C251" s="22" t="str">
        <v>Etherport</v>
      </c>
      <c r="D251" s="161">
        <f>SUMIFS('Existing Stores'!$G$9:$G$1008,'Existing Stores'!$D$9:$D$1008,Model!$C251)</f>
        <v>37</v>
      </c>
      <c r="E251" s="165">
        <f>(AVERAGEIFS('Existing Stores'!$G$9:$G$1008,'Existing Stores'!$D$9:$D$1008,Model!$C251))</f>
        <v>12.333333333333334</v>
      </c>
      <c r="F251" s="29" t="s">
        <v>119</v>
      </c>
      <c r="G251" s="167">
        <f t="shared" ref="G251:BO251" si="110">$E251*G131*G$120*G$118*G192</f>
        <v>55.5</v>
      </c>
      <c r="H251" s="148">
        <f t="shared" si="110"/>
        <v>30.488000000000003</v>
      </c>
      <c r="I251" s="148">
        <f t="shared" si="110"/>
        <v>28.5825</v>
      </c>
      <c r="J251" s="148">
        <f t="shared" si="110"/>
        <v>38.11</v>
      </c>
      <c r="K251" s="148">
        <f t="shared" si="110"/>
        <v>38.11</v>
      </c>
      <c r="L251" s="148">
        <f t="shared" si="110"/>
        <v>50.81333333333334</v>
      </c>
      <c r="M251" s="148">
        <f t="shared" si="110"/>
        <v>50.81333333333334</v>
      </c>
      <c r="N251" s="148">
        <f t="shared" si="110"/>
        <v>50.81333333333334</v>
      </c>
      <c r="O251" s="148">
        <f t="shared" si="110"/>
        <v>50.81333333333334</v>
      </c>
      <c r="P251" s="148">
        <f t="shared" si="110"/>
        <v>50.81333333333334</v>
      </c>
      <c r="Q251" s="148">
        <f t="shared" si="110"/>
        <v>50.81333333333334</v>
      </c>
      <c r="R251" s="148">
        <f t="shared" si="110"/>
        <v>50.81333333333334</v>
      </c>
      <c r="S251" s="148">
        <f t="shared" si="110"/>
        <v>76.22</v>
      </c>
      <c r="T251" s="148">
        <f t="shared" si="110"/>
        <v>41.870186666666669</v>
      </c>
      <c r="U251" s="148">
        <f t="shared" si="110"/>
        <v>39.253299999999996</v>
      </c>
      <c r="V251" s="148">
        <f t="shared" si="110"/>
        <v>52.337733333333333</v>
      </c>
      <c r="W251" s="148">
        <f t="shared" si="110"/>
        <v>52.337733333333333</v>
      </c>
      <c r="X251" s="148">
        <f t="shared" si="110"/>
        <v>52.337733333333333</v>
      </c>
      <c r="Y251" s="148">
        <f t="shared" si="110"/>
        <v>52.337733333333333</v>
      </c>
      <c r="Z251" s="148">
        <f t="shared" si="110"/>
        <v>52.337733333333333</v>
      </c>
      <c r="AA251" s="148">
        <f t="shared" si="110"/>
        <v>52.337733333333333</v>
      </c>
      <c r="AB251" s="148">
        <f t="shared" si="110"/>
        <v>52.337733333333333</v>
      </c>
      <c r="AC251" s="148">
        <f t="shared" si="110"/>
        <v>52.337733333333333</v>
      </c>
      <c r="AD251" s="148">
        <f t="shared" si="110"/>
        <v>52.337733333333333</v>
      </c>
      <c r="AE251" s="148">
        <f t="shared" si="110"/>
        <v>78.506599999999992</v>
      </c>
      <c r="AF251" s="148">
        <f t="shared" si="110"/>
        <v>43.126292266666667</v>
      </c>
      <c r="AG251" s="148">
        <f t="shared" si="110"/>
        <v>40.430898999999997</v>
      </c>
      <c r="AH251" s="148">
        <f t="shared" si="110"/>
        <v>53.907865333333334</v>
      </c>
      <c r="AI251" s="148">
        <f t="shared" si="110"/>
        <v>53.907865333333334</v>
      </c>
      <c r="AJ251" s="148">
        <f t="shared" si="110"/>
        <v>53.907865333333334</v>
      </c>
      <c r="AK251" s="148">
        <f t="shared" si="110"/>
        <v>53.907865333333334</v>
      </c>
      <c r="AL251" s="148">
        <f t="shared" si="110"/>
        <v>67.38483166666667</v>
      </c>
      <c r="AM251" s="148">
        <f t="shared" si="110"/>
        <v>67.38483166666667</v>
      </c>
      <c r="AN251" s="148">
        <f t="shared" si="110"/>
        <v>67.38483166666667</v>
      </c>
      <c r="AO251" s="148">
        <f t="shared" si="110"/>
        <v>67.38483166666667</v>
      </c>
      <c r="AP251" s="148">
        <f t="shared" si="110"/>
        <v>67.38483166666667</v>
      </c>
      <c r="AQ251" s="148">
        <f t="shared" si="110"/>
        <v>101.0772475</v>
      </c>
      <c r="AR251" s="148">
        <f t="shared" si="110"/>
        <v>55.525101293333343</v>
      </c>
      <c r="AS251" s="148">
        <f t="shared" si="110"/>
        <v>52.054782462499993</v>
      </c>
      <c r="AT251" s="148">
        <f t="shared" si="110"/>
        <v>69.406376616666662</v>
      </c>
      <c r="AU251" s="148">
        <f t="shared" si="110"/>
        <v>69.406376616666662</v>
      </c>
      <c r="AV251" s="148">
        <f t="shared" si="110"/>
        <v>69.406376616666662</v>
      </c>
      <c r="AW251" s="148">
        <f t="shared" si="110"/>
        <v>69.406376616666662</v>
      </c>
      <c r="AX251" s="148">
        <f t="shared" si="110"/>
        <v>69.406376616666662</v>
      </c>
      <c r="AY251" s="148">
        <f t="shared" si="110"/>
        <v>69.406376616666662</v>
      </c>
      <c r="AZ251" s="148">
        <f t="shared" si="110"/>
        <v>69.406376616666662</v>
      </c>
      <c r="BA251" s="148">
        <f t="shared" si="110"/>
        <v>69.406376616666662</v>
      </c>
      <c r="BB251" s="148">
        <f t="shared" si="110"/>
        <v>69.406376616666662</v>
      </c>
      <c r="BC251" s="148">
        <f t="shared" si="110"/>
        <v>104.10956492499999</v>
      </c>
      <c r="BD251" s="148">
        <f t="shared" si="110"/>
        <v>57.190854332133334</v>
      </c>
      <c r="BE251" s="148">
        <f t="shared" si="110"/>
        <v>53.616425936374995</v>
      </c>
      <c r="BF251" s="148">
        <f t="shared" si="110"/>
        <v>71.488567915166669</v>
      </c>
      <c r="BG251" s="148">
        <f t="shared" si="110"/>
        <v>71.488567915166669</v>
      </c>
      <c r="BH251" s="148">
        <f t="shared" si="110"/>
        <v>71.488567915166669</v>
      </c>
      <c r="BI251" s="148">
        <f t="shared" si="110"/>
        <v>71.488567915166669</v>
      </c>
      <c r="BJ251" s="148">
        <f t="shared" si="110"/>
        <v>71.488567915166669</v>
      </c>
      <c r="BK251" s="148">
        <f t="shared" si="110"/>
        <v>71.488567915166669</v>
      </c>
      <c r="BL251" s="148">
        <f t="shared" si="110"/>
        <v>85.786281498199983</v>
      </c>
      <c r="BM251" s="148">
        <f t="shared" si="110"/>
        <v>85.786281498199983</v>
      </c>
      <c r="BN251" s="148">
        <f t="shared" si="110"/>
        <v>85.786281498199983</v>
      </c>
      <c r="BO251" s="148">
        <f t="shared" si="110"/>
        <v>128.67942224729998</v>
      </c>
      <c r="BP251" s="148">
        <f t="shared" si="79"/>
        <v>3697.1873711655767</v>
      </c>
      <c r="BQ251" s="148"/>
    </row>
    <row r="252" spans="2:69" s="22" customFormat="1" outlineLevel="1">
      <c r="C252" s="22" t="str">
        <v>Fiberfall</v>
      </c>
      <c r="D252" s="162">
        <f>SUMIFS('Existing Stores'!$G$9:$G$1008,'Existing Stores'!$D$9:$D$1008,Model!$C252)</f>
        <v>30</v>
      </c>
      <c r="E252" s="165">
        <f>(AVERAGEIFS('Existing Stores'!$G$9:$G$1008,'Existing Stores'!$D$9:$D$1008,Model!$C252))</f>
        <v>10</v>
      </c>
      <c r="F252" s="29" t="s">
        <v>119</v>
      </c>
      <c r="G252" s="167">
        <f t="shared" ref="G252:BO252" si="111">$E252*G132*G$120*G$118*G193</f>
        <v>45</v>
      </c>
      <c r="H252" s="148">
        <f t="shared" si="111"/>
        <v>24.72</v>
      </c>
      <c r="I252" s="148">
        <f t="shared" si="111"/>
        <v>23.175000000000001</v>
      </c>
      <c r="J252" s="148">
        <f t="shared" si="111"/>
        <v>30.900000000000002</v>
      </c>
      <c r="K252" s="148">
        <f t="shared" si="111"/>
        <v>30.900000000000002</v>
      </c>
      <c r="L252" s="148">
        <f t="shared" si="111"/>
        <v>30.900000000000002</v>
      </c>
      <c r="M252" s="148">
        <f t="shared" si="111"/>
        <v>32.96</v>
      </c>
      <c r="N252" s="148">
        <f t="shared" si="111"/>
        <v>32.96</v>
      </c>
      <c r="O252" s="148">
        <f t="shared" si="111"/>
        <v>32.96</v>
      </c>
      <c r="P252" s="148">
        <f t="shared" si="111"/>
        <v>32.96</v>
      </c>
      <c r="Q252" s="148">
        <f t="shared" si="111"/>
        <v>32.96</v>
      </c>
      <c r="R252" s="148">
        <f t="shared" si="111"/>
        <v>32.96</v>
      </c>
      <c r="S252" s="148">
        <f t="shared" si="111"/>
        <v>49.440000000000005</v>
      </c>
      <c r="T252" s="148">
        <f t="shared" si="111"/>
        <v>27.159040000000001</v>
      </c>
      <c r="U252" s="148">
        <f t="shared" si="111"/>
        <v>25.461600000000001</v>
      </c>
      <c r="V252" s="148">
        <f t="shared" si="111"/>
        <v>33.948799999999999</v>
      </c>
      <c r="W252" s="148">
        <f t="shared" si="111"/>
        <v>33.948799999999999</v>
      </c>
      <c r="X252" s="148">
        <f t="shared" si="111"/>
        <v>33.948799999999999</v>
      </c>
      <c r="Y252" s="148">
        <f t="shared" si="111"/>
        <v>33.948799999999999</v>
      </c>
      <c r="Z252" s="148">
        <f t="shared" si="111"/>
        <v>33.948799999999999</v>
      </c>
      <c r="AA252" s="148">
        <f t="shared" si="111"/>
        <v>33.948799999999999</v>
      </c>
      <c r="AB252" s="148">
        <f t="shared" si="111"/>
        <v>33.948799999999999</v>
      </c>
      <c r="AC252" s="148">
        <f t="shared" si="111"/>
        <v>33.948799999999999</v>
      </c>
      <c r="AD252" s="148">
        <f t="shared" si="111"/>
        <v>33.948799999999999</v>
      </c>
      <c r="AE252" s="148">
        <f t="shared" si="111"/>
        <v>50.923200000000001</v>
      </c>
      <c r="AF252" s="148">
        <f t="shared" si="111"/>
        <v>27.9738112</v>
      </c>
      <c r="AG252" s="148">
        <f t="shared" si="111"/>
        <v>26.225448</v>
      </c>
      <c r="AH252" s="148">
        <f t="shared" si="111"/>
        <v>34.967264</v>
      </c>
      <c r="AI252" s="148">
        <f t="shared" si="111"/>
        <v>34.967264</v>
      </c>
      <c r="AJ252" s="148">
        <f t="shared" si="111"/>
        <v>34.967264</v>
      </c>
      <c r="AK252" s="148">
        <f t="shared" si="111"/>
        <v>34.967264</v>
      </c>
      <c r="AL252" s="148">
        <f t="shared" si="111"/>
        <v>34.967264</v>
      </c>
      <c r="AM252" s="148">
        <f t="shared" si="111"/>
        <v>43.70908</v>
      </c>
      <c r="AN252" s="148">
        <f t="shared" si="111"/>
        <v>43.70908</v>
      </c>
      <c r="AO252" s="148">
        <f t="shared" si="111"/>
        <v>43.70908</v>
      </c>
      <c r="AP252" s="148">
        <f t="shared" si="111"/>
        <v>43.70908</v>
      </c>
      <c r="AQ252" s="148">
        <f t="shared" si="111"/>
        <v>65.56362</v>
      </c>
      <c r="AR252" s="148">
        <f t="shared" si="111"/>
        <v>36.016281919999997</v>
      </c>
      <c r="AS252" s="148">
        <f t="shared" si="111"/>
        <v>33.765264299999998</v>
      </c>
      <c r="AT252" s="148">
        <f t="shared" si="111"/>
        <v>45.0203524</v>
      </c>
      <c r="AU252" s="148">
        <f t="shared" si="111"/>
        <v>45.0203524</v>
      </c>
      <c r="AV252" s="148">
        <f t="shared" si="111"/>
        <v>45.0203524</v>
      </c>
      <c r="AW252" s="148">
        <f t="shared" si="111"/>
        <v>45.0203524</v>
      </c>
      <c r="AX252" s="148">
        <f t="shared" si="111"/>
        <v>45.0203524</v>
      </c>
      <c r="AY252" s="148">
        <f t="shared" si="111"/>
        <v>45.0203524</v>
      </c>
      <c r="AZ252" s="148">
        <f t="shared" si="111"/>
        <v>45.0203524</v>
      </c>
      <c r="BA252" s="148">
        <f t="shared" si="111"/>
        <v>45.0203524</v>
      </c>
      <c r="BB252" s="148">
        <f t="shared" si="111"/>
        <v>45.0203524</v>
      </c>
      <c r="BC252" s="148">
        <f t="shared" si="111"/>
        <v>67.530528599999997</v>
      </c>
      <c r="BD252" s="148">
        <f t="shared" si="111"/>
        <v>37.096770377599995</v>
      </c>
      <c r="BE252" s="148">
        <f t="shared" si="111"/>
        <v>34.778222228999994</v>
      </c>
      <c r="BF252" s="148">
        <f t="shared" si="111"/>
        <v>46.370962972000001</v>
      </c>
      <c r="BG252" s="148">
        <f t="shared" si="111"/>
        <v>46.370962972000001</v>
      </c>
      <c r="BH252" s="148">
        <f t="shared" si="111"/>
        <v>46.370962972000001</v>
      </c>
      <c r="BI252" s="148">
        <f t="shared" si="111"/>
        <v>46.370962972000001</v>
      </c>
      <c r="BJ252" s="148">
        <f t="shared" si="111"/>
        <v>46.370962972000001</v>
      </c>
      <c r="BK252" s="148">
        <f t="shared" si="111"/>
        <v>46.370962972000001</v>
      </c>
      <c r="BL252" s="148">
        <f t="shared" si="111"/>
        <v>46.370962972000001</v>
      </c>
      <c r="BM252" s="148">
        <f t="shared" si="111"/>
        <v>55.645155566399993</v>
      </c>
      <c r="BN252" s="148">
        <f t="shared" si="111"/>
        <v>55.645155566399993</v>
      </c>
      <c r="BO252" s="148">
        <f t="shared" si="111"/>
        <v>83.467733349599996</v>
      </c>
      <c r="BP252" s="148">
        <f t="shared" si="79"/>
        <v>2400.038583513001</v>
      </c>
      <c r="BQ252" s="148"/>
    </row>
    <row r="253" spans="2:69" s="22" customFormat="1" outlineLevel="1">
      <c r="C253" s="22" t="str">
        <v>Gigatown</v>
      </c>
      <c r="D253" s="161">
        <f>SUMIFS('Existing Stores'!$G$9:$G$1008,'Existing Stores'!$D$9:$D$1008,Model!$C253)</f>
        <v>936</v>
      </c>
      <c r="E253" s="165">
        <f>(AVERAGEIFS('Existing Stores'!$G$9:$G$1008,'Existing Stores'!$D$9:$D$1008,Model!$C253))</f>
        <v>14.4</v>
      </c>
      <c r="F253" s="29" t="s">
        <v>119</v>
      </c>
      <c r="G253" s="167">
        <f t="shared" ref="G253:BO253" si="112">$E253*G133*G$120*G$118*G194</f>
        <v>1404</v>
      </c>
      <c r="H253" s="148">
        <f t="shared" si="112"/>
        <v>771.26400000000012</v>
      </c>
      <c r="I253" s="148">
        <f t="shared" si="112"/>
        <v>723.06000000000006</v>
      </c>
      <c r="J253" s="148">
        <f t="shared" si="112"/>
        <v>964.08</v>
      </c>
      <c r="K253" s="148">
        <f t="shared" si="112"/>
        <v>964.08</v>
      </c>
      <c r="L253" s="148">
        <f t="shared" si="112"/>
        <v>964.08</v>
      </c>
      <c r="M253" s="148">
        <f t="shared" si="112"/>
        <v>964.08</v>
      </c>
      <c r="N253" s="148">
        <f t="shared" si="112"/>
        <v>978.91200000000003</v>
      </c>
      <c r="O253" s="148">
        <f t="shared" si="112"/>
        <v>978.91200000000003</v>
      </c>
      <c r="P253" s="148">
        <f t="shared" si="112"/>
        <v>978.91200000000003</v>
      </c>
      <c r="Q253" s="148">
        <f t="shared" si="112"/>
        <v>978.91200000000003</v>
      </c>
      <c r="R253" s="148">
        <f t="shared" si="112"/>
        <v>978.91200000000003</v>
      </c>
      <c r="S253" s="148">
        <f t="shared" si="112"/>
        <v>1468.3679999999999</v>
      </c>
      <c r="T253" s="148">
        <f t="shared" si="112"/>
        <v>806.62348800000007</v>
      </c>
      <c r="U253" s="148">
        <f t="shared" si="112"/>
        <v>756.20951999999988</v>
      </c>
      <c r="V253" s="148">
        <f t="shared" si="112"/>
        <v>1008.2793599999999</v>
      </c>
      <c r="W253" s="148">
        <f t="shared" si="112"/>
        <v>1008.2793599999999</v>
      </c>
      <c r="X253" s="148">
        <f t="shared" si="112"/>
        <v>1008.2793599999999</v>
      </c>
      <c r="Y253" s="148">
        <f t="shared" si="112"/>
        <v>1008.2793599999999</v>
      </c>
      <c r="Z253" s="148">
        <f t="shared" si="112"/>
        <v>1008.2793599999999</v>
      </c>
      <c r="AA253" s="148">
        <f t="shared" si="112"/>
        <v>1008.2793599999999</v>
      </c>
      <c r="AB253" s="148">
        <f t="shared" si="112"/>
        <v>1008.2793599999999</v>
      </c>
      <c r="AC253" s="148">
        <f t="shared" si="112"/>
        <v>1008.2793599999999</v>
      </c>
      <c r="AD253" s="148">
        <f t="shared" si="112"/>
        <v>1008.2793599999999</v>
      </c>
      <c r="AE253" s="148">
        <f t="shared" si="112"/>
        <v>1512.4190399999998</v>
      </c>
      <c r="AF253" s="148">
        <f t="shared" si="112"/>
        <v>830.82219264000003</v>
      </c>
      <c r="AG253" s="148">
        <f t="shared" si="112"/>
        <v>778.8958055999999</v>
      </c>
      <c r="AH253" s="148">
        <f t="shared" si="112"/>
        <v>1038.5277407999999</v>
      </c>
      <c r="AI253" s="148">
        <f t="shared" si="112"/>
        <v>1038.5277407999999</v>
      </c>
      <c r="AJ253" s="148">
        <f t="shared" si="112"/>
        <v>1038.5277407999999</v>
      </c>
      <c r="AK253" s="148">
        <f t="shared" si="112"/>
        <v>1038.5277407999999</v>
      </c>
      <c r="AL253" s="148">
        <f t="shared" si="112"/>
        <v>1038.5277407999999</v>
      </c>
      <c r="AM253" s="148">
        <f t="shared" si="112"/>
        <v>1038.5277407999999</v>
      </c>
      <c r="AN253" s="148">
        <f t="shared" si="112"/>
        <v>1054.2630096</v>
      </c>
      <c r="AO253" s="148">
        <f t="shared" si="112"/>
        <v>1054.2630096</v>
      </c>
      <c r="AP253" s="148">
        <f t="shared" si="112"/>
        <v>1054.2630096</v>
      </c>
      <c r="AQ253" s="148">
        <f t="shared" si="112"/>
        <v>1581.3945144000002</v>
      </c>
      <c r="AR253" s="148">
        <f t="shared" si="112"/>
        <v>868.7127199104001</v>
      </c>
      <c r="AS253" s="148">
        <f t="shared" si="112"/>
        <v>814.418174916</v>
      </c>
      <c r="AT253" s="148">
        <f t="shared" si="112"/>
        <v>1085.8908998879999</v>
      </c>
      <c r="AU253" s="148">
        <f t="shared" si="112"/>
        <v>1085.8908998879999</v>
      </c>
      <c r="AV253" s="148">
        <f t="shared" si="112"/>
        <v>1085.8908998879999</v>
      </c>
      <c r="AW253" s="148">
        <f t="shared" si="112"/>
        <v>1085.8908998879999</v>
      </c>
      <c r="AX253" s="148">
        <f t="shared" si="112"/>
        <v>1085.8908998879999</v>
      </c>
      <c r="AY253" s="148">
        <f t="shared" si="112"/>
        <v>1085.8908998879999</v>
      </c>
      <c r="AZ253" s="148">
        <f t="shared" si="112"/>
        <v>1085.8908998879999</v>
      </c>
      <c r="BA253" s="148">
        <f t="shared" si="112"/>
        <v>1085.8908998879999</v>
      </c>
      <c r="BB253" s="148">
        <f t="shared" si="112"/>
        <v>1085.8908998879999</v>
      </c>
      <c r="BC253" s="148">
        <f t="shared" si="112"/>
        <v>1628.836349832</v>
      </c>
      <c r="BD253" s="148">
        <f t="shared" si="112"/>
        <v>894.77410150771209</v>
      </c>
      <c r="BE253" s="148">
        <f t="shared" si="112"/>
        <v>838.85072016347988</v>
      </c>
      <c r="BF253" s="148">
        <f t="shared" si="112"/>
        <v>1118.4676268846399</v>
      </c>
      <c r="BG253" s="148">
        <f t="shared" si="112"/>
        <v>1118.4676268846399</v>
      </c>
      <c r="BH253" s="148">
        <f t="shared" si="112"/>
        <v>1118.4676268846399</v>
      </c>
      <c r="BI253" s="148">
        <f t="shared" si="112"/>
        <v>1118.4676268846399</v>
      </c>
      <c r="BJ253" s="148">
        <f t="shared" si="112"/>
        <v>1118.4676268846399</v>
      </c>
      <c r="BK253" s="148">
        <f t="shared" si="112"/>
        <v>1118.4676268846399</v>
      </c>
      <c r="BL253" s="148">
        <f t="shared" si="112"/>
        <v>1118.4676268846399</v>
      </c>
      <c r="BM253" s="148">
        <f t="shared" si="112"/>
        <v>1118.4676268846399</v>
      </c>
      <c r="BN253" s="148">
        <f t="shared" si="112"/>
        <v>1135.1611735545598</v>
      </c>
      <c r="BO253" s="148">
        <f t="shared" si="112"/>
        <v>1702.7417603318399</v>
      </c>
      <c r="BP253" s="148">
        <f t="shared" si="79"/>
        <v>63052.660388525102</v>
      </c>
      <c r="BQ253" s="148"/>
    </row>
    <row r="254" spans="2:69" s="22" customFormat="1" outlineLevel="1">
      <c r="C254" s="22" t="str">
        <v>Hexavale</v>
      </c>
      <c r="D254" s="161">
        <f>SUMIFS('Existing Stores'!$G$9:$G$1008,'Existing Stores'!$D$9:$D$1008,Model!$C254)</f>
        <v>4592</v>
      </c>
      <c r="E254" s="165">
        <f>(AVERAGEIFS('Existing Stores'!$G$9:$G$1008,'Existing Stores'!$D$9:$D$1008,Model!$C254))</f>
        <v>14.765273311897106</v>
      </c>
      <c r="F254" s="29" t="s">
        <v>119</v>
      </c>
      <c r="G254" s="167">
        <f t="shared" ref="G254:BO254" si="113">$E254*G134*G$120*G$118*G195</f>
        <v>6888</v>
      </c>
      <c r="H254" s="148">
        <f t="shared" si="113"/>
        <v>3783.8080000000004</v>
      </c>
      <c r="I254" s="148">
        <f t="shared" si="113"/>
        <v>3547.32</v>
      </c>
      <c r="J254" s="148">
        <f t="shared" si="113"/>
        <v>4729.76</v>
      </c>
      <c r="K254" s="148">
        <f t="shared" si="113"/>
        <v>4729.76</v>
      </c>
      <c r="L254" s="148">
        <f t="shared" si="113"/>
        <v>4729.76</v>
      </c>
      <c r="M254" s="148">
        <f t="shared" si="113"/>
        <v>4729.76</v>
      </c>
      <c r="N254" s="148">
        <f t="shared" si="113"/>
        <v>4729.76</v>
      </c>
      <c r="O254" s="148">
        <f t="shared" si="113"/>
        <v>4744.9682315112541</v>
      </c>
      <c r="P254" s="148">
        <f t="shared" si="113"/>
        <v>4744.9682315112541</v>
      </c>
      <c r="Q254" s="148">
        <f t="shared" si="113"/>
        <v>4744.9682315112541</v>
      </c>
      <c r="R254" s="148">
        <f t="shared" si="113"/>
        <v>4744.9682315112541</v>
      </c>
      <c r="S254" s="148">
        <f t="shared" si="113"/>
        <v>7117.4523472668807</v>
      </c>
      <c r="T254" s="148">
        <f t="shared" si="113"/>
        <v>3909.853822765273</v>
      </c>
      <c r="U254" s="148">
        <f t="shared" si="113"/>
        <v>3665.4879588424433</v>
      </c>
      <c r="V254" s="148">
        <f t="shared" si="113"/>
        <v>4887.3172784565913</v>
      </c>
      <c r="W254" s="148">
        <f t="shared" si="113"/>
        <v>4887.3172784565913</v>
      </c>
      <c r="X254" s="148">
        <f t="shared" si="113"/>
        <v>4887.3172784565913</v>
      </c>
      <c r="Y254" s="148">
        <f t="shared" si="113"/>
        <v>4887.3172784565913</v>
      </c>
      <c r="Z254" s="148">
        <f t="shared" si="113"/>
        <v>4887.3172784565913</v>
      </c>
      <c r="AA254" s="148">
        <f t="shared" si="113"/>
        <v>4887.3172784565913</v>
      </c>
      <c r="AB254" s="148">
        <f t="shared" si="113"/>
        <v>4887.3172784565913</v>
      </c>
      <c r="AC254" s="148">
        <f t="shared" si="113"/>
        <v>4887.3172784565913</v>
      </c>
      <c r="AD254" s="148">
        <f t="shared" si="113"/>
        <v>4887.3172784565913</v>
      </c>
      <c r="AE254" s="148">
        <f t="shared" si="113"/>
        <v>7330.9759176848866</v>
      </c>
      <c r="AF254" s="148">
        <f t="shared" si="113"/>
        <v>4027.1494374482313</v>
      </c>
      <c r="AG254" s="148">
        <f t="shared" si="113"/>
        <v>3775.4525976077171</v>
      </c>
      <c r="AH254" s="148">
        <f t="shared" si="113"/>
        <v>5033.9367968102888</v>
      </c>
      <c r="AI254" s="148">
        <f t="shared" si="113"/>
        <v>5033.9367968102888</v>
      </c>
      <c r="AJ254" s="148">
        <f t="shared" si="113"/>
        <v>5033.9367968102888</v>
      </c>
      <c r="AK254" s="148">
        <f t="shared" si="113"/>
        <v>5033.9367968102888</v>
      </c>
      <c r="AL254" s="148">
        <f t="shared" si="113"/>
        <v>5033.9367968102888</v>
      </c>
      <c r="AM254" s="148">
        <f t="shared" si="113"/>
        <v>5033.9367968102888</v>
      </c>
      <c r="AN254" s="148">
        <f t="shared" si="113"/>
        <v>5033.9367968102888</v>
      </c>
      <c r="AO254" s="148">
        <f t="shared" si="113"/>
        <v>5050.0712096205789</v>
      </c>
      <c r="AP254" s="148">
        <f t="shared" si="113"/>
        <v>5050.0712096205789</v>
      </c>
      <c r="AQ254" s="148">
        <f t="shared" si="113"/>
        <v>7575.1068144308674</v>
      </c>
      <c r="AR254" s="148">
        <f t="shared" si="113"/>
        <v>4161.2586767273569</v>
      </c>
      <c r="AS254" s="148">
        <f t="shared" si="113"/>
        <v>3901.1800094318965</v>
      </c>
      <c r="AT254" s="148">
        <f t="shared" si="113"/>
        <v>5201.5733459091953</v>
      </c>
      <c r="AU254" s="148">
        <f t="shared" si="113"/>
        <v>5201.5733459091953</v>
      </c>
      <c r="AV254" s="148">
        <f t="shared" si="113"/>
        <v>5201.5733459091953</v>
      </c>
      <c r="AW254" s="148">
        <f t="shared" si="113"/>
        <v>5201.5733459091953</v>
      </c>
      <c r="AX254" s="148">
        <f t="shared" si="113"/>
        <v>5201.5733459091953</v>
      </c>
      <c r="AY254" s="148">
        <f t="shared" si="113"/>
        <v>5201.5733459091953</v>
      </c>
      <c r="AZ254" s="148">
        <f t="shared" si="113"/>
        <v>5201.5733459091953</v>
      </c>
      <c r="BA254" s="148">
        <f t="shared" si="113"/>
        <v>5201.5733459091953</v>
      </c>
      <c r="BB254" s="148">
        <f t="shared" si="113"/>
        <v>5201.5733459091953</v>
      </c>
      <c r="BC254" s="148">
        <f t="shared" si="113"/>
        <v>7802.3600188637929</v>
      </c>
      <c r="BD254" s="148">
        <f t="shared" si="113"/>
        <v>4286.0964370291767</v>
      </c>
      <c r="BE254" s="148">
        <f t="shared" si="113"/>
        <v>4018.2154097148532</v>
      </c>
      <c r="BF254" s="148">
        <f t="shared" si="113"/>
        <v>5357.6205462864709</v>
      </c>
      <c r="BG254" s="148">
        <f t="shared" si="113"/>
        <v>5357.6205462864709</v>
      </c>
      <c r="BH254" s="148">
        <f t="shared" si="113"/>
        <v>5357.6205462864709</v>
      </c>
      <c r="BI254" s="148">
        <f t="shared" si="113"/>
        <v>5357.6205462864709</v>
      </c>
      <c r="BJ254" s="148">
        <f t="shared" si="113"/>
        <v>5357.6205462864709</v>
      </c>
      <c r="BK254" s="148">
        <f t="shared" si="113"/>
        <v>5357.6205462864709</v>
      </c>
      <c r="BL254" s="148">
        <f t="shared" si="113"/>
        <v>5357.6205462864709</v>
      </c>
      <c r="BM254" s="148">
        <f t="shared" si="113"/>
        <v>5357.6205462864709</v>
      </c>
      <c r="BN254" s="148">
        <f t="shared" si="113"/>
        <v>5357.6205462864709</v>
      </c>
      <c r="BO254" s="148">
        <f t="shared" si="113"/>
        <v>8062.1063172553622</v>
      </c>
      <c r="BP254" s="148">
        <f t="shared" si="79"/>
        <v>303948.79722389719</v>
      </c>
      <c r="BQ254" s="148"/>
    </row>
    <row r="255" spans="2:69" s="22" customFormat="1" outlineLevel="1">
      <c r="C255" s="22" t="str">
        <v>Input City</v>
      </c>
      <c r="D255" s="161">
        <f>SUMIFS('Existing Stores'!$G$9:$G$1008,'Existing Stores'!$D$9:$D$1008,Model!$C255)</f>
        <v>235</v>
      </c>
      <c r="E255" s="165">
        <f>(AVERAGEIFS('Existing Stores'!$G$9:$G$1008,'Existing Stores'!$D$9:$D$1008,Model!$C255))</f>
        <v>13.823529411764707</v>
      </c>
      <c r="F255" s="29" t="s">
        <v>119</v>
      </c>
      <c r="G255" s="167">
        <f t="shared" ref="G255:BO255" si="114">$E255*G135*G$120*G$118*G196</f>
        <v>352.5</v>
      </c>
      <c r="H255" s="148">
        <f t="shared" si="114"/>
        <v>193.64000000000001</v>
      </c>
      <c r="I255" s="148">
        <f t="shared" si="114"/>
        <v>181.53749999999999</v>
      </c>
      <c r="J255" s="148">
        <f t="shared" si="114"/>
        <v>242.05</v>
      </c>
      <c r="K255" s="148">
        <f t="shared" si="114"/>
        <v>242.05</v>
      </c>
      <c r="L255" s="148">
        <f t="shared" si="114"/>
        <v>242.05</v>
      </c>
      <c r="M255" s="148">
        <f t="shared" si="114"/>
        <v>242.05</v>
      </c>
      <c r="N255" s="148">
        <f t="shared" si="114"/>
        <v>242.05</v>
      </c>
      <c r="O255" s="148">
        <f t="shared" si="114"/>
        <v>242.05</v>
      </c>
      <c r="P255" s="148">
        <f t="shared" si="114"/>
        <v>256.28823529411767</v>
      </c>
      <c r="Q255" s="148">
        <f t="shared" si="114"/>
        <v>256.28823529411767</v>
      </c>
      <c r="R255" s="148">
        <f t="shared" si="114"/>
        <v>256.28823529411767</v>
      </c>
      <c r="S255" s="148">
        <f t="shared" si="114"/>
        <v>384.43235294117648</v>
      </c>
      <c r="T255" s="148">
        <f t="shared" si="114"/>
        <v>211.18150588235298</v>
      </c>
      <c r="U255" s="148">
        <f t="shared" si="114"/>
        <v>197.98266176470588</v>
      </c>
      <c r="V255" s="148">
        <f t="shared" si="114"/>
        <v>263.97688235294117</v>
      </c>
      <c r="W255" s="148">
        <f t="shared" si="114"/>
        <v>263.97688235294117</v>
      </c>
      <c r="X255" s="148">
        <f t="shared" si="114"/>
        <v>263.97688235294117</v>
      </c>
      <c r="Y255" s="148">
        <f t="shared" si="114"/>
        <v>263.97688235294117</v>
      </c>
      <c r="Z255" s="148">
        <f t="shared" si="114"/>
        <v>263.97688235294117</v>
      </c>
      <c r="AA255" s="148">
        <f t="shared" si="114"/>
        <v>263.97688235294117</v>
      </c>
      <c r="AB255" s="148">
        <f t="shared" si="114"/>
        <v>263.97688235294117</v>
      </c>
      <c r="AC255" s="148">
        <f t="shared" si="114"/>
        <v>263.97688235294117</v>
      </c>
      <c r="AD255" s="148">
        <f t="shared" si="114"/>
        <v>263.97688235294117</v>
      </c>
      <c r="AE255" s="148">
        <f t="shared" si="114"/>
        <v>395.96532352941176</v>
      </c>
      <c r="AF255" s="148">
        <f t="shared" si="114"/>
        <v>217.51695105882357</v>
      </c>
      <c r="AG255" s="148">
        <f t="shared" si="114"/>
        <v>203.92214161764707</v>
      </c>
      <c r="AH255" s="148">
        <f t="shared" si="114"/>
        <v>271.89618882352943</v>
      </c>
      <c r="AI255" s="148">
        <f t="shared" si="114"/>
        <v>271.89618882352943</v>
      </c>
      <c r="AJ255" s="148">
        <f t="shared" si="114"/>
        <v>271.89618882352943</v>
      </c>
      <c r="AK255" s="148">
        <f t="shared" si="114"/>
        <v>271.89618882352943</v>
      </c>
      <c r="AL255" s="148">
        <f t="shared" si="114"/>
        <v>271.89618882352943</v>
      </c>
      <c r="AM255" s="148">
        <f t="shared" si="114"/>
        <v>271.89618882352943</v>
      </c>
      <c r="AN255" s="148">
        <f t="shared" si="114"/>
        <v>271.89618882352943</v>
      </c>
      <c r="AO255" s="148">
        <f t="shared" si="114"/>
        <v>271.89618882352943</v>
      </c>
      <c r="AP255" s="148">
        <f t="shared" si="114"/>
        <v>287.00153264705887</v>
      </c>
      <c r="AQ255" s="148">
        <f t="shared" si="114"/>
        <v>430.50229897058824</v>
      </c>
      <c r="AR255" s="148">
        <f t="shared" si="114"/>
        <v>236.48926290117649</v>
      </c>
      <c r="AS255" s="148">
        <f t="shared" si="114"/>
        <v>221.70868396985293</v>
      </c>
      <c r="AT255" s="148">
        <f t="shared" si="114"/>
        <v>295.61157862647059</v>
      </c>
      <c r="AU255" s="148">
        <f t="shared" si="114"/>
        <v>295.61157862647059</v>
      </c>
      <c r="AV255" s="148">
        <f t="shared" si="114"/>
        <v>295.61157862647059</v>
      </c>
      <c r="AW255" s="148">
        <f t="shared" si="114"/>
        <v>295.61157862647059</v>
      </c>
      <c r="AX255" s="148">
        <f t="shared" si="114"/>
        <v>295.61157862647059</v>
      </c>
      <c r="AY255" s="148">
        <f t="shared" si="114"/>
        <v>295.61157862647059</v>
      </c>
      <c r="AZ255" s="148">
        <f t="shared" si="114"/>
        <v>295.61157862647059</v>
      </c>
      <c r="BA255" s="148">
        <f t="shared" si="114"/>
        <v>295.61157862647059</v>
      </c>
      <c r="BB255" s="148">
        <f t="shared" si="114"/>
        <v>295.61157862647059</v>
      </c>
      <c r="BC255" s="148">
        <f t="shared" si="114"/>
        <v>443.41736793970585</v>
      </c>
      <c r="BD255" s="148">
        <f t="shared" si="114"/>
        <v>243.58394078821178</v>
      </c>
      <c r="BE255" s="148">
        <f t="shared" si="114"/>
        <v>228.35994448894851</v>
      </c>
      <c r="BF255" s="148">
        <f t="shared" si="114"/>
        <v>304.47992598526469</v>
      </c>
      <c r="BG255" s="148">
        <f t="shared" si="114"/>
        <v>304.47992598526469</v>
      </c>
      <c r="BH255" s="148">
        <f t="shared" si="114"/>
        <v>304.47992598526469</v>
      </c>
      <c r="BI255" s="148">
        <f t="shared" si="114"/>
        <v>304.47992598526469</v>
      </c>
      <c r="BJ255" s="148">
        <f t="shared" si="114"/>
        <v>304.47992598526469</v>
      </c>
      <c r="BK255" s="148">
        <f t="shared" si="114"/>
        <v>304.47992598526469</v>
      </c>
      <c r="BL255" s="148">
        <f t="shared" si="114"/>
        <v>304.47992598526469</v>
      </c>
      <c r="BM255" s="148">
        <f t="shared" si="114"/>
        <v>304.47992598526469</v>
      </c>
      <c r="BN255" s="148">
        <f t="shared" si="114"/>
        <v>304.47992598526469</v>
      </c>
      <c r="BO255" s="148">
        <f t="shared" si="114"/>
        <v>456.71988897789703</v>
      </c>
      <c r="BP255" s="148">
        <f t="shared" si="79"/>
        <v>16706.911056630237</v>
      </c>
      <c r="BQ255" s="148"/>
    </row>
    <row r="256" spans="2:69" s="22" customFormat="1" outlineLevel="1">
      <c r="C256" s="22" t="str">
        <v>Junction Core</v>
      </c>
      <c r="D256" s="161">
        <f>SUMIFS('Existing Stores'!$G$9:$G$1008,'Existing Stores'!$D$9:$D$1008,Model!$C256)</f>
        <v>170</v>
      </c>
      <c r="E256" s="165">
        <f>(AVERAGEIFS('Existing Stores'!$G$9:$G$1008,'Existing Stores'!$D$9:$D$1008,Model!$C256))</f>
        <v>21.25</v>
      </c>
      <c r="F256" s="29" t="s">
        <v>119</v>
      </c>
      <c r="G256" s="167">
        <f t="shared" ref="G256:BO256" si="115">$E256*G136*G$120*G$118*G197</f>
        <v>255</v>
      </c>
      <c r="H256" s="148">
        <f t="shared" si="115"/>
        <v>140.08000000000001</v>
      </c>
      <c r="I256" s="148">
        <f t="shared" si="115"/>
        <v>131.32500000000002</v>
      </c>
      <c r="J256" s="148">
        <f t="shared" si="115"/>
        <v>175.1</v>
      </c>
      <c r="K256" s="148">
        <f t="shared" si="115"/>
        <v>175.1</v>
      </c>
      <c r="L256" s="148">
        <f t="shared" si="115"/>
        <v>175.1</v>
      </c>
      <c r="M256" s="148">
        <f t="shared" si="115"/>
        <v>175.1</v>
      </c>
      <c r="N256" s="148">
        <f t="shared" si="115"/>
        <v>175.1</v>
      </c>
      <c r="O256" s="148">
        <f t="shared" si="115"/>
        <v>175.1</v>
      </c>
      <c r="P256" s="148">
        <f t="shared" si="115"/>
        <v>175.1</v>
      </c>
      <c r="Q256" s="148">
        <f t="shared" si="115"/>
        <v>196.98750000000001</v>
      </c>
      <c r="R256" s="148">
        <f t="shared" si="115"/>
        <v>196.98750000000001</v>
      </c>
      <c r="S256" s="148">
        <f t="shared" si="115"/>
        <v>295.48124999999999</v>
      </c>
      <c r="T256" s="148">
        <f t="shared" si="115"/>
        <v>162.3177</v>
      </c>
      <c r="U256" s="148">
        <f t="shared" si="115"/>
        <v>152.17284375</v>
      </c>
      <c r="V256" s="148">
        <f t="shared" si="115"/>
        <v>202.89712499999999</v>
      </c>
      <c r="W256" s="148">
        <f t="shared" si="115"/>
        <v>202.89712499999999</v>
      </c>
      <c r="X256" s="148">
        <f t="shared" si="115"/>
        <v>202.89712499999999</v>
      </c>
      <c r="Y256" s="148">
        <f t="shared" si="115"/>
        <v>202.89712499999999</v>
      </c>
      <c r="Z256" s="148">
        <f t="shared" si="115"/>
        <v>202.89712499999999</v>
      </c>
      <c r="AA256" s="148">
        <f t="shared" si="115"/>
        <v>202.89712499999999</v>
      </c>
      <c r="AB256" s="148">
        <f t="shared" si="115"/>
        <v>202.89712499999999</v>
      </c>
      <c r="AC256" s="148">
        <f t="shared" si="115"/>
        <v>202.89712499999999</v>
      </c>
      <c r="AD256" s="148">
        <f t="shared" si="115"/>
        <v>202.89712499999999</v>
      </c>
      <c r="AE256" s="148">
        <f t="shared" si="115"/>
        <v>304.3456875</v>
      </c>
      <c r="AF256" s="148">
        <f t="shared" si="115"/>
        <v>167.187231</v>
      </c>
      <c r="AG256" s="148">
        <f t="shared" si="115"/>
        <v>156.7380290625</v>
      </c>
      <c r="AH256" s="148">
        <f t="shared" si="115"/>
        <v>208.98403875</v>
      </c>
      <c r="AI256" s="148">
        <f t="shared" si="115"/>
        <v>208.98403875</v>
      </c>
      <c r="AJ256" s="148">
        <f t="shared" si="115"/>
        <v>208.98403875</v>
      </c>
      <c r="AK256" s="148">
        <f t="shared" si="115"/>
        <v>208.98403875</v>
      </c>
      <c r="AL256" s="148">
        <f t="shared" si="115"/>
        <v>208.98403875</v>
      </c>
      <c r="AM256" s="148">
        <f t="shared" si="115"/>
        <v>208.98403875</v>
      </c>
      <c r="AN256" s="148">
        <f t="shared" si="115"/>
        <v>208.98403875</v>
      </c>
      <c r="AO256" s="148">
        <f t="shared" si="115"/>
        <v>208.98403875</v>
      </c>
      <c r="AP256" s="148">
        <f t="shared" si="115"/>
        <v>208.98403875</v>
      </c>
      <c r="AQ256" s="148">
        <f t="shared" si="115"/>
        <v>348.30673124999998</v>
      </c>
      <c r="AR256" s="148">
        <f t="shared" si="115"/>
        <v>191.3364977</v>
      </c>
      <c r="AS256" s="148">
        <f t="shared" si="115"/>
        <v>179.37796659374999</v>
      </c>
      <c r="AT256" s="148">
        <f t="shared" si="115"/>
        <v>239.17062212499999</v>
      </c>
      <c r="AU256" s="148">
        <f t="shared" si="115"/>
        <v>239.17062212499999</v>
      </c>
      <c r="AV256" s="148">
        <f t="shared" si="115"/>
        <v>239.17062212499999</v>
      </c>
      <c r="AW256" s="148">
        <f t="shared" si="115"/>
        <v>239.17062212499999</v>
      </c>
      <c r="AX256" s="148">
        <f t="shared" si="115"/>
        <v>239.17062212499999</v>
      </c>
      <c r="AY256" s="148">
        <f t="shared" si="115"/>
        <v>239.17062212499999</v>
      </c>
      <c r="AZ256" s="148">
        <f t="shared" si="115"/>
        <v>239.17062212499999</v>
      </c>
      <c r="BA256" s="148">
        <f t="shared" si="115"/>
        <v>239.17062212499999</v>
      </c>
      <c r="BB256" s="148">
        <f t="shared" si="115"/>
        <v>239.17062212499999</v>
      </c>
      <c r="BC256" s="148">
        <f t="shared" si="115"/>
        <v>358.75593318749998</v>
      </c>
      <c r="BD256" s="148">
        <f t="shared" si="115"/>
        <v>197.07659263099998</v>
      </c>
      <c r="BE256" s="148">
        <f t="shared" si="115"/>
        <v>184.75930559156248</v>
      </c>
      <c r="BF256" s="148">
        <f t="shared" si="115"/>
        <v>246.34574078874996</v>
      </c>
      <c r="BG256" s="148">
        <f t="shared" si="115"/>
        <v>246.34574078874996</v>
      </c>
      <c r="BH256" s="148">
        <f t="shared" si="115"/>
        <v>246.34574078874996</v>
      </c>
      <c r="BI256" s="148">
        <f t="shared" si="115"/>
        <v>246.34574078874996</v>
      </c>
      <c r="BJ256" s="148">
        <f t="shared" si="115"/>
        <v>246.34574078874996</v>
      </c>
      <c r="BK256" s="148">
        <f t="shared" si="115"/>
        <v>246.34574078874996</v>
      </c>
      <c r="BL256" s="148">
        <f t="shared" si="115"/>
        <v>246.34574078874996</v>
      </c>
      <c r="BM256" s="148">
        <f t="shared" si="115"/>
        <v>246.34574078874996</v>
      </c>
      <c r="BN256" s="148">
        <f t="shared" si="115"/>
        <v>246.34574078874996</v>
      </c>
      <c r="BO256" s="148">
        <f t="shared" si="115"/>
        <v>369.51861118312496</v>
      </c>
      <c r="BP256" s="148">
        <f t="shared" si="79"/>
        <v>13035.032119423195</v>
      </c>
      <c r="BQ256" s="148"/>
    </row>
    <row r="257" spans="3:69" s="22" customFormat="1" outlineLevel="1">
      <c r="C257" s="22" t="str">
        <v>Kernel Heights</v>
      </c>
      <c r="D257" s="161">
        <f>SUMIFS('Existing Stores'!$G$9:$G$1008,'Existing Stores'!$D$9:$D$1008,Model!$C257)</f>
        <v>52</v>
      </c>
      <c r="E257" s="165">
        <f>(AVERAGEIFS('Existing Stores'!$G$9:$G$1008,'Existing Stores'!$D$9:$D$1008,Model!$C257))</f>
        <v>17.333333333333332</v>
      </c>
      <c r="F257" s="29" t="s">
        <v>119</v>
      </c>
      <c r="G257" s="167">
        <f t="shared" ref="G257:BO257" si="116">$E257*G137*G$120*G$118*G198</f>
        <v>78</v>
      </c>
      <c r="H257" s="148">
        <f t="shared" si="116"/>
        <v>42.848000000000006</v>
      </c>
      <c r="I257" s="148">
        <f t="shared" si="116"/>
        <v>40.17</v>
      </c>
      <c r="J257" s="148">
        <f t="shared" si="116"/>
        <v>53.56</v>
      </c>
      <c r="K257" s="148">
        <f t="shared" si="116"/>
        <v>53.56</v>
      </c>
      <c r="L257" s="148">
        <f t="shared" si="116"/>
        <v>53.56</v>
      </c>
      <c r="M257" s="148">
        <f t="shared" si="116"/>
        <v>53.56</v>
      </c>
      <c r="N257" s="148">
        <f t="shared" si="116"/>
        <v>53.56</v>
      </c>
      <c r="O257" s="148">
        <f t="shared" si="116"/>
        <v>53.56</v>
      </c>
      <c r="P257" s="148">
        <f t="shared" si="116"/>
        <v>53.56</v>
      </c>
      <c r="Q257" s="148">
        <f t="shared" si="116"/>
        <v>53.56</v>
      </c>
      <c r="R257" s="148">
        <f t="shared" si="116"/>
        <v>71.413333333333327</v>
      </c>
      <c r="S257" s="148">
        <f t="shared" si="116"/>
        <v>107.12</v>
      </c>
      <c r="T257" s="148">
        <f t="shared" si="116"/>
        <v>58.844586666666665</v>
      </c>
      <c r="U257" s="148">
        <f t="shared" si="116"/>
        <v>55.166799999999995</v>
      </c>
      <c r="V257" s="148">
        <f t="shared" si="116"/>
        <v>73.555733333333322</v>
      </c>
      <c r="W257" s="148">
        <f t="shared" si="116"/>
        <v>73.555733333333322</v>
      </c>
      <c r="X257" s="148">
        <f t="shared" si="116"/>
        <v>73.555733333333322</v>
      </c>
      <c r="Y257" s="148">
        <f t="shared" si="116"/>
        <v>73.555733333333322</v>
      </c>
      <c r="Z257" s="148">
        <f t="shared" si="116"/>
        <v>73.555733333333322</v>
      </c>
      <c r="AA257" s="148">
        <f t="shared" si="116"/>
        <v>73.555733333333322</v>
      </c>
      <c r="AB257" s="148">
        <f t="shared" si="116"/>
        <v>73.555733333333322</v>
      </c>
      <c r="AC257" s="148">
        <f t="shared" si="116"/>
        <v>73.555733333333322</v>
      </c>
      <c r="AD257" s="148">
        <f t="shared" si="116"/>
        <v>73.555733333333322</v>
      </c>
      <c r="AE257" s="148">
        <f t="shared" si="116"/>
        <v>110.33359999999999</v>
      </c>
      <c r="AF257" s="148">
        <f t="shared" si="116"/>
        <v>60.609924266666667</v>
      </c>
      <c r="AG257" s="148">
        <f t="shared" si="116"/>
        <v>56.821804</v>
      </c>
      <c r="AH257" s="148">
        <f t="shared" si="116"/>
        <v>75.762405333333334</v>
      </c>
      <c r="AI257" s="148">
        <f t="shared" si="116"/>
        <v>75.762405333333334</v>
      </c>
      <c r="AJ257" s="148">
        <f t="shared" si="116"/>
        <v>75.762405333333334</v>
      </c>
      <c r="AK257" s="148">
        <f t="shared" si="116"/>
        <v>75.762405333333334</v>
      </c>
      <c r="AL257" s="148">
        <f t="shared" si="116"/>
        <v>75.762405333333334</v>
      </c>
      <c r="AM257" s="148">
        <f t="shared" si="116"/>
        <v>75.762405333333334</v>
      </c>
      <c r="AN257" s="148">
        <f t="shared" si="116"/>
        <v>75.762405333333334</v>
      </c>
      <c r="AO257" s="148">
        <f t="shared" si="116"/>
        <v>75.762405333333334</v>
      </c>
      <c r="AP257" s="148">
        <f t="shared" si="116"/>
        <v>75.762405333333334</v>
      </c>
      <c r="AQ257" s="148">
        <f t="shared" si="116"/>
        <v>113.643608</v>
      </c>
      <c r="AR257" s="148">
        <f t="shared" si="116"/>
        <v>78.035277493333325</v>
      </c>
      <c r="AS257" s="148">
        <f t="shared" si="116"/>
        <v>73.158072649999994</v>
      </c>
      <c r="AT257" s="148">
        <f t="shared" si="116"/>
        <v>97.544096866666649</v>
      </c>
      <c r="AU257" s="148">
        <f t="shared" si="116"/>
        <v>97.544096866666649</v>
      </c>
      <c r="AV257" s="148">
        <f t="shared" si="116"/>
        <v>97.544096866666649</v>
      </c>
      <c r="AW257" s="148">
        <f t="shared" si="116"/>
        <v>97.544096866666649</v>
      </c>
      <c r="AX257" s="148">
        <f t="shared" si="116"/>
        <v>97.544096866666649</v>
      </c>
      <c r="AY257" s="148">
        <f t="shared" si="116"/>
        <v>97.544096866666649</v>
      </c>
      <c r="AZ257" s="148">
        <f t="shared" si="116"/>
        <v>97.544096866666649</v>
      </c>
      <c r="BA257" s="148">
        <f t="shared" si="116"/>
        <v>97.544096866666649</v>
      </c>
      <c r="BB257" s="148">
        <f t="shared" si="116"/>
        <v>97.544096866666649</v>
      </c>
      <c r="BC257" s="148">
        <f t="shared" si="116"/>
        <v>146.31614529999999</v>
      </c>
      <c r="BD257" s="148">
        <f t="shared" si="116"/>
        <v>80.376335818133313</v>
      </c>
      <c r="BE257" s="148">
        <f t="shared" si="116"/>
        <v>75.352814829499991</v>
      </c>
      <c r="BF257" s="148">
        <f t="shared" si="116"/>
        <v>100.47041977266665</v>
      </c>
      <c r="BG257" s="148">
        <f t="shared" si="116"/>
        <v>100.47041977266665</v>
      </c>
      <c r="BH257" s="148">
        <f t="shared" si="116"/>
        <v>100.47041977266665</v>
      </c>
      <c r="BI257" s="148">
        <f t="shared" si="116"/>
        <v>100.47041977266665</v>
      </c>
      <c r="BJ257" s="148">
        <f t="shared" si="116"/>
        <v>100.47041977266665</v>
      </c>
      <c r="BK257" s="148">
        <f t="shared" si="116"/>
        <v>100.47041977266665</v>
      </c>
      <c r="BL257" s="148">
        <f t="shared" si="116"/>
        <v>100.47041977266665</v>
      </c>
      <c r="BM257" s="148">
        <f t="shared" si="116"/>
        <v>100.47041977266665</v>
      </c>
      <c r="BN257" s="148">
        <f t="shared" si="116"/>
        <v>100.47041977266665</v>
      </c>
      <c r="BO257" s="148">
        <f t="shared" si="116"/>
        <v>150.70562965899998</v>
      </c>
      <c r="BP257" s="148">
        <f t="shared" si="79"/>
        <v>4875.3898297706346</v>
      </c>
      <c r="BQ257" s="148"/>
    </row>
    <row r="258" spans="3:69" s="22" customFormat="1" outlineLevel="1">
      <c r="C258" s="22" t="str">
        <v>Logicridge</v>
      </c>
      <c r="D258" s="162">
        <f>SUMIFS('Existing Stores'!$G$9:$G$1008,'Existing Stores'!$D$9:$D$1008,Model!$C258)</f>
        <v>79</v>
      </c>
      <c r="E258" s="165">
        <f>(AVERAGEIFS('Existing Stores'!$G$9:$G$1008,'Existing Stores'!$D$9:$D$1008,Model!$C258))</f>
        <v>15.8</v>
      </c>
      <c r="F258" s="29" t="s">
        <v>119</v>
      </c>
      <c r="G258" s="167">
        <f t="shared" ref="G258:BO258" si="117">$E258*G138*G$120*G$118*G199</f>
        <v>118.5</v>
      </c>
      <c r="H258" s="148">
        <f t="shared" si="117"/>
        <v>65.096000000000004</v>
      </c>
      <c r="I258" s="148">
        <f t="shared" si="117"/>
        <v>61.027500000000003</v>
      </c>
      <c r="J258" s="148">
        <f t="shared" si="117"/>
        <v>81.37</v>
      </c>
      <c r="K258" s="148">
        <f t="shared" si="117"/>
        <v>81.37</v>
      </c>
      <c r="L258" s="148">
        <f t="shared" si="117"/>
        <v>81.37</v>
      </c>
      <c r="M258" s="148">
        <f t="shared" si="117"/>
        <v>81.37</v>
      </c>
      <c r="N258" s="148">
        <f t="shared" si="117"/>
        <v>81.37</v>
      </c>
      <c r="O258" s="148">
        <f t="shared" si="117"/>
        <v>81.37</v>
      </c>
      <c r="P258" s="148">
        <f t="shared" si="117"/>
        <v>81.37</v>
      </c>
      <c r="Q258" s="148">
        <f t="shared" si="117"/>
        <v>81.37</v>
      </c>
      <c r="R258" s="148">
        <f t="shared" si="117"/>
        <v>81.37</v>
      </c>
      <c r="S258" s="148">
        <f t="shared" si="117"/>
        <v>146.46600000000001</v>
      </c>
      <c r="T258" s="148">
        <f t="shared" si="117"/>
        <v>80.458656000000019</v>
      </c>
      <c r="U258" s="148">
        <f t="shared" si="117"/>
        <v>75.429990000000004</v>
      </c>
      <c r="V258" s="148">
        <f t="shared" si="117"/>
        <v>100.57332000000001</v>
      </c>
      <c r="W258" s="148">
        <f t="shared" si="117"/>
        <v>100.57332000000001</v>
      </c>
      <c r="X258" s="148">
        <f t="shared" si="117"/>
        <v>100.57332000000001</v>
      </c>
      <c r="Y258" s="148">
        <f t="shared" si="117"/>
        <v>100.57332000000001</v>
      </c>
      <c r="Z258" s="148">
        <f t="shared" si="117"/>
        <v>100.57332000000001</v>
      </c>
      <c r="AA258" s="148">
        <f t="shared" si="117"/>
        <v>100.57332000000001</v>
      </c>
      <c r="AB258" s="148">
        <f t="shared" si="117"/>
        <v>100.57332000000001</v>
      </c>
      <c r="AC258" s="148">
        <f t="shared" si="117"/>
        <v>100.57332000000001</v>
      </c>
      <c r="AD258" s="148">
        <f t="shared" si="117"/>
        <v>100.57332000000001</v>
      </c>
      <c r="AE258" s="148">
        <f t="shared" si="117"/>
        <v>150.85998000000001</v>
      </c>
      <c r="AF258" s="148">
        <f t="shared" si="117"/>
        <v>82.872415680000017</v>
      </c>
      <c r="AG258" s="148">
        <f t="shared" si="117"/>
        <v>77.692889700000009</v>
      </c>
      <c r="AH258" s="148">
        <f t="shared" si="117"/>
        <v>103.59051960000001</v>
      </c>
      <c r="AI258" s="148">
        <f t="shared" si="117"/>
        <v>103.59051960000001</v>
      </c>
      <c r="AJ258" s="148">
        <f t="shared" si="117"/>
        <v>103.59051960000001</v>
      </c>
      <c r="AK258" s="148">
        <f t="shared" si="117"/>
        <v>103.59051960000001</v>
      </c>
      <c r="AL258" s="148">
        <f t="shared" si="117"/>
        <v>103.59051960000001</v>
      </c>
      <c r="AM258" s="148">
        <f t="shared" si="117"/>
        <v>103.59051960000001</v>
      </c>
      <c r="AN258" s="148">
        <f t="shared" si="117"/>
        <v>103.59051960000001</v>
      </c>
      <c r="AO258" s="148">
        <f t="shared" si="117"/>
        <v>103.59051960000001</v>
      </c>
      <c r="AP258" s="148">
        <f t="shared" si="117"/>
        <v>103.59051960000001</v>
      </c>
      <c r="AQ258" s="148">
        <f t="shared" si="117"/>
        <v>155.38577940000002</v>
      </c>
      <c r="AR258" s="148">
        <f t="shared" si="117"/>
        <v>85.35858815040001</v>
      </c>
      <c r="AS258" s="148">
        <f t="shared" si="117"/>
        <v>93.360955789499997</v>
      </c>
      <c r="AT258" s="148">
        <f t="shared" si="117"/>
        <v>124.481274386</v>
      </c>
      <c r="AU258" s="148">
        <f t="shared" si="117"/>
        <v>124.481274386</v>
      </c>
      <c r="AV258" s="148">
        <f t="shared" si="117"/>
        <v>124.481274386</v>
      </c>
      <c r="AW258" s="148">
        <f t="shared" si="117"/>
        <v>124.481274386</v>
      </c>
      <c r="AX258" s="148">
        <f t="shared" si="117"/>
        <v>124.481274386</v>
      </c>
      <c r="AY258" s="148">
        <f t="shared" si="117"/>
        <v>124.481274386</v>
      </c>
      <c r="AZ258" s="148">
        <f t="shared" si="117"/>
        <v>124.481274386</v>
      </c>
      <c r="BA258" s="148">
        <f t="shared" si="117"/>
        <v>124.481274386</v>
      </c>
      <c r="BB258" s="148">
        <f t="shared" si="117"/>
        <v>124.481274386</v>
      </c>
      <c r="BC258" s="148">
        <f t="shared" si="117"/>
        <v>186.72191157899999</v>
      </c>
      <c r="BD258" s="148">
        <f t="shared" si="117"/>
        <v>102.57257009406401</v>
      </c>
      <c r="BE258" s="148">
        <f t="shared" si="117"/>
        <v>96.161784463184986</v>
      </c>
      <c r="BF258" s="148">
        <f t="shared" si="117"/>
        <v>128.21571261757998</v>
      </c>
      <c r="BG258" s="148">
        <f t="shared" si="117"/>
        <v>128.21571261757998</v>
      </c>
      <c r="BH258" s="148">
        <f t="shared" si="117"/>
        <v>128.21571261757998</v>
      </c>
      <c r="BI258" s="148">
        <f t="shared" si="117"/>
        <v>128.21571261757998</v>
      </c>
      <c r="BJ258" s="148">
        <f t="shared" si="117"/>
        <v>128.21571261757998</v>
      </c>
      <c r="BK258" s="148">
        <f t="shared" si="117"/>
        <v>128.21571261757998</v>
      </c>
      <c r="BL258" s="148">
        <f t="shared" si="117"/>
        <v>128.21571261757998</v>
      </c>
      <c r="BM258" s="148">
        <f t="shared" si="117"/>
        <v>128.21571261757998</v>
      </c>
      <c r="BN258" s="148">
        <f t="shared" si="117"/>
        <v>128.21571261757998</v>
      </c>
      <c r="BO258" s="148">
        <f t="shared" si="117"/>
        <v>192.32356892636997</v>
      </c>
      <c r="BP258" s="148">
        <f t="shared" si="79"/>
        <v>6495.8660292147379</v>
      </c>
      <c r="BQ258" s="148"/>
    </row>
    <row r="259" spans="3:69" s="22" customFormat="1" outlineLevel="1">
      <c r="C259" s="22" t="str">
        <v>Megahub</v>
      </c>
      <c r="D259" s="161">
        <f>SUMIFS('Existing Stores'!$G$9:$G$1008,'Existing Stores'!$D$9:$D$1008,Model!$C259)</f>
        <v>11</v>
      </c>
      <c r="E259" s="165">
        <f>(AVERAGEIFS('Existing Stores'!$G$9:$G$1008,'Existing Stores'!$D$9:$D$1008,Model!$C259))</f>
        <v>11</v>
      </c>
      <c r="F259" s="29" t="s">
        <v>119</v>
      </c>
      <c r="G259" s="167">
        <f t="shared" ref="G259:BO259" si="118">$E259*G139*G$120*G$118*G200</f>
        <v>16.5</v>
      </c>
      <c r="H259" s="148">
        <f t="shared" si="118"/>
        <v>9.0640000000000018</v>
      </c>
      <c r="I259" s="148">
        <f t="shared" si="118"/>
        <v>8.4975000000000005</v>
      </c>
      <c r="J259" s="148">
        <f t="shared" si="118"/>
        <v>11.33</v>
      </c>
      <c r="K259" s="148">
        <f t="shared" si="118"/>
        <v>11.33</v>
      </c>
      <c r="L259" s="148">
        <f t="shared" si="118"/>
        <v>11.33</v>
      </c>
      <c r="M259" s="148">
        <f t="shared" si="118"/>
        <v>11.33</v>
      </c>
      <c r="N259" s="148">
        <f t="shared" si="118"/>
        <v>11.33</v>
      </c>
      <c r="O259" s="148">
        <f t="shared" si="118"/>
        <v>11.33</v>
      </c>
      <c r="P259" s="148">
        <f t="shared" si="118"/>
        <v>11.33</v>
      </c>
      <c r="Q259" s="148">
        <f t="shared" si="118"/>
        <v>11.33</v>
      </c>
      <c r="R259" s="148">
        <f t="shared" si="118"/>
        <v>11.33</v>
      </c>
      <c r="S259" s="148">
        <f t="shared" si="118"/>
        <v>16.995000000000001</v>
      </c>
      <c r="T259" s="148">
        <f t="shared" si="118"/>
        <v>14.937472</v>
      </c>
      <c r="U259" s="148">
        <f t="shared" si="118"/>
        <v>14.003879999999999</v>
      </c>
      <c r="V259" s="148">
        <f t="shared" si="118"/>
        <v>18.67184</v>
      </c>
      <c r="W259" s="148">
        <f t="shared" si="118"/>
        <v>18.67184</v>
      </c>
      <c r="X259" s="148">
        <f t="shared" si="118"/>
        <v>18.67184</v>
      </c>
      <c r="Y259" s="148">
        <f t="shared" si="118"/>
        <v>18.67184</v>
      </c>
      <c r="Z259" s="148">
        <f t="shared" si="118"/>
        <v>18.67184</v>
      </c>
      <c r="AA259" s="148">
        <f t="shared" si="118"/>
        <v>18.67184</v>
      </c>
      <c r="AB259" s="148">
        <f t="shared" si="118"/>
        <v>18.67184</v>
      </c>
      <c r="AC259" s="148">
        <f t="shared" si="118"/>
        <v>18.67184</v>
      </c>
      <c r="AD259" s="148">
        <f t="shared" si="118"/>
        <v>18.67184</v>
      </c>
      <c r="AE259" s="148">
        <f t="shared" si="118"/>
        <v>28.007759999999998</v>
      </c>
      <c r="AF259" s="148">
        <f t="shared" si="118"/>
        <v>15.38559616</v>
      </c>
      <c r="AG259" s="148">
        <f t="shared" si="118"/>
        <v>14.4239964</v>
      </c>
      <c r="AH259" s="148">
        <f t="shared" si="118"/>
        <v>19.2319952</v>
      </c>
      <c r="AI259" s="148">
        <f t="shared" si="118"/>
        <v>19.2319952</v>
      </c>
      <c r="AJ259" s="148">
        <f t="shared" si="118"/>
        <v>19.2319952</v>
      </c>
      <c r="AK259" s="148">
        <f t="shared" si="118"/>
        <v>19.2319952</v>
      </c>
      <c r="AL259" s="148">
        <f t="shared" si="118"/>
        <v>19.2319952</v>
      </c>
      <c r="AM259" s="148">
        <f t="shared" si="118"/>
        <v>19.2319952</v>
      </c>
      <c r="AN259" s="148">
        <f t="shared" si="118"/>
        <v>19.2319952</v>
      </c>
      <c r="AO259" s="148">
        <f t="shared" si="118"/>
        <v>19.2319952</v>
      </c>
      <c r="AP259" s="148">
        <f t="shared" si="118"/>
        <v>19.2319952</v>
      </c>
      <c r="AQ259" s="148">
        <f t="shared" si="118"/>
        <v>28.8479928</v>
      </c>
      <c r="AR259" s="148">
        <f t="shared" si="118"/>
        <v>15.8471640448</v>
      </c>
      <c r="AS259" s="148">
        <f t="shared" si="118"/>
        <v>14.856716292</v>
      </c>
      <c r="AT259" s="148">
        <f t="shared" si="118"/>
        <v>29.713432584</v>
      </c>
      <c r="AU259" s="148">
        <f t="shared" si="118"/>
        <v>29.713432584</v>
      </c>
      <c r="AV259" s="148">
        <f t="shared" si="118"/>
        <v>29.713432584</v>
      </c>
      <c r="AW259" s="148">
        <f t="shared" si="118"/>
        <v>29.713432584</v>
      </c>
      <c r="AX259" s="148">
        <f t="shared" si="118"/>
        <v>29.713432584</v>
      </c>
      <c r="AY259" s="148">
        <f t="shared" si="118"/>
        <v>29.713432584</v>
      </c>
      <c r="AZ259" s="148">
        <f t="shared" si="118"/>
        <v>29.713432584</v>
      </c>
      <c r="BA259" s="148">
        <f t="shared" si="118"/>
        <v>29.713432584</v>
      </c>
      <c r="BB259" s="148">
        <f t="shared" si="118"/>
        <v>29.713432584</v>
      </c>
      <c r="BC259" s="148">
        <f t="shared" si="118"/>
        <v>44.570148875999998</v>
      </c>
      <c r="BD259" s="148">
        <f t="shared" si="118"/>
        <v>24.483868449216001</v>
      </c>
      <c r="BE259" s="148">
        <f t="shared" si="118"/>
        <v>22.95362667114</v>
      </c>
      <c r="BF259" s="148">
        <f t="shared" si="118"/>
        <v>30.604835561519998</v>
      </c>
      <c r="BG259" s="148">
        <f t="shared" si="118"/>
        <v>30.604835561519998</v>
      </c>
      <c r="BH259" s="148">
        <f t="shared" si="118"/>
        <v>30.604835561519998</v>
      </c>
      <c r="BI259" s="148">
        <f t="shared" si="118"/>
        <v>30.604835561519998</v>
      </c>
      <c r="BJ259" s="148">
        <f t="shared" si="118"/>
        <v>30.604835561519998</v>
      </c>
      <c r="BK259" s="148">
        <f t="shared" si="118"/>
        <v>30.604835561519998</v>
      </c>
      <c r="BL259" s="148">
        <f t="shared" si="118"/>
        <v>30.604835561519998</v>
      </c>
      <c r="BM259" s="148">
        <f t="shared" si="118"/>
        <v>30.604835561519998</v>
      </c>
      <c r="BN259" s="148">
        <f t="shared" si="118"/>
        <v>30.604835561519998</v>
      </c>
      <c r="BO259" s="148">
        <f t="shared" si="118"/>
        <v>45.907253342280001</v>
      </c>
      <c r="BP259" s="148">
        <f t="shared" si="79"/>
        <v>1304.7509051451163</v>
      </c>
      <c r="BQ259" s="148"/>
    </row>
    <row r="260" spans="3:69" s="22" customFormat="1" outlineLevel="1">
      <c r="C260" s="22" t="str">
        <v>Nodeline</v>
      </c>
      <c r="D260" s="161">
        <f>SUMIFS('Existing Stores'!$G$9:$G$1008,'Existing Stores'!$D$9:$D$1008,Model!$C260)</f>
        <v>95</v>
      </c>
      <c r="E260" s="165">
        <f>(AVERAGEIFS('Existing Stores'!$G$9:$G$1008,'Existing Stores'!$D$9:$D$1008,Model!$C260))</f>
        <v>13.571428571428571</v>
      </c>
      <c r="F260" s="29" t="s">
        <v>119</v>
      </c>
      <c r="G260" s="167">
        <f t="shared" ref="G260:BO260" si="119">$E260*G140*G$120*G$118*G201</f>
        <v>142.5</v>
      </c>
      <c r="H260" s="148">
        <f t="shared" si="119"/>
        <v>78.28</v>
      </c>
      <c r="I260" s="148">
        <f t="shared" si="119"/>
        <v>73.387500000000003</v>
      </c>
      <c r="J260" s="148">
        <f t="shared" si="119"/>
        <v>97.850000000000009</v>
      </c>
      <c r="K260" s="148">
        <f t="shared" si="119"/>
        <v>97.850000000000009</v>
      </c>
      <c r="L260" s="148">
        <f t="shared" si="119"/>
        <v>97.850000000000009</v>
      </c>
      <c r="M260" s="148">
        <f t="shared" si="119"/>
        <v>97.850000000000009</v>
      </c>
      <c r="N260" s="148">
        <f t="shared" si="119"/>
        <v>97.850000000000009</v>
      </c>
      <c r="O260" s="148">
        <f t="shared" si="119"/>
        <v>97.850000000000009</v>
      </c>
      <c r="P260" s="148">
        <f t="shared" si="119"/>
        <v>97.850000000000009</v>
      </c>
      <c r="Q260" s="148">
        <f t="shared" si="119"/>
        <v>97.850000000000009</v>
      </c>
      <c r="R260" s="148">
        <f t="shared" si="119"/>
        <v>97.850000000000009</v>
      </c>
      <c r="S260" s="148">
        <f t="shared" si="119"/>
        <v>146.77500000000001</v>
      </c>
      <c r="T260" s="148">
        <f t="shared" si="119"/>
        <v>80.628399999999999</v>
      </c>
      <c r="U260" s="148">
        <f t="shared" si="119"/>
        <v>86.387571428571434</v>
      </c>
      <c r="V260" s="148">
        <f t="shared" si="119"/>
        <v>115.18342857142856</v>
      </c>
      <c r="W260" s="148">
        <f t="shared" si="119"/>
        <v>115.18342857142856</v>
      </c>
      <c r="X260" s="148">
        <f t="shared" si="119"/>
        <v>115.18342857142856</v>
      </c>
      <c r="Y260" s="148">
        <f t="shared" si="119"/>
        <v>115.18342857142856</v>
      </c>
      <c r="Z260" s="148">
        <f t="shared" si="119"/>
        <v>115.18342857142856</v>
      </c>
      <c r="AA260" s="148">
        <f t="shared" si="119"/>
        <v>115.18342857142856</v>
      </c>
      <c r="AB260" s="148">
        <f t="shared" si="119"/>
        <v>115.18342857142856</v>
      </c>
      <c r="AC260" s="148">
        <f t="shared" si="119"/>
        <v>115.18342857142856</v>
      </c>
      <c r="AD260" s="148">
        <f t="shared" si="119"/>
        <v>115.18342857142856</v>
      </c>
      <c r="AE260" s="148">
        <f t="shared" si="119"/>
        <v>172.77514285714287</v>
      </c>
      <c r="AF260" s="148">
        <f t="shared" si="119"/>
        <v>94.911145142857151</v>
      </c>
      <c r="AG260" s="148">
        <f t="shared" si="119"/>
        <v>88.979198571428569</v>
      </c>
      <c r="AH260" s="148">
        <f t="shared" si="119"/>
        <v>118.63893142857142</v>
      </c>
      <c r="AI260" s="148">
        <f t="shared" si="119"/>
        <v>118.63893142857142</v>
      </c>
      <c r="AJ260" s="148">
        <f t="shared" si="119"/>
        <v>118.63893142857142</v>
      </c>
      <c r="AK260" s="148">
        <f t="shared" si="119"/>
        <v>118.63893142857142</v>
      </c>
      <c r="AL260" s="148">
        <f t="shared" si="119"/>
        <v>118.63893142857142</v>
      </c>
      <c r="AM260" s="148">
        <f t="shared" si="119"/>
        <v>118.63893142857142</v>
      </c>
      <c r="AN260" s="148">
        <f t="shared" si="119"/>
        <v>118.63893142857142</v>
      </c>
      <c r="AO260" s="148">
        <f t="shared" si="119"/>
        <v>118.63893142857142</v>
      </c>
      <c r="AP260" s="148">
        <f t="shared" si="119"/>
        <v>118.63893142857142</v>
      </c>
      <c r="AQ260" s="148">
        <f t="shared" si="119"/>
        <v>177.95839714285714</v>
      </c>
      <c r="AR260" s="148">
        <f t="shared" si="119"/>
        <v>97.758479497142858</v>
      </c>
      <c r="AS260" s="148">
        <f t="shared" si="119"/>
        <v>91.64857452857143</v>
      </c>
      <c r="AT260" s="148">
        <f t="shared" si="119"/>
        <v>122.19809937142855</v>
      </c>
      <c r="AU260" s="148">
        <f t="shared" si="119"/>
        <v>137.47286179285712</v>
      </c>
      <c r="AV260" s="148">
        <f t="shared" si="119"/>
        <v>137.47286179285712</v>
      </c>
      <c r="AW260" s="148">
        <f t="shared" si="119"/>
        <v>137.47286179285712</v>
      </c>
      <c r="AX260" s="148">
        <f t="shared" si="119"/>
        <v>137.47286179285712</v>
      </c>
      <c r="AY260" s="148">
        <f t="shared" si="119"/>
        <v>137.47286179285712</v>
      </c>
      <c r="AZ260" s="148">
        <f t="shared" si="119"/>
        <v>137.47286179285712</v>
      </c>
      <c r="BA260" s="148">
        <f t="shared" si="119"/>
        <v>137.47286179285712</v>
      </c>
      <c r="BB260" s="148">
        <f t="shared" si="119"/>
        <v>137.47286179285712</v>
      </c>
      <c r="BC260" s="148">
        <f t="shared" si="119"/>
        <v>206.20929268928572</v>
      </c>
      <c r="BD260" s="148">
        <f t="shared" si="119"/>
        <v>113.27763811731428</v>
      </c>
      <c r="BE260" s="148">
        <f t="shared" si="119"/>
        <v>106.19778573498213</v>
      </c>
      <c r="BF260" s="148">
        <f t="shared" si="119"/>
        <v>141.59704764664284</v>
      </c>
      <c r="BG260" s="148">
        <f t="shared" si="119"/>
        <v>141.59704764664284</v>
      </c>
      <c r="BH260" s="148">
        <f t="shared" si="119"/>
        <v>141.59704764664284</v>
      </c>
      <c r="BI260" s="148">
        <f t="shared" si="119"/>
        <v>141.59704764664284</v>
      </c>
      <c r="BJ260" s="148">
        <f t="shared" si="119"/>
        <v>141.59704764664284</v>
      </c>
      <c r="BK260" s="148">
        <f t="shared" si="119"/>
        <v>141.59704764664284</v>
      </c>
      <c r="BL260" s="148">
        <f t="shared" si="119"/>
        <v>141.59704764664284</v>
      </c>
      <c r="BM260" s="148">
        <f t="shared" si="119"/>
        <v>141.59704764664284</v>
      </c>
      <c r="BN260" s="148">
        <f t="shared" si="119"/>
        <v>141.59704764664284</v>
      </c>
      <c r="BO260" s="148">
        <f t="shared" si="119"/>
        <v>212.39557146996427</v>
      </c>
      <c r="BP260" s="148">
        <f t="shared" si="79"/>
        <v>7308.9753597141862</v>
      </c>
      <c r="BQ260" s="148"/>
    </row>
    <row r="261" spans="3:69" s="22" customFormat="1" outlineLevel="1">
      <c r="C261" s="22" t="str">
        <v>Overclock Oasis</v>
      </c>
      <c r="D261" s="161">
        <f>SUMIFS('Existing Stores'!$G$9:$G$1008,'Existing Stores'!$D$9:$D$1008,Model!$C261)</f>
        <v>807</v>
      </c>
      <c r="E261" s="165">
        <f>(AVERAGEIFS('Existing Stores'!$G$9:$G$1008,'Existing Stores'!$D$9:$D$1008,Model!$C261))</f>
        <v>15.823529411764707</v>
      </c>
      <c r="F261" s="29" t="s">
        <v>119</v>
      </c>
      <c r="G261" s="167">
        <f t="shared" ref="G261:BO261" si="120">$E261*G141*G$120*G$118*G202</f>
        <v>1210.5</v>
      </c>
      <c r="H261" s="148">
        <f t="shared" si="120"/>
        <v>664.96800000000007</v>
      </c>
      <c r="I261" s="148">
        <f t="shared" si="120"/>
        <v>623.40750000000003</v>
      </c>
      <c r="J261" s="148">
        <f t="shared" si="120"/>
        <v>831.21</v>
      </c>
      <c r="K261" s="148">
        <f t="shared" si="120"/>
        <v>831.21</v>
      </c>
      <c r="L261" s="148">
        <f t="shared" si="120"/>
        <v>831.21</v>
      </c>
      <c r="M261" s="148">
        <f t="shared" si="120"/>
        <v>831.21</v>
      </c>
      <c r="N261" s="148">
        <f t="shared" si="120"/>
        <v>831.21</v>
      </c>
      <c r="O261" s="148">
        <f t="shared" si="120"/>
        <v>831.21</v>
      </c>
      <c r="P261" s="148">
        <f t="shared" si="120"/>
        <v>831.21</v>
      </c>
      <c r="Q261" s="148">
        <f t="shared" si="120"/>
        <v>831.21</v>
      </c>
      <c r="R261" s="148">
        <f t="shared" si="120"/>
        <v>831.21</v>
      </c>
      <c r="S261" s="148">
        <f t="shared" si="120"/>
        <v>1246.8150000000001</v>
      </c>
      <c r="T261" s="148">
        <f t="shared" si="120"/>
        <v>684.91704000000004</v>
      </c>
      <c r="U261" s="148">
        <f t="shared" si="120"/>
        <v>642.10972500000003</v>
      </c>
      <c r="V261" s="148">
        <f t="shared" si="120"/>
        <v>872.93348235294116</v>
      </c>
      <c r="W261" s="148">
        <f t="shared" si="120"/>
        <v>872.93348235294116</v>
      </c>
      <c r="X261" s="148">
        <f t="shared" si="120"/>
        <v>872.93348235294116</v>
      </c>
      <c r="Y261" s="148">
        <f t="shared" si="120"/>
        <v>872.93348235294116</v>
      </c>
      <c r="Z261" s="148">
        <f t="shared" si="120"/>
        <v>872.93348235294116</v>
      </c>
      <c r="AA261" s="148">
        <f t="shared" si="120"/>
        <v>872.93348235294116</v>
      </c>
      <c r="AB261" s="148">
        <f t="shared" si="120"/>
        <v>872.93348235294116</v>
      </c>
      <c r="AC261" s="148">
        <f t="shared" si="120"/>
        <v>872.93348235294116</v>
      </c>
      <c r="AD261" s="148">
        <f t="shared" si="120"/>
        <v>872.93348235294116</v>
      </c>
      <c r="AE261" s="148">
        <f t="shared" si="120"/>
        <v>1309.4002235294117</v>
      </c>
      <c r="AF261" s="148">
        <f t="shared" si="120"/>
        <v>719.2971894588236</v>
      </c>
      <c r="AG261" s="148">
        <f t="shared" si="120"/>
        <v>674.34111511764706</v>
      </c>
      <c r="AH261" s="148">
        <f t="shared" si="120"/>
        <v>899.12148682352949</v>
      </c>
      <c r="AI261" s="148">
        <f t="shared" si="120"/>
        <v>899.12148682352949</v>
      </c>
      <c r="AJ261" s="148">
        <f t="shared" si="120"/>
        <v>899.12148682352949</v>
      </c>
      <c r="AK261" s="148">
        <f t="shared" si="120"/>
        <v>899.12148682352949</v>
      </c>
      <c r="AL261" s="148">
        <f t="shared" si="120"/>
        <v>899.12148682352949</v>
      </c>
      <c r="AM261" s="148">
        <f t="shared" si="120"/>
        <v>899.12148682352949</v>
      </c>
      <c r="AN261" s="148">
        <f t="shared" si="120"/>
        <v>899.12148682352949</v>
      </c>
      <c r="AO261" s="148">
        <f t="shared" si="120"/>
        <v>899.12148682352949</v>
      </c>
      <c r="AP261" s="148">
        <f t="shared" si="120"/>
        <v>899.12148682352949</v>
      </c>
      <c r="AQ261" s="148">
        <f t="shared" si="120"/>
        <v>1348.6822302352941</v>
      </c>
      <c r="AR261" s="148">
        <f t="shared" si="120"/>
        <v>740.87610514258824</v>
      </c>
      <c r="AS261" s="148">
        <f t="shared" si="120"/>
        <v>694.57134857117637</v>
      </c>
      <c r="AT261" s="148">
        <f t="shared" si="120"/>
        <v>926.09513142823528</v>
      </c>
      <c r="AU261" s="148">
        <f t="shared" si="120"/>
        <v>926.09513142823528</v>
      </c>
      <c r="AV261" s="148">
        <f t="shared" si="120"/>
        <v>943.90465318647045</v>
      </c>
      <c r="AW261" s="148">
        <f t="shared" si="120"/>
        <v>943.90465318647045</v>
      </c>
      <c r="AX261" s="148">
        <f t="shared" si="120"/>
        <v>943.90465318647045</v>
      </c>
      <c r="AY261" s="148">
        <f t="shared" si="120"/>
        <v>943.90465318647045</v>
      </c>
      <c r="AZ261" s="148">
        <f t="shared" si="120"/>
        <v>943.90465318647045</v>
      </c>
      <c r="BA261" s="148">
        <f t="shared" si="120"/>
        <v>943.90465318647045</v>
      </c>
      <c r="BB261" s="148">
        <f t="shared" si="120"/>
        <v>943.90465318647045</v>
      </c>
      <c r="BC261" s="148">
        <f t="shared" si="120"/>
        <v>1415.8569797797059</v>
      </c>
      <c r="BD261" s="148">
        <f t="shared" si="120"/>
        <v>777.77743422565175</v>
      </c>
      <c r="BE261" s="148">
        <f t="shared" si="120"/>
        <v>729.16634458654846</v>
      </c>
      <c r="BF261" s="148">
        <f t="shared" si="120"/>
        <v>972.22179278206454</v>
      </c>
      <c r="BG261" s="148">
        <f t="shared" si="120"/>
        <v>972.22179278206454</v>
      </c>
      <c r="BH261" s="148">
        <f t="shared" si="120"/>
        <v>972.22179278206454</v>
      </c>
      <c r="BI261" s="148">
        <f t="shared" si="120"/>
        <v>972.22179278206454</v>
      </c>
      <c r="BJ261" s="148">
        <f t="shared" si="120"/>
        <v>972.22179278206454</v>
      </c>
      <c r="BK261" s="148">
        <f t="shared" si="120"/>
        <v>972.22179278206454</v>
      </c>
      <c r="BL261" s="148">
        <f t="shared" si="120"/>
        <v>972.22179278206454</v>
      </c>
      <c r="BM261" s="148">
        <f t="shared" si="120"/>
        <v>972.22179278206454</v>
      </c>
      <c r="BN261" s="148">
        <f t="shared" si="120"/>
        <v>972.22179278206454</v>
      </c>
      <c r="BO261" s="148">
        <f t="shared" si="120"/>
        <v>1458.3326891730969</v>
      </c>
      <c r="BP261" s="148">
        <f t="shared" si="79"/>
        <v>54369.422617608572</v>
      </c>
      <c r="BQ261" s="148"/>
    </row>
    <row r="262" spans="3:69" s="22" customFormat="1" outlineLevel="1">
      <c r="C262" s="22" t="str">
        <v>Pingborough</v>
      </c>
      <c r="D262" s="161">
        <f>SUMIFS('Existing Stores'!$G$9:$G$1008,'Existing Stores'!$D$9:$D$1008,Model!$C262)</f>
        <v>38</v>
      </c>
      <c r="E262" s="165">
        <f>(AVERAGEIFS('Existing Stores'!$G$9:$G$1008,'Existing Stores'!$D$9:$D$1008,Model!$C262))</f>
        <v>12.666666666666666</v>
      </c>
      <c r="F262" s="29" t="s">
        <v>119</v>
      </c>
      <c r="G262" s="167">
        <f t="shared" ref="G262:BO262" si="121">$E262*G142*G$120*G$118*G203</f>
        <v>57</v>
      </c>
      <c r="H262" s="148">
        <f t="shared" si="121"/>
        <v>31.312000000000005</v>
      </c>
      <c r="I262" s="148">
        <f t="shared" si="121"/>
        <v>29.355</v>
      </c>
      <c r="J262" s="148">
        <f t="shared" si="121"/>
        <v>39.14</v>
      </c>
      <c r="K262" s="148">
        <f t="shared" si="121"/>
        <v>39.14</v>
      </c>
      <c r="L262" s="148">
        <f t="shared" si="121"/>
        <v>39.14</v>
      </c>
      <c r="M262" s="148">
        <f t="shared" si="121"/>
        <v>39.14</v>
      </c>
      <c r="N262" s="148">
        <f t="shared" si="121"/>
        <v>39.14</v>
      </c>
      <c r="O262" s="148">
        <f t="shared" si="121"/>
        <v>39.14</v>
      </c>
      <c r="P262" s="148">
        <f t="shared" si="121"/>
        <v>39.14</v>
      </c>
      <c r="Q262" s="148">
        <f t="shared" si="121"/>
        <v>39.14</v>
      </c>
      <c r="R262" s="148">
        <f t="shared" si="121"/>
        <v>39.14</v>
      </c>
      <c r="S262" s="148">
        <f t="shared" si="121"/>
        <v>58.71</v>
      </c>
      <c r="T262" s="148">
        <f t="shared" si="121"/>
        <v>32.251359999999998</v>
      </c>
      <c r="U262" s="148">
        <f t="shared" si="121"/>
        <v>30.23565</v>
      </c>
      <c r="V262" s="148">
        <f t="shared" si="121"/>
        <v>40.3142</v>
      </c>
      <c r="W262" s="148">
        <f t="shared" si="121"/>
        <v>53.752266666666664</v>
      </c>
      <c r="X262" s="148">
        <f t="shared" si="121"/>
        <v>53.752266666666664</v>
      </c>
      <c r="Y262" s="148">
        <f t="shared" si="121"/>
        <v>53.752266666666664</v>
      </c>
      <c r="Z262" s="148">
        <f t="shared" si="121"/>
        <v>53.752266666666664</v>
      </c>
      <c r="AA262" s="148">
        <f t="shared" si="121"/>
        <v>53.752266666666664</v>
      </c>
      <c r="AB262" s="148">
        <f t="shared" si="121"/>
        <v>53.752266666666664</v>
      </c>
      <c r="AC262" s="148">
        <f t="shared" si="121"/>
        <v>53.752266666666664</v>
      </c>
      <c r="AD262" s="148">
        <f t="shared" si="121"/>
        <v>53.752266666666664</v>
      </c>
      <c r="AE262" s="148">
        <f t="shared" si="121"/>
        <v>80.628399999999999</v>
      </c>
      <c r="AF262" s="148">
        <f t="shared" si="121"/>
        <v>44.291867733333333</v>
      </c>
      <c r="AG262" s="148">
        <f t="shared" si="121"/>
        <v>41.523626</v>
      </c>
      <c r="AH262" s="148">
        <f t="shared" si="121"/>
        <v>55.364834666666667</v>
      </c>
      <c r="AI262" s="148">
        <f t="shared" si="121"/>
        <v>55.364834666666667</v>
      </c>
      <c r="AJ262" s="148">
        <f t="shared" si="121"/>
        <v>55.364834666666667</v>
      </c>
      <c r="AK262" s="148">
        <f t="shared" si="121"/>
        <v>55.364834666666667</v>
      </c>
      <c r="AL262" s="148">
        <f t="shared" si="121"/>
        <v>55.364834666666667</v>
      </c>
      <c r="AM262" s="148">
        <f t="shared" si="121"/>
        <v>55.364834666666667</v>
      </c>
      <c r="AN262" s="148">
        <f t="shared" si="121"/>
        <v>55.364834666666667</v>
      </c>
      <c r="AO262" s="148">
        <f t="shared" si="121"/>
        <v>55.364834666666667</v>
      </c>
      <c r="AP262" s="148">
        <f t="shared" si="121"/>
        <v>55.364834666666667</v>
      </c>
      <c r="AQ262" s="148">
        <f t="shared" si="121"/>
        <v>83.047252</v>
      </c>
      <c r="AR262" s="148">
        <f t="shared" si="121"/>
        <v>45.620623765333328</v>
      </c>
      <c r="AS262" s="148">
        <f t="shared" si="121"/>
        <v>42.769334779999994</v>
      </c>
      <c r="AT262" s="148">
        <f t="shared" si="121"/>
        <v>57.025779706666661</v>
      </c>
      <c r="AU262" s="148">
        <f t="shared" si="121"/>
        <v>57.025779706666661</v>
      </c>
      <c r="AV262" s="148">
        <f t="shared" si="121"/>
        <v>57.025779706666661</v>
      </c>
      <c r="AW262" s="148">
        <f t="shared" si="121"/>
        <v>57.025779706666668</v>
      </c>
      <c r="AX262" s="148">
        <f t="shared" si="121"/>
        <v>57.025779706666668</v>
      </c>
      <c r="AY262" s="148">
        <f t="shared" si="121"/>
        <v>57.025779706666668</v>
      </c>
      <c r="AZ262" s="148">
        <f t="shared" si="121"/>
        <v>57.025779706666668</v>
      </c>
      <c r="BA262" s="148">
        <f t="shared" si="121"/>
        <v>57.025779706666668</v>
      </c>
      <c r="BB262" s="148">
        <f t="shared" si="121"/>
        <v>57.025779706666668</v>
      </c>
      <c r="BC262" s="148">
        <f t="shared" si="121"/>
        <v>85.538669560000002</v>
      </c>
      <c r="BD262" s="148">
        <f t="shared" si="121"/>
        <v>46.989242478293328</v>
      </c>
      <c r="BE262" s="148">
        <f t="shared" si="121"/>
        <v>44.052414823399999</v>
      </c>
      <c r="BF262" s="148">
        <f t="shared" si="121"/>
        <v>58.736553097866661</v>
      </c>
      <c r="BG262" s="148">
        <f t="shared" si="121"/>
        <v>58.736553097866661</v>
      </c>
      <c r="BH262" s="148">
        <f t="shared" si="121"/>
        <v>58.736553097866661</v>
      </c>
      <c r="BI262" s="148">
        <f t="shared" si="121"/>
        <v>58.736553097866661</v>
      </c>
      <c r="BJ262" s="148">
        <f t="shared" si="121"/>
        <v>58.736553097866661</v>
      </c>
      <c r="BK262" s="148">
        <f t="shared" si="121"/>
        <v>58.736553097866661</v>
      </c>
      <c r="BL262" s="148">
        <f t="shared" si="121"/>
        <v>58.736553097866661</v>
      </c>
      <c r="BM262" s="148">
        <f t="shared" si="121"/>
        <v>58.736553097866661</v>
      </c>
      <c r="BN262" s="148">
        <f t="shared" si="121"/>
        <v>58.736553097866661</v>
      </c>
      <c r="BO262" s="148">
        <f t="shared" si="121"/>
        <v>88.104829646799999</v>
      </c>
      <c r="BP262" s="148">
        <f t="shared" si="79"/>
        <v>3147.1671113612929</v>
      </c>
      <c r="BQ262" s="148"/>
    </row>
    <row r="263" spans="3:69" s="22" customFormat="1" outlineLevel="1">
      <c r="C263" s="22" t="str">
        <v>Quantum Quay</v>
      </c>
      <c r="D263" s="161">
        <f>SUMIFS('Existing Stores'!$G$9:$G$1008,'Existing Stores'!$D$9:$D$1008,Model!$C263)</f>
        <v>126</v>
      </c>
      <c r="E263" s="165">
        <f>(AVERAGEIFS('Existing Stores'!$G$9:$G$1008,'Existing Stores'!$D$9:$D$1008,Model!$C263))</f>
        <v>15.75</v>
      </c>
      <c r="F263" s="29" t="s">
        <v>119</v>
      </c>
      <c r="G263" s="167">
        <f t="shared" ref="G263:BO263" si="122">$E263*G143*G$120*G$118*G204</f>
        <v>189</v>
      </c>
      <c r="H263" s="148">
        <f t="shared" si="122"/>
        <v>103.82400000000001</v>
      </c>
      <c r="I263" s="148">
        <f t="shared" si="122"/>
        <v>97.335000000000008</v>
      </c>
      <c r="J263" s="148">
        <f t="shared" si="122"/>
        <v>129.78</v>
      </c>
      <c r="K263" s="148">
        <f t="shared" si="122"/>
        <v>129.78</v>
      </c>
      <c r="L263" s="148">
        <f t="shared" si="122"/>
        <v>129.78</v>
      </c>
      <c r="M263" s="148">
        <f t="shared" si="122"/>
        <v>129.78</v>
      </c>
      <c r="N263" s="148">
        <f t="shared" si="122"/>
        <v>129.78</v>
      </c>
      <c r="O263" s="148">
        <f t="shared" si="122"/>
        <v>129.78</v>
      </c>
      <c r="P263" s="148">
        <f t="shared" si="122"/>
        <v>129.78</v>
      </c>
      <c r="Q263" s="148">
        <f t="shared" si="122"/>
        <v>129.78</v>
      </c>
      <c r="R263" s="148">
        <f t="shared" si="122"/>
        <v>129.78</v>
      </c>
      <c r="S263" s="148">
        <f t="shared" si="122"/>
        <v>194.67000000000002</v>
      </c>
      <c r="T263" s="148">
        <f t="shared" si="122"/>
        <v>106.93872</v>
      </c>
      <c r="U263" s="148">
        <f t="shared" si="122"/>
        <v>100.25505</v>
      </c>
      <c r="V263" s="148">
        <f t="shared" si="122"/>
        <v>133.67339999999999</v>
      </c>
      <c r="W263" s="148">
        <f t="shared" si="122"/>
        <v>133.67339999999999</v>
      </c>
      <c r="X263" s="148">
        <f t="shared" si="122"/>
        <v>150.382575</v>
      </c>
      <c r="Y263" s="148">
        <f t="shared" si="122"/>
        <v>150.382575</v>
      </c>
      <c r="Z263" s="148">
        <f t="shared" si="122"/>
        <v>150.382575</v>
      </c>
      <c r="AA263" s="148">
        <f t="shared" si="122"/>
        <v>150.382575</v>
      </c>
      <c r="AB263" s="148">
        <f t="shared" si="122"/>
        <v>150.382575</v>
      </c>
      <c r="AC263" s="148">
        <f t="shared" si="122"/>
        <v>150.382575</v>
      </c>
      <c r="AD263" s="148">
        <f t="shared" si="122"/>
        <v>150.382575</v>
      </c>
      <c r="AE263" s="148">
        <f t="shared" si="122"/>
        <v>225.57386249999999</v>
      </c>
      <c r="AF263" s="148">
        <f t="shared" si="122"/>
        <v>123.9152418</v>
      </c>
      <c r="AG263" s="148">
        <f t="shared" si="122"/>
        <v>116.1705391875</v>
      </c>
      <c r="AH263" s="148">
        <f t="shared" si="122"/>
        <v>154.89405224999999</v>
      </c>
      <c r="AI263" s="148">
        <f t="shared" si="122"/>
        <v>154.89405224999999</v>
      </c>
      <c r="AJ263" s="148">
        <f t="shared" si="122"/>
        <v>154.89405224999999</v>
      </c>
      <c r="AK263" s="148">
        <f t="shared" si="122"/>
        <v>154.89405224999999</v>
      </c>
      <c r="AL263" s="148">
        <f t="shared" si="122"/>
        <v>154.89405224999999</v>
      </c>
      <c r="AM263" s="148">
        <f t="shared" si="122"/>
        <v>154.89405224999999</v>
      </c>
      <c r="AN263" s="148">
        <f t="shared" si="122"/>
        <v>154.89405224999999</v>
      </c>
      <c r="AO263" s="148">
        <f t="shared" si="122"/>
        <v>154.89405224999999</v>
      </c>
      <c r="AP263" s="148">
        <f t="shared" si="122"/>
        <v>154.89405224999999</v>
      </c>
      <c r="AQ263" s="148">
        <f t="shared" si="122"/>
        <v>232.341078375</v>
      </c>
      <c r="AR263" s="148">
        <f t="shared" si="122"/>
        <v>127.632699054</v>
      </c>
      <c r="AS263" s="148">
        <f t="shared" si="122"/>
        <v>119.65565536312499</v>
      </c>
      <c r="AT263" s="148">
        <f t="shared" si="122"/>
        <v>159.5408738175</v>
      </c>
      <c r="AU263" s="148">
        <f t="shared" si="122"/>
        <v>159.5408738175</v>
      </c>
      <c r="AV263" s="148">
        <f t="shared" si="122"/>
        <v>159.5408738175</v>
      </c>
      <c r="AW263" s="148">
        <f t="shared" si="122"/>
        <v>159.5408738175</v>
      </c>
      <c r="AX263" s="148">
        <f t="shared" si="122"/>
        <v>177.26763757499998</v>
      </c>
      <c r="AY263" s="148">
        <f t="shared" si="122"/>
        <v>177.26763757499998</v>
      </c>
      <c r="AZ263" s="148">
        <f t="shared" si="122"/>
        <v>177.26763757499998</v>
      </c>
      <c r="BA263" s="148">
        <f t="shared" si="122"/>
        <v>177.26763757499998</v>
      </c>
      <c r="BB263" s="148">
        <f t="shared" si="122"/>
        <v>177.26763757499998</v>
      </c>
      <c r="BC263" s="148">
        <f t="shared" si="122"/>
        <v>265.90145636249997</v>
      </c>
      <c r="BD263" s="148">
        <f t="shared" si="122"/>
        <v>146.06853336179998</v>
      </c>
      <c r="BE263" s="148">
        <f t="shared" si="122"/>
        <v>136.93925002668749</v>
      </c>
      <c r="BF263" s="148">
        <f t="shared" si="122"/>
        <v>182.58566670224997</v>
      </c>
      <c r="BG263" s="148">
        <f t="shared" si="122"/>
        <v>182.58566670224997</v>
      </c>
      <c r="BH263" s="148">
        <f t="shared" si="122"/>
        <v>182.58566670224997</v>
      </c>
      <c r="BI263" s="148">
        <f t="shared" si="122"/>
        <v>182.58566670224997</v>
      </c>
      <c r="BJ263" s="148">
        <f t="shared" si="122"/>
        <v>182.58566670224997</v>
      </c>
      <c r="BK263" s="148">
        <f t="shared" si="122"/>
        <v>182.58566670224997</v>
      </c>
      <c r="BL263" s="148">
        <f t="shared" si="122"/>
        <v>182.58566670224997</v>
      </c>
      <c r="BM263" s="148">
        <f t="shared" si="122"/>
        <v>182.58566670224997</v>
      </c>
      <c r="BN263" s="148">
        <f t="shared" si="122"/>
        <v>182.58566670224997</v>
      </c>
      <c r="BO263" s="148">
        <f t="shared" si="122"/>
        <v>273.87850005337498</v>
      </c>
      <c r="BP263" s="148">
        <f t="shared" si="79"/>
        <v>9420.96356479924</v>
      </c>
      <c r="BQ263" s="148"/>
    </row>
    <row r="264" spans="3:69" s="22" customFormat="1" outlineLevel="1">
      <c r="C264" s="22" t="str">
        <v>Renderburg</v>
      </c>
      <c r="D264" s="162">
        <f>SUMIFS('Existing Stores'!$G$9:$G$1008,'Existing Stores'!$D$9:$D$1008,Model!$C264)</f>
        <v>2798</v>
      </c>
      <c r="E264" s="165">
        <f>(AVERAGEIFS('Existing Stores'!$G$9:$G$1008,'Existing Stores'!$D$9:$D$1008,Model!$C264))</f>
        <v>14.962566844919786</v>
      </c>
      <c r="F264" s="29" t="s">
        <v>119</v>
      </c>
      <c r="G264" s="167">
        <f t="shared" ref="G264:BO264" si="123">$E264*G144*G$120*G$118*G205</f>
        <v>4197</v>
      </c>
      <c r="H264" s="148">
        <f t="shared" si="123"/>
        <v>2305.5520000000001</v>
      </c>
      <c r="I264" s="148">
        <f t="shared" si="123"/>
        <v>2161.4549999999999</v>
      </c>
      <c r="J264" s="148">
        <f t="shared" si="123"/>
        <v>2881.94</v>
      </c>
      <c r="K264" s="148">
        <f t="shared" si="123"/>
        <v>2881.94</v>
      </c>
      <c r="L264" s="148">
        <f t="shared" si="123"/>
        <v>2881.94</v>
      </c>
      <c r="M264" s="148">
        <f t="shared" si="123"/>
        <v>2881.94</v>
      </c>
      <c r="N264" s="148">
        <f t="shared" si="123"/>
        <v>2881.94</v>
      </c>
      <c r="O264" s="148">
        <f t="shared" si="123"/>
        <v>2881.94</v>
      </c>
      <c r="P264" s="148">
        <f t="shared" si="123"/>
        <v>2881.94</v>
      </c>
      <c r="Q264" s="148">
        <f t="shared" si="123"/>
        <v>2881.94</v>
      </c>
      <c r="R264" s="148">
        <f t="shared" si="123"/>
        <v>2881.94</v>
      </c>
      <c r="S264" s="148">
        <f t="shared" si="123"/>
        <v>4322.91</v>
      </c>
      <c r="T264" s="148">
        <f t="shared" si="123"/>
        <v>2374.7185599999998</v>
      </c>
      <c r="U264" s="148">
        <f t="shared" si="123"/>
        <v>2226.2986499999997</v>
      </c>
      <c r="V264" s="148">
        <f t="shared" si="123"/>
        <v>2968.3982000000001</v>
      </c>
      <c r="W264" s="148">
        <f t="shared" si="123"/>
        <v>2968.3982000000001</v>
      </c>
      <c r="X264" s="148">
        <f t="shared" si="123"/>
        <v>2968.3982000000001</v>
      </c>
      <c r="Y264" s="148">
        <f t="shared" si="123"/>
        <v>2984.2719871657755</v>
      </c>
      <c r="Z264" s="148">
        <f t="shared" si="123"/>
        <v>2984.2719871657755</v>
      </c>
      <c r="AA264" s="148">
        <f t="shared" si="123"/>
        <v>2984.2719871657755</v>
      </c>
      <c r="AB264" s="148">
        <f t="shared" si="123"/>
        <v>2984.2719871657755</v>
      </c>
      <c r="AC264" s="148">
        <f t="shared" si="123"/>
        <v>2984.2719871657755</v>
      </c>
      <c r="AD264" s="148">
        <f t="shared" si="123"/>
        <v>2984.2719871657755</v>
      </c>
      <c r="AE264" s="148">
        <f t="shared" si="123"/>
        <v>4476.4079807486632</v>
      </c>
      <c r="AF264" s="148">
        <f t="shared" si="123"/>
        <v>2459.040117424599</v>
      </c>
      <c r="AG264" s="148">
        <f t="shared" si="123"/>
        <v>2305.3501100855619</v>
      </c>
      <c r="AH264" s="148">
        <f t="shared" si="123"/>
        <v>3073.8001467807485</v>
      </c>
      <c r="AI264" s="148">
        <f t="shared" si="123"/>
        <v>3073.8001467807485</v>
      </c>
      <c r="AJ264" s="148">
        <f t="shared" si="123"/>
        <v>3073.8001467807485</v>
      </c>
      <c r="AK264" s="148">
        <f t="shared" si="123"/>
        <v>3073.8001467807485</v>
      </c>
      <c r="AL264" s="148">
        <f t="shared" si="123"/>
        <v>3073.8001467807485</v>
      </c>
      <c r="AM264" s="148">
        <f t="shared" si="123"/>
        <v>3073.8001467807485</v>
      </c>
      <c r="AN264" s="148">
        <f t="shared" si="123"/>
        <v>3073.8001467807485</v>
      </c>
      <c r="AO264" s="148">
        <f t="shared" si="123"/>
        <v>3073.8001467807485</v>
      </c>
      <c r="AP264" s="148">
        <f t="shared" si="123"/>
        <v>3073.8001467807485</v>
      </c>
      <c r="AQ264" s="148">
        <f t="shared" si="123"/>
        <v>4610.7002201711239</v>
      </c>
      <c r="AR264" s="148">
        <f t="shared" si="123"/>
        <v>2532.8113209473368</v>
      </c>
      <c r="AS264" s="148">
        <f t="shared" si="123"/>
        <v>2374.5106133881286</v>
      </c>
      <c r="AT264" s="148">
        <f t="shared" si="123"/>
        <v>3166.0141511841707</v>
      </c>
      <c r="AU264" s="148">
        <f t="shared" si="123"/>
        <v>3166.0141511841707</v>
      </c>
      <c r="AV264" s="148">
        <f t="shared" si="123"/>
        <v>3166.0141511841707</v>
      </c>
      <c r="AW264" s="148">
        <f t="shared" si="123"/>
        <v>3166.0141511841707</v>
      </c>
      <c r="AX264" s="148">
        <f t="shared" si="123"/>
        <v>3166.0141511841707</v>
      </c>
      <c r="AY264" s="148">
        <f t="shared" si="123"/>
        <v>3182.8546519883421</v>
      </c>
      <c r="AZ264" s="148">
        <f t="shared" si="123"/>
        <v>3182.8546519883421</v>
      </c>
      <c r="BA264" s="148">
        <f t="shared" si="123"/>
        <v>3182.8546519883421</v>
      </c>
      <c r="BB264" s="148">
        <f t="shared" si="123"/>
        <v>3182.8546519883421</v>
      </c>
      <c r="BC264" s="148">
        <f t="shared" si="123"/>
        <v>4774.2819779825131</v>
      </c>
      <c r="BD264" s="148">
        <f t="shared" si="123"/>
        <v>2622.6722332383938</v>
      </c>
      <c r="BE264" s="148">
        <f t="shared" si="123"/>
        <v>2458.7552186609942</v>
      </c>
      <c r="BF264" s="148">
        <f t="shared" si="123"/>
        <v>3278.3402915479924</v>
      </c>
      <c r="BG264" s="148">
        <f t="shared" si="123"/>
        <v>3278.3402915479924</v>
      </c>
      <c r="BH264" s="148">
        <f t="shared" si="123"/>
        <v>3278.3402915479924</v>
      </c>
      <c r="BI264" s="148">
        <f t="shared" si="123"/>
        <v>3278.3402915479924</v>
      </c>
      <c r="BJ264" s="148">
        <f t="shared" si="123"/>
        <v>3278.3402915479924</v>
      </c>
      <c r="BK264" s="148">
        <f t="shared" si="123"/>
        <v>3278.3402915479924</v>
      </c>
      <c r="BL264" s="148">
        <f t="shared" si="123"/>
        <v>3278.3402915479924</v>
      </c>
      <c r="BM264" s="148">
        <f t="shared" si="123"/>
        <v>3278.3402915479924</v>
      </c>
      <c r="BN264" s="148">
        <f t="shared" si="123"/>
        <v>3278.3402915479924</v>
      </c>
      <c r="BO264" s="148">
        <f t="shared" si="123"/>
        <v>4917.5104373219883</v>
      </c>
      <c r="BP264" s="148">
        <f t="shared" si="79"/>
        <v>185402.01427179686</v>
      </c>
      <c r="BQ264" s="148"/>
    </row>
    <row r="265" spans="3:69" s="22" customFormat="1" outlineLevel="1">
      <c r="C265" s="22" t="str">
        <v>Socket Springs</v>
      </c>
      <c r="D265" s="161">
        <f>SUMIFS('Existing Stores'!$G$9:$G$1008,'Existing Stores'!$D$9:$D$1008,Model!$C265)</f>
        <v>2341</v>
      </c>
      <c r="E265" s="165">
        <f>(AVERAGEIFS('Existing Stores'!$G$9:$G$1008,'Existing Stores'!$D$9:$D$1008,Model!$C265))</f>
        <v>13.93452380952381</v>
      </c>
      <c r="F265" s="29" t="s">
        <v>119</v>
      </c>
      <c r="G265" s="167">
        <f t="shared" ref="G265:BO265" si="124">$E265*G145*G$120*G$118*G206</f>
        <v>3511.5</v>
      </c>
      <c r="H265" s="148">
        <f t="shared" si="124"/>
        <v>1928.9840000000002</v>
      </c>
      <c r="I265" s="148">
        <f t="shared" si="124"/>
        <v>1808.4225000000001</v>
      </c>
      <c r="J265" s="148">
        <f t="shared" si="124"/>
        <v>2411.23</v>
      </c>
      <c r="K265" s="148">
        <f t="shared" si="124"/>
        <v>2411.23</v>
      </c>
      <c r="L265" s="148">
        <f t="shared" si="124"/>
        <v>2411.23</v>
      </c>
      <c r="M265" s="148">
        <f t="shared" si="124"/>
        <v>2411.23</v>
      </c>
      <c r="N265" s="148">
        <f t="shared" si="124"/>
        <v>2411.23</v>
      </c>
      <c r="O265" s="148">
        <f t="shared" si="124"/>
        <v>2411.23</v>
      </c>
      <c r="P265" s="148">
        <f t="shared" si="124"/>
        <v>2411.23</v>
      </c>
      <c r="Q265" s="148">
        <f t="shared" si="124"/>
        <v>2411.23</v>
      </c>
      <c r="R265" s="148">
        <f t="shared" si="124"/>
        <v>2411.23</v>
      </c>
      <c r="S265" s="148">
        <f t="shared" si="124"/>
        <v>3616.8450000000003</v>
      </c>
      <c r="T265" s="148">
        <f t="shared" si="124"/>
        <v>1986.8535200000001</v>
      </c>
      <c r="U265" s="148">
        <f t="shared" si="124"/>
        <v>1862.6751749999999</v>
      </c>
      <c r="V265" s="148">
        <f t="shared" si="124"/>
        <v>2483.5668999999998</v>
      </c>
      <c r="W265" s="148">
        <f t="shared" si="124"/>
        <v>2483.5668999999998</v>
      </c>
      <c r="X265" s="148">
        <f t="shared" si="124"/>
        <v>2483.5668999999998</v>
      </c>
      <c r="Y265" s="148">
        <f t="shared" si="124"/>
        <v>2483.5668999999998</v>
      </c>
      <c r="Z265" s="148">
        <f t="shared" si="124"/>
        <v>2498.3500363095236</v>
      </c>
      <c r="AA265" s="148">
        <f t="shared" si="124"/>
        <v>2498.3500363095236</v>
      </c>
      <c r="AB265" s="148">
        <f t="shared" si="124"/>
        <v>2498.3500363095236</v>
      </c>
      <c r="AC265" s="148">
        <f t="shared" si="124"/>
        <v>2498.3500363095236</v>
      </c>
      <c r="AD265" s="148">
        <f t="shared" si="124"/>
        <v>2498.3500363095236</v>
      </c>
      <c r="AE265" s="148">
        <f t="shared" si="124"/>
        <v>3747.5250544642854</v>
      </c>
      <c r="AF265" s="148">
        <f t="shared" si="124"/>
        <v>2058.6404299190476</v>
      </c>
      <c r="AG265" s="148">
        <f t="shared" si="124"/>
        <v>1929.9754030491072</v>
      </c>
      <c r="AH265" s="148">
        <f t="shared" si="124"/>
        <v>2573.3005373988094</v>
      </c>
      <c r="AI265" s="148">
        <f t="shared" si="124"/>
        <v>2573.3005373988094</v>
      </c>
      <c r="AJ265" s="148">
        <f t="shared" si="124"/>
        <v>2573.3005373988094</v>
      </c>
      <c r="AK265" s="148">
        <f t="shared" si="124"/>
        <v>2573.3005373988094</v>
      </c>
      <c r="AL265" s="148">
        <f t="shared" si="124"/>
        <v>2573.3005373988094</v>
      </c>
      <c r="AM265" s="148">
        <f t="shared" si="124"/>
        <v>2573.3005373988094</v>
      </c>
      <c r="AN265" s="148">
        <f t="shared" si="124"/>
        <v>2573.3005373988094</v>
      </c>
      <c r="AO265" s="148">
        <f t="shared" si="124"/>
        <v>2573.3005373988094</v>
      </c>
      <c r="AP265" s="148">
        <f t="shared" si="124"/>
        <v>2573.3005373988094</v>
      </c>
      <c r="AQ265" s="148">
        <f t="shared" si="124"/>
        <v>3859.9508060982143</v>
      </c>
      <c r="AR265" s="148">
        <f t="shared" si="124"/>
        <v>2120.3996428166188</v>
      </c>
      <c r="AS265" s="148">
        <f t="shared" si="124"/>
        <v>1987.8746651405802</v>
      </c>
      <c r="AT265" s="148">
        <f t="shared" si="124"/>
        <v>2650.4995535207736</v>
      </c>
      <c r="AU265" s="148">
        <f t="shared" si="124"/>
        <v>2650.4995535207736</v>
      </c>
      <c r="AV265" s="148">
        <f t="shared" si="124"/>
        <v>2650.4995535207736</v>
      </c>
      <c r="AW265" s="148">
        <f t="shared" si="124"/>
        <v>2650.4995535207736</v>
      </c>
      <c r="AX265" s="148">
        <f t="shared" si="124"/>
        <v>2650.4995535207736</v>
      </c>
      <c r="AY265" s="148">
        <f t="shared" si="124"/>
        <v>2650.4995535207736</v>
      </c>
      <c r="AZ265" s="148">
        <f t="shared" si="124"/>
        <v>2666.1829828315476</v>
      </c>
      <c r="BA265" s="148">
        <f t="shared" si="124"/>
        <v>2666.1829828315476</v>
      </c>
      <c r="BB265" s="148">
        <f t="shared" si="124"/>
        <v>2666.1829828315476</v>
      </c>
      <c r="BC265" s="148">
        <f t="shared" si="124"/>
        <v>3999.2744742473215</v>
      </c>
      <c r="BD265" s="148">
        <f t="shared" si="124"/>
        <v>2196.9347778531951</v>
      </c>
      <c r="BE265" s="148">
        <f t="shared" si="124"/>
        <v>2059.6263542373704</v>
      </c>
      <c r="BF265" s="148">
        <f t="shared" si="124"/>
        <v>2746.168472316494</v>
      </c>
      <c r="BG265" s="148">
        <f t="shared" si="124"/>
        <v>2746.168472316494</v>
      </c>
      <c r="BH265" s="148">
        <f t="shared" si="124"/>
        <v>2746.168472316494</v>
      </c>
      <c r="BI265" s="148">
        <f t="shared" si="124"/>
        <v>2746.168472316494</v>
      </c>
      <c r="BJ265" s="148">
        <f t="shared" si="124"/>
        <v>2746.168472316494</v>
      </c>
      <c r="BK265" s="148">
        <f t="shared" si="124"/>
        <v>2746.168472316494</v>
      </c>
      <c r="BL265" s="148">
        <f t="shared" si="124"/>
        <v>2746.168472316494</v>
      </c>
      <c r="BM265" s="148">
        <f t="shared" si="124"/>
        <v>2746.168472316494</v>
      </c>
      <c r="BN265" s="148">
        <f t="shared" si="124"/>
        <v>2746.168472316494</v>
      </c>
      <c r="BO265" s="148">
        <f t="shared" si="124"/>
        <v>4119.2527084747408</v>
      </c>
      <c r="BP265" s="148">
        <f t="shared" si="79"/>
        <v>155187.0896499051</v>
      </c>
      <c r="BQ265" s="148"/>
    </row>
    <row r="266" spans="3:69" s="22" customFormat="1" outlineLevel="1">
      <c r="C266" s="22" t="str">
        <v>TerraTask</v>
      </c>
      <c r="D266" s="161">
        <f>SUMIFS('Existing Stores'!$G$9:$G$1008,'Existing Stores'!$D$9:$D$1008,Model!$C266)</f>
        <v>769</v>
      </c>
      <c r="E266" s="165">
        <f>(AVERAGEIFS('Existing Stores'!$G$9:$G$1008,'Existing Stores'!$D$9:$D$1008,Model!$C266))</f>
        <v>13.981818181818182</v>
      </c>
      <c r="F266" s="29" t="s">
        <v>119</v>
      </c>
      <c r="G266" s="167">
        <f t="shared" ref="G266:BO266" si="125">$E266*G146*G$120*G$118*G207</f>
        <v>1153.5</v>
      </c>
      <c r="H266" s="148">
        <f t="shared" si="125"/>
        <v>633.65600000000006</v>
      </c>
      <c r="I266" s="148">
        <f t="shared" si="125"/>
        <v>594.05250000000001</v>
      </c>
      <c r="J266" s="148">
        <f t="shared" si="125"/>
        <v>792.07</v>
      </c>
      <c r="K266" s="148">
        <f t="shared" si="125"/>
        <v>792.07</v>
      </c>
      <c r="L266" s="148">
        <f t="shared" si="125"/>
        <v>792.07</v>
      </c>
      <c r="M266" s="148">
        <f t="shared" si="125"/>
        <v>792.07</v>
      </c>
      <c r="N266" s="148">
        <f t="shared" si="125"/>
        <v>792.07</v>
      </c>
      <c r="O266" s="148">
        <f t="shared" si="125"/>
        <v>792.07</v>
      </c>
      <c r="P266" s="148">
        <f t="shared" si="125"/>
        <v>792.07</v>
      </c>
      <c r="Q266" s="148">
        <f t="shared" si="125"/>
        <v>792.07</v>
      </c>
      <c r="R266" s="148">
        <f t="shared" si="125"/>
        <v>792.07</v>
      </c>
      <c r="S266" s="148">
        <f t="shared" si="125"/>
        <v>1188.105</v>
      </c>
      <c r="T266" s="148">
        <f t="shared" si="125"/>
        <v>652.66568000000007</v>
      </c>
      <c r="U266" s="148">
        <f t="shared" si="125"/>
        <v>611.87407499999995</v>
      </c>
      <c r="V266" s="148">
        <f t="shared" si="125"/>
        <v>815.83209999999997</v>
      </c>
      <c r="W266" s="148">
        <f t="shared" si="125"/>
        <v>815.83209999999997</v>
      </c>
      <c r="X266" s="148">
        <f t="shared" si="125"/>
        <v>815.83209999999997</v>
      </c>
      <c r="Y266" s="148">
        <f t="shared" si="125"/>
        <v>815.83209999999997</v>
      </c>
      <c r="Z266" s="148">
        <f t="shared" si="125"/>
        <v>815.83209999999997</v>
      </c>
      <c r="AA266" s="148">
        <f t="shared" si="125"/>
        <v>830.66541090909084</v>
      </c>
      <c r="AB266" s="148">
        <f t="shared" si="125"/>
        <v>830.66541090909084</v>
      </c>
      <c r="AC266" s="148">
        <f t="shared" si="125"/>
        <v>830.66541090909084</v>
      </c>
      <c r="AD266" s="148">
        <f t="shared" si="125"/>
        <v>830.66541090909084</v>
      </c>
      <c r="AE266" s="148">
        <f t="shared" si="125"/>
        <v>1245.9981163636364</v>
      </c>
      <c r="AF266" s="148">
        <f t="shared" si="125"/>
        <v>684.46829858909098</v>
      </c>
      <c r="AG266" s="148">
        <f t="shared" si="125"/>
        <v>641.68902992727271</v>
      </c>
      <c r="AH266" s="148">
        <f t="shared" si="125"/>
        <v>855.58537323636369</v>
      </c>
      <c r="AI266" s="148">
        <f t="shared" si="125"/>
        <v>855.58537323636369</v>
      </c>
      <c r="AJ266" s="148">
        <f t="shared" si="125"/>
        <v>855.58537323636369</v>
      </c>
      <c r="AK266" s="148">
        <f t="shared" si="125"/>
        <v>855.58537323636369</v>
      </c>
      <c r="AL266" s="148">
        <f t="shared" si="125"/>
        <v>855.58537323636369</v>
      </c>
      <c r="AM266" s="148">
        <f t="shared" si="125"/>
        <v>855.58537323636369</v>
      </c>
      <c r="AN266" s="148">
        <f t="shared" si="125"/>
        <v>855.58537323636369</v>
      </c>
      <c r="AO266" s="148">
        <f t="shared" si="125"/>
        <v>855.58537323636369</v>
      </c>
      <c r="AP266" s="148">
        <f t="shared" si="125"/>
        <v>855.58537323636369</v>
      </c>
      <c r="AQ266" s="148">
        <f t="shared" si="125"/>
        <v>1283.3780598545454</v>
      </c>
      <c r="AR266" s="148">
        <f t="shared" si="125"/>
        <v>705.00234754676364</v>
      </c>
      <c r="AS266" s="148">
        <f t="shared" si="125"/>
        <v>660.93970082509088</v>
      </c>
      <c r="AT266" s="148">
        <f t="shared" si="125"/>
        <v>881.25293443345447</v>
      </c>
      <c r="AU266" s="148">
        <f t="shared" si="125"/>
        <v>881.25293443345447</v>
      </c>
      <c r="AV266" s="148">
        <f t="shared" si="125"/>
        <v>881.25293443345447</v>
      </c>
      <c r="AW266" s="148">
        <f t="shared" si="125"/>
        <v>881.25293443345447</v>
      </c>
      <c r="AX266" s="148">
        <f t="shared" si="125"/>
        <v>881.25293443345447</v>
      </c>
      <c r="AY266" s="148">
        <f t="shared" si="125"/>
        <v>881.25293443345447</v>
      </c>
      <c r="AZ266" s="148">
        <f t="shared" si="125"/>
        <v>881.25293443345447</v>
      </c>
      <c r="BA266" s="148">
        <f t="shared" si="125"/>
        <v>896.98959397690908</v>
      </c>
      <c r="BB266" s="148">
        <f t="shared" si="125"/>
        <v>896.98959397690908</v>
      </c>
      <c r="BC266" s="148">
        <f t="shared" si="125"/>
        <v>1345.4843909653637</v>
      </c>
      <c r="BD266" s="148">
        <f t="shared" si="125"/>
        <v>739.11942543697307</v>
      </c>
      <c r="BE266" s="148">
        <f t="shared" si="125"/>
        <v>692.92446134716226</v>
      </c>
      <c r="BF266" s="148">
        <f t="shared" si="125"/>
        <v>923.89928179621631</v>
      </c>
      <c r="BG266" s="148">
        <f t="shared" si="125"/>
        <v>923.89928179621631</v>
      </c>
      <c r="BH266" s="148">
        <f t="shared" si="125"/>
        <v>923.89928179621631</v>
      </c>
      <c r="BI266" s="148">
        <f t="shared" si="125"/>
        <v>923.89928179621631</v>
      </c>
      <c r="BJ266" s="148">
        <f t="shared" si="125"/>
        <v>923.89928179621631</v>
      </c>
      <c r="BK266" s="148">
        <f t="shared" si="125"/>
        <v>923.89928179621631</v>
      </c>
      <c r="BL266" s="148">
        <f t="shared" si="125"/>
        <v>923.89928179621631</v>
      </c>
      <c r="BM266" s="148">
        <f t="shared" si="125"/>
        <v>923.89928179621631</v>
      </c>
      <c r="BN266" s="148">
        <f t="shared" si="125"/>
        <v>923.89928179621631</v>
      </c>
      <c r="BO266" s="148">
        <f t="shared" si="125"/>
        <v>1385.8489226943245</v>
      </c>
      <c r="BP266" s="148">
        <f t="shared" si="79"/>
        <v>51573.769776467801</v>
      </c>
      <c r="BQ266" s="148"/>
    </row>
    <row r="267" spans="3:69" s="22" customFormat="1" outlineLevel="1">
      <c r="C267" s="22" t="str">
        <v>Uploadia</v>
      </c>
      <c r="D267" s="161">
        <f>SUMIFS('Existing Stores'!$G$9:$G$1008,'Existing Stores'!$D$9:$D$1008,Model!$C267)</f>
        <v>11</v>
      </c>
      <c r="E267" s="165">
        <f>(AVERAGEIFS('Existing Stores'!$G$9:$G$1008,'Existing Stores'!$D$9:$D$1008,Model!$C267))</f>
        <v>11</v>
      </c>
      <c r="F267" s="29" t="s">
        <v>119</v>
      </c>
      <c r="G267" s="167">
        <f t="shared" ref="G267:BO267" si="126">$E267*G147*G$120*G$118*G208</f>
        <v>16.5</v>
      </c>
      <c r="H267" s="148">
        <f t="shared" si="126"/>
        <v>9.0640000000000018</v>
      </c>
      <c r="I267" s="148">
        <f t="shared" si="126"/>
        <v>8.4975000000000005</v>
      </c>
      <c r="J267" s="148">
        <f t="shared" si="126"/>
        <v>11.33</v>
      </c>
      <c r="K267" s="148">
        <f t="shared" si="126"/>
        <v>11.33</v>
      </c>
      <c r="L267" s="148">
        <f t="shared" si="126"/>
        <v>11.33</v>
      </c>
      <c r="M267" s="148">
        <f t="shared" si="126"/>
        <v>11.33</v>
      </c>
      <c r="N267" s="148">
        <f t="shared" si="126"/>
        <v>11.33</v>
      </c>
      <c r="O267" s="148">
        <f t="shared" si="126"/>
        <v>11.33</v>
      </c>
      <c r="P267" s="148">
        <f t="shared" si="126"/>
        <v>11.33</v>
      </c>
      <c r="Q267" s="148">
        <f t="shared" si="126"/>
        <v>11.33</v>
      </c>
      <c r="R267" s="148">
        <f t="shared" si="126"/>
        <v>11.33</v>
      </c>
      <c r="S267" s="148">
        <f t="shared" si="126"/>
        <v>16.995000000000001</v>
      </c>
      <c r="T267" s="148">
        <f t="shared" si="126"/>
        <v>9.3359199999999998</v>
      </c>
      <c r="U267" s="148">
        <f t="shared" si="126"/>
        <v>8.7524249999999988</v>
      </c>
      <c r="V267" s="148">
        <f t="shared" si="126"/>
        <v>11.6699</v>
      </c>
      <c r="W267" s="148">
        <f t="shared" si="126"/>
        <v>11.6699</v>
      </c>
      <c r="X267" s="148">
        <f t="shared" si="126"/>
        <v>11.6699</v>
      </c>
      <c r="Y267" s="148">
        <f t="shared" si="126"/>
        <v>11.6699</v>
      </c>
      <c r="Z267" s="148">
        <f t="shared" si="126"/>
        <v>11.6699</v>
      </c>
      <c r="AA267" s="148">
        <f t="shared" si="126"/>
        <v>11.6699</v>
      </c>
      <c r="AB267" s="148">
        <f t="shared" si="126"/>
        <v>18.67184</v>
      </c>
      <c r="AC267" s="148">
        <f t="shared" si="126"/>
        <v>18.67184</v>
      </c>
      <c r="AD267" s="148">
        <f t="shared" si="126"/>
        <v>18.67184</v>
      </c>
      <c r="AE267" s="148">
        <f t="shared" si="126"/>
        <v>28.007759999999998</v>
      </c>
      <c r="AF267" s="148">
        <f t="shared" si="126"/>
        <v>15.38559616</v>
      </c>
      <c r="AG267" s="148">
        <f t="shared" si="126"/>
        <v>14.4239964</v>
      </c>
      <c r="AH267" s="148">
        <f t="shared" si="126"/>
        <v>19.2319952</v>
      </c>
      <c r="AI267" s="148">
        <f t="shared" si="126"/>
        <v>19.2319952</v>
      </c>
      <c r="AJ267" s="148">
        <f t="shared" si="126"/>
        <v>19.2319952</v>
      </c>
      <c r="AK267" s="148">
        <f t="shared" si="126"/>
        <v>19.2319952</v>
      </c>
      <c r="AL267" s="148">
        <f t="shared" si="126"/>
        <v>19.2319952</v>
      </c>
      <c r="AM267" s="148">
        <f t="shared" si="126"/>
        <v>19.2319952</v>
      </c>
      <c r="AN267" s="148">
        <f t="shared" si="126"/>
        <v>19.2319952</v>
      </c>
      <c r="AO267" s="148">
        <f t="shared" si="126"/>
        <v>19.2319952</v>
      </c>
      <c r="AP267" s="148">
        <f t="shared" si="126"/>
        <v>19.2319952</v>
      </c>
      <c r="AQ267" s="148">
        <f t="shared" si="126"/>
        <v>28.8479928</v>
      </c>
      <c r="AR267" s="148">
        <f t="shared" si="126"/>
        <v>15.8471640448</v>
      </c>
      <c r="AS267" s="148">
        <f t="shared" si="126"/>
        <v>14.856716292</v>
      </c>
      <c r="AT267" s="148">
        <f t="shared" si="126"/>
        <v>19.808955056000002</v>
      </c>
      <c r="AU267" s="148">
        <f t="shared" si="126"/>
        <v>19.808955056000002</v>
      </c>
      <c r="AV267" s="148">
        <f t="shared" si="126"/>
        <v>19.808955056000002</v>
      </c>
      <c r="AW267" s="148">
        <f t="shared" si="126"/>
        <v>19.808955056000002</v>
      </c>
      <c r="AX267" s="148">
        <f t="shared" si="126"/>
        <v>19.808955056000002</v>
      </c>
      <c r="AY267" s="148">
        <f t="shared" si="126"/>
        <v>19.808955056000002</v>
      </c>
      <c r="AZ267" s="148">
        <f t="shared" si="126"/>
        <v>19.808955056000002</v>
      </c>
      <c r="BA267" s="148">
        <f t="shared" si="126"/>
        <v>19.808955056000002</v>
      </c>
      <c r="BB267" s="148">
        <f t="shared" si="126"/>
        <v>29.713432584</v>
      </c>
      <c r="BC267" s="148">
        <f t="shared" si="126"/>
        <v>44.570148875999998</v>
      </c>
      <c r="BD267" s="148">
        <f t="shared" si="126"/>
        <v>24.483868449216001</v>
      </c>
      <c r="BE267" s="148">
        <f t="shared" si="126"/>
        <v>22.95362667114</v>
      </c>
      <c r="BF267" s="148">
        <f t="shared" si="126"/>
        <v>30.604835561519998</v>
      </c>
      <c r="BG267" s="148">
        <f t="shared" si="126"/>
        <v>30.604835561519998</v>
      </c>
      <c r="BH267" s="148">
        <f t="shared" si="126"/>
        <v>30.604835561519998</v>
      </c>
      <c r="BI267" s="148">
        <f t="shared" si="126"/>
        <v>30.604835561519998</v>
      </c>
      <c r="BJ267" s="148">
        <f t="shared" si="126"/>
        <v>30.604835561519998</v>
      </c>
      <c r="BK267" s="148">
        <f t="shared" si="126"/>
        <v>30.604835561519998</v>
      </c>
      <c r="BL267" s="148">
        <f t="shared" si="126"/>
        <v>30.604835561519998</v>
      </c>
      <c r="BM267" s="148">
        <f t="shared" si="126"/>
        <v>30.604835561519998</v>
      </c>
      <c r="BN267" s="148">
        <f t="shared" si="126"/>
        <v>30.604835561519998</v>
      </c>
      <c r="BO267" s="148">
        <f t="shared" si="126"/>
        <v>45.907253342280001</v>
      </c>
      <c r="BP267" s="148">
        <f t="shared" si="79"/>
        <v>1172.6504379211167</v>
      </c>
      <c r="BQ267" s="148"/>
    </row>
    <row r="268" spans="3:69" s="22" customFormat="1" outlineLevel="1">
      <c r="C268" s="22" t="str">
        <v>Vector Valley</v>
      </c>
      <c r="D268" s="161">
        <f>SUMIFS('Existing Stores'!$G$9:$G$1008,'Existing Stores'!$D$9:$D$1008,Model!$C268)</f>
        <v>397</v>
      </c>
      <c r="E268" s="165">
        <f>(AVERAGEIFS('Existing Stores'!$G$9:$G$1008,'Existing Stores'!$D$9:$D$1008,Model!$C268))</f>
        <v>15.26923076923077</v>
      </c>
      <c r="F268" s="29" t="s">
        <v>119</v>
      </c>
      <c r="G268" s="167">
        <f t="shared" ref="G268:BO268" si="127">$E268*G148*G$120*G$118*G209</f>
        <v>595.5</v>
      </c>
      <c r="H268" s="148">
        <f t="shared" si="127"/>
        <v>327.12800000000004</v>
      </c>
      <c r="I268" s="148">
        <f t="shared" si="127"/>
        <v>306.6825</v>
      </c>
      <c r="J268" s="148">
        <f t="shared" si="127"/>
        <v>408.91</v>
      </c>
      <c r="K268" s="148">
        <f t="shared" si="127"/>
        <v>408.91</v>
      </c>
      <c r="L268" s="148">
        <f t="shared" si="127"/>
        <v>408.91</v>
      </c>
      <c r="M268" s="148">
        <f t="shared" si="127"/>
        <v>408.91</v>
      </c>
      <c r="N268" s="148">
        <f t="shared" si="127"/>
        <v>408.91</v>
      </c>
      <c r="O268" s="148">
        <f t="shared" si="127"/>
        <v>408.91</v>
      </c>
      <c r="P268" s="148">
        <f t="shared" si="127"/>
        <v>408.91</v>
      </c>
      <c r="Q268" s="148">
        <f t="shared" si="127"/>
        <v>408.91</v>
      </c>
      <c r="R268" s="148">
        <f t="shared" si="127"/>
        <v>408.91</v>
      </c>
      <c r="S268" s="148">
        <f t="shared" si="127"/>
        <v>613.36500000000001</v>
      </c>
      <c r="T268" s="148">
        <f t="shared" si="127"/>
        <v>336.94184000000001</v>
      </c>
      <c r="U268" s="148">
        <f t="shared" si="127"/>
        <v>315.88297499999999</v>
      </c>
      <c r="V268" s="148">
        <f t="shared" si="127"/>
        <v>421.1773</v>
      </c>
      <c r="W268" s="148">
        <f t="shared" si="127"/>
        <v>421.1773</v>
      </c>
      <c r="X268" s="148">
        <f t="shared" si="127"/>
        <v>421.1773</v>
      </c>
      <c r="Y268" s="148">
        <f t="shared" si="127"/>
        <v>421.1773</v>
      </c>
      <c r="Z268" s="148">
        <f t="shared" si="127"/>
        <v>421.1773</v>
      </c>
      <c r="AA268" s="148">
        <f t="shared" si="127"/>
        <v>421.1773</v>
      </c>
      <c r="AB268" s="148">
        <f t="shared" si="127"/>
        <v>421.1773</v>
      </c>
      <c r="AC268" s="148">
        <f t="shared" si="127"/>
        <v>437.37642692307691</v>
      </c>
      <c r="AD268" s="148">
        <f t="shared" si="127"/>
        <v>437.37642692307691</v>
      </c>
      <c r="AE268" s="148">
        <f t="shared" si="127"/>
        <v>656.06464038461536</v>
      </c>
      <c r="AF268" s="148">
        <f t="shared" si="127"/>
        <v>360.39817578461538</v>
      </c>
      <c r="AG268" s="148">
        <f t="shared" si="127"/>
        <v>337.87328979807694</v>
      </c>
      <c r="AH268" s="148">
        <f t="shared" si="127"/>
        <v>450.49771973076923</v>
      </c>
      <c r="AI268" s="148">
        <f t="shared" si="127"/>
        <v>450.49771973076923</v>
      </c>
      <c r="AJ268" s="148">
        <f t="shared" si="127"/>
        <v>450.49771973076923</v>
      </c>
      <c r="AK268" s="148">
        <f t="shared" si="127"/>
        <v>450.49771973076923</v>
      </c>
      <c r="AL268" s="148">
        <f t="shared" si="127"/>
        <v>450.49771973076923</v>
      </c>
      <c r="AM268" s="148">
        <f t="shared" si="127"/>
        <v>450.49771973076923</v>
      </c>
      <c r="AN268" s="148">
        <f t="shared" si="127"/>
        <v>450.49771973076923</v>
      </c>
      <c r="AO268" s="148">
        <f t="shared" si="127"/>
        <v>450.49771973076923</v>
      </c>
      <c r="AP268" s="148">
        <f t="shared" si="127"/>
        <v>450.49771973076923</v>
      </c>
      <c r="AQ268" s="148">
        <f t="shared" si="127"/>
        <v>675.74657959615388</v>
      </c>
      <c r="AR268" s="148">
        <f t="shared" si="127"/>
        <v>371.21012105815385</v>
      </c>
      <c r="AS268" s="148">
        <f t="shared" si="127"/>
        <v>348.00948849201922</v>
      </c>
      <c r="AT268" s="148">
        <f t="shared" si="127"/>
        <v>464.01265132269225</v>
      </c>
      <c r="AU268" s="148">
        <f t="shared" si="127"/>
        <v>464.01265132269225</v>
      </c>
      <c r="AV268" s="148">
        <f t="shared" si="127"/>
        <v>464.01265132269225</v>
      </c>
      <c r="AW268" s="148">
        <f t="shared" si="127"/>
        <v>464.01265132269225</v>
      </c>
      <c r="AX268" s="148">
        <f t="shared" si="127"/>
        <v>464.01265132269225</v>
      </c>
      <c r="AY268" s="148">
        <f t="shared" si="127"/>
        <v>464.01265132269225</v>
      </c>
      <c r="AZ268" s="148">
        <f t="shared" si="127"/>
        <v>464.01265132269225</v>
      </c>
      <c r="BA268" s="148">
        <f t="shared" si="127"/>
        <v>464.01265132269225</v>
      </c>
      <c r="BB268" s="148">
        <f t="shared" si="127"/>
        <v>464.01265132269225</v>
      </c>
      <c r="BC268" s="148">
        <f t="shared" si="127"/>
        <v>721.79745761307697</v>
      </c>
      <c r="BD268" s="148">
        <f t="shared" si="127"/>
        <v>396.50740338211688</v>
      </c>
      <c r="BE268" s="148">
        <f t="shared" si="127"/>
        <v>371.72569067073459</v>
      </c>
      <c r="BF268" s="148">
        <f t="shared" si="127"/>
        <v>495.63425422764612</v>
      </c>
      <c r="BG268" s="148">
        <f t="shared" si="127"/>
        <v>495.63425422764612</v>
      </c>
      <c r="BH268" s="148">
        <f t="shared" si="127"/>
        <v>495.63425422764612</v>
      </c>
      <c r="BI268" s="148">
        <f t="shared" si="127"/>
        <v>495.63425422764612</v>
      </c>
      <c r="BJ268" s="148">
        <f t="shared" si="127"/>
        <v>495.63425422764612</v>
      </c>
      <c r="BK268" s="148">
        <f t="shared" si="127"/>
        <v>495.63425422764612</v>
      </c>
      <c r="BL268" s="148">
        <f t="shared" si="127"/>
        <v>495.63425422764612</v>
      </c>
      <c r="BM268" s="148">
        <f t="shared" si="127"/>
        <v>495.63425422764612</v>
      </c>
      <c r="BN268" s="148">
        <f t="shared" si="127"/>
        <v>495.63425422764612</v>
      </c>
      <c r="BO268" s="148">
        <f t="shared" si="127"/>
        <v>743.45138134146919</v>
      </c>
      <c r="BP268" s="148">
        <f t="shared" si="79"/>
        <v>27077.270124497172</v>
      </c>
      <c r="BQ268" s="148"/>
    </row>
    <row r="269" spans="3:69" s="22" customFormat="1" outlineLevel="1">
      <c r="C269" s="22" t="str">
        <v>Wiredown</v>
      </c>
      <c r="D269" s="161">
        <f>SUMIFS('Existing Stores'!$G$9:$G$1008,'Existing Stores'!$D$9:$D$1008,Model!$C269)</f>
        <v>99</v>
      </c>
      <c r="E269" s="165">
        <f>(AVERAGEIFS('Existing Stores'!$G$9:$G$1008,'Existing Stores'!$D$9:$D$1008,Model!$C269))</f>
        <v>14.142857142857142</v>
      </c>
      <c r="F269" s="29" t="s">
        <v>119</v>
      </c>
      <c r="G269" s="167">
        <f t="shared" ref="G269:BO269" si="128">$E269*G149*G$120*G$118*G210</f>
        <v>148.5</v>
      </c>
      <c r="H269" s="148">
        <f t="shared" si="128"/>
        <v>81.576000000000008</v>
      </c>
      <c r="I269" s="148">
        <f t="shared" si="128"/>
        <v>76.477500000000006</v>
      </c>
      <c r="J269" s="148">
        <f t="shared" si="128"/>
        <v>101.97</v>
      </c>
      <c r="K269" s="148">
        <f t="shared" si="128"/>
        <v>101.97</v>
      </c>
      <c r="L269" s="148">
        <f t="shared" si="128"/>
        <v>101.97</v>
      </c>
      <c r="M269" s="148">
        <f t="shared" si="128"/>
        <v>101.97</v>
      </c>
      <c r="N269" s="148">
        <f t="shared" si="128"/>
        <v>101.97</v>
      </c>
      <c r="O269" s="148">
        <f t="shared" si="128"/>
        <v>101.97</v>
      </c>
      <c r="P269" s="148">
        <f t="shared" si="128"/>
        <v>101.97</v>
      </c>
      <c r="Q269" s="148">
        <f t="shared" si="128"/>
        <v>101.97</v>
      </c>
      <c r="R269" s="148">
        <f t="shared" si="128"/>
        <v>101.97</v>
      </c>
      <c r="S269" s="148">
        <f t="shared" si="128"/>
        <v>152.95500000000001</v>
      </c>
      <c r="T269" s="148">
        <f t="shared" si="128"/>
        <v>84.02328</v>
      </c>
      <c r="U269" s="148">
        <f t="shared" si="128"/>
        <v>78.771824999999993</v>
      </c>
      <c r="V269" s="148">
        <f t="shared" si="128"/>
        <v>105.0291</v>
      </c>
      <c r="W269" s="148">
        <f t="shared" si="128"/>
        <v>105.0291</v>
      </c>
      <c r="X269" s="148">
        <f t="shared" si="128"/>
        <v>105.0291</v>
      </c>
      <c r="Y269" s="148">
        <f t="shared" si="128"/>
        <v>105.0291</v>
      </c>
      <c r="Z269" s="148">
        <f t="shared" si="128"/>
        <v>105.0291</v>
      </c>
      <c r="AA269" s="148">
        <f t="shared" si="128"/>
        <v>105.0291</v>
      </c>
      <c r="AB269" s="148">
        <f t="shared" si="128"/>
        <v>105.0291</v>
      </c>
      <c r="AC269" s="148">
        <f t="shared" si="128"/>
        <v>105.0291</v>
      </c>
      <c r="AD269" s="148">
        <f t="shared" si="128"/>
        <v>120.03325714285714</v>
      </c>
      <c r="AE269" s="148">
        <f t="shared" si="128"/>
        <v>180.04988571428572</v>
      </c>
      <c r="AF269" s="148">
        <f t="shared" si="128"/>
        <v>98.907403885714288</v>
      </c>
      <c r="AG269" s="148">
        <f t="shared" si="128"/>
        <v>92.725691142857144</v>
      </c>
      <c r="AH269" s="148">
        <f t="shared" si="128"/>
        <v>123.63425485714285</v>
      </c>
      <c r="AI269" s="148">
        <f t="shared" si="128"/>
        <v>123.63425485714285</v>
      </c>
      <c r="AJ269" s="148">
        <f t="shared" si="128"/>
        <v>123.63425485714285</v>
      </c>
      <c r="AK269" s="148">
        <f t="shared" si="128"/>
        <v>123.63425485714285</v>
      </c>
      <c r="AL269" s="148">
        <f t="shared" si="128"/>
        <v>123.63425485714285</v>
      </c>
      <c r="AM269" s="148">
        <f t="shared" si="128"/>
        <v>123.63425485714285</v>
      </c>
      <c r="AN269" s="148">
        <f t="shared" si="128"/>
        <v>123.63425485714285</v>
      </c>
      <c r="AO269" s="148">
        <f t="shared" si="128"/>
        <v>123.63425485714285</v>
      </c>
      <c r="AP269" s="148">
        <f t="shared" si="128"/>
        <v>123.63425485714285</v>
      </c>
      <c r="AQ269" s="148">
        <f t="shared" si="128"/>
        <v>185.45138228571429</v>
      </c>
      <c r="AR269" s="148">
        <f t="shared" si="128"/>
        <v>101.87462600228571</v>
      </c>
      <c r="AS269" s="148">
        <f t="shared" si="128"/>
        <v>95.507461877142859</v>
      </c>
      <c r="AT269" s="148">
        <f t="shared" si="128"/>
        <v>127.34328250285714</v>
      </c>
      <c r="AU269" s="148">
        <f t="shared" si="128"/>
        <v>127.34328250285714</v>
      </c>
      <c r="AV269" s="148">
        <f t="shared" si="128"/>
        <v>127.34328250285714</v>
      </c>
      <c r="AW269" s="148">
        <f t="shared" si="128"/>
        <v>127.34328250285714</v>
      </c>
      <c r="AX269" s="148">
        <f t="shared" si="128"/>
        <v>127.34328250285714</v>
      </c>
      <c r="AY269" s="148">
        <f t="shared" si="128"/>
        <v>127.34328250285714</v>
      </c>
      <c r="AZ269" s="148">
        <f t="shared" si="128"/>
        <v>127.34328250285714</v>
      </c>
      <c r="BA269" s="148">
        <f t="shared" si="128"/>
        <v>127.34328250285714</v>
      </c>
      <c r="BB269" s="148">
        <f t="shared" si="128"/>
        <v>127.34328250285714</v>
      </c>
      <c r="BC269" s="148">
        <f t="shared" si="128"/>
        <v>191.01492375428572</v>
      </c>
      <c r="BD269" s="148">
        <f t="shared" si="128"/>
        <v>118.04722288014855</v>
      </c>
      <c r="BE269" s="148">
        <f t="shared" si="128"/>
        <v>110.66927145013926</v>
      </c>
      <c r="BF269" s="148">
        <f t="shared" si="128"/>
        <v>147.55902860018568</v>
      </c>
      <c r="BG269" s="148">
        <f t="shared" si="128"/>
        <v>147.55902860018568</v>
      </c>
      <c r="BH269" s="148">
        <f t="shared" si="128"/>
        <v>147.55902860018568</v>
      </c>
      <c r="BI269" s="148">
        <f t="shared" si="128"/>
        <v>147.55902860018568</v>
      </c>
      <c r="BJ269" s="148">
        <f t="shared" si="128"/>
        <v>147.55902860018568</v>
      </c>
      <c r="BK269" s="148">
        <f t="shared" si="128"/>
        <v>147.55902860018568</v>
      </c>
      <c r="BL269" s="148">
        <f t="shared" si="128"/>
        <v>147.55902860018568</v>
      </c>
      <c r="BM269" s="148">
        <f t="shared" si="128"/>
        <v>147.55902860018568</v>
      </c>
      <c r="BN269" s="148">
        <f t="shared" si="128"/>
        <v>147.55902860018568</v>
      </c>
      <c r="BO269" s="148">
        <f t="shared" si="128"/>
        <v>221.33854290027853</v>
      </c>
      <c r="BP269" s="148">
        <f t="shared" si="79"/>
        <v>7334.2151676773801</v>
      </c>
      <c r="BQ269" s="148"/>
    </row>
    <row r="270" spans="3:69" s="22" customFormat="1" outlineLevel="1">
      <c r="C270" s="22" t="str">
        <v>Xenocode City</v>
      </c>
      <c r="D270" s="162">
        <f>SUMIFS('Existing Stores'!$G$9:$G$1008,'Existing Stores'!$D$9:$D$1008,Model!$C270)</f>
        <v>87</v>
      </c>
      <c r="E270" s="165">
        <f>(AVERAGEIFS('Existing Stores'!$G$9:$G$1008,'Existing Stores'!$D$9:$D$1008,Model!$C270))</f>
        <v>21.75</v>
      </c>
      <c r="F270" s="29" t="s">
        <v>119</v>
      </c>
      <c r="G270" s="167">
        <f t="shared" ref="G270:BO270" si="129">$E270*G150*G$120*G$118*G211</f>
        <v>130.5</v>
      </c>
      <c r="H270" s="148">
        <f t="shared" si="129"/>
        <v>71.688000000000017</v>
      </c>
      <c r="I270" s="148">
        <f t="shared" si="129"/>
        <v>67.207499999999996</v>
      </c>
      <c r="J270" s="148">
        <f t="shared" si="129"/>
        <v>89.61</v>
      </c>
      <c r="K270" s="148">
        <f t="shared" si="129"/>
        <v>89.61</v>
      </c>
      <c r="L270" s="148">
        <f t="shared" si="129"/>
        <v>89.61</v>
      </c>
      <c r="M270" s="148">
        <f t="shared" si="129"/>
        <v>89.61</v>
      </c>
      <c r="N270" s="148">
        <f t="shared" si="129"/>
        <v>89.61</v>
      </c>
      <c r="O270" s="148">
        <f t="shared" si="129"/>
        <v>89.61</v>
      </c>
      <c r="P270" s="148">
        <f t="shared" si="129"/>
        <v>89.61</v>
      </c>
      <c r="Q270" s="148">
        <f t="shared" si="129"/>
        <v>89.61</v>
      </c>
      <c r="R270" s="148">
        <f t="shared" si="129"/>
        <v>89.61</v>
      </c>
      <c r="S270" s="148">
        <f t="shared" si="129"/>
        <v>134.41499999999999</v>
      </c>
      <c r="T270" s="148">
        <f t="shared" si="129"/>
        <v>73.838640000000012</v>
      </c>
      <c r="U270" s="148">
        <f t="shared" si="129"/>
        <v>69.223725000000002</v>
      </c>
      <c r="V270" s="148">
        <f t="shared" si="129"/>
        <v>92.298299999999998</v>
      </c>
      <c r="W270" s="148">
        <f t="shared" si="129"/>
        <v>92.298299999999998</v>
      </c>
      <c r="X270" s="148">
        <f t="shared" si="129"/>
        <v>92.298299999999998</v>
      </c>
      <c r="Y270" s="148">
        <f t="shared" si="129"/>
        <v>92.298299999999998</v>
      </c>
      <c r="Z270" s="148">
        <f t="shared" si="129"/>
        <v>92.298299999999998</v>
      </c>
      <c r="AA270" s="148">
        <f t="shared" si="129"/>
        <v>92.298299999999998</v>
      </c>
      <c r="AB270" s="148">
        <f t="shared" si="129"/>
        <v>92.298299999999998</v>
      </c>
      <c r="AC270" s="148">
        <f t="shared" si="129"/>
        <v>92.298299999999998</v>
      </c>
      <c r="AD270" s="148">
        <f t="shared" si="129"/>
        <v>92.298299999999998</v>
      </c>
      <c r="AE270" s="148">
        <f t="shared" si="129"/>
        <v>138.44745</v>
      </c>
      <c r="AF270" s="148">
        <f t="shared" si="129"/>
        <v>76.0537992</v>
      </c>
      <c r="AG270" s="148">
        <f t="shared" si="129"/>
        <v>71.300436750000003</v>
      </c>
      <c r="AH270" s="148">
        <f t="shared" si="129"/>
        <v>95.067249000000004</v>
      </c>
      <c r="AI270" s="148">
        <f t="shared" si="129"/>
        <v>95.067249000000004</v>
      </c>
      <c r="AJ270" s="148">
        <f t="shared" si="129"/>
        <v>95.067249000000004</v>
      </c>
      <c r="AK270" s="148">
        <f t="shared" si="129"/>
        <v>95.067249000000004</v>
      </c>
      <c r="AL270" s="148">
        <f t="shared" si="129"/>
        <v>95.067249000000004</v>
      </c>
      <c r="AM270" s="148">
        <f t="shared" si="129"/>
        <v>95.067249000000004</v>
      </c>
      <c r="AN270" s="148">
        <f t="shared" si="129"/>
        <v>95.067249000000004</v>
      </c>
      <c r="AO270" s="148">
        <f t="shared" si="129"/>
        <v>95.067249000000004</v>
      </c>
      <c r="AP270" s="148">
        <f t="shared" si="129"/>
        <v>95.067249000000004</v>
      </c>
      <c r="AQ270" s="148">
        <f t="shared" si="129"/>
        <v>142.60087350000001</v>
      </c>
      <c r="AR270" s="148">
        <f t="shared" si="129"/>
        <v>78.335413176000003</v>
      </c>
      <c r="AS270" s="148">
        <f t="shared" si="129"/>
        <v>73.43944985249999</v>
      </c>
      <c r="AT270" s="148">
        <f t="shared" si="129"/>
        <v>97.919266469999997</v>
      </c>
      <c r="AU270" s="148">
        <f t="shared" si="129"/>
        <v>97.919266469999997</v>
      </c>
      <c r="AV270" s="148">
        <f t="shared" si="129"/>
        <v>97.919266469999997</v>
      </c>
      <c r="AW270" s="148">
        <f t="shared" si="129"/>
        <v>97.919266469999997</v>
      </c>
      <c r="AX270" s="148">
        <f t="shared" si="129"/>
        <v>97.919266469999997</v>
      </c>
      <c r="AY270" s="148">
        <f t="shared" si="129"/>
        <v>97.919266469999997</v>
      </c>
      <c r="AZ270" s="148">
        <f t="shared" si="129"/>
        <v>97.919266469999997</v>
      </c>
      <c r="BA270" s="148">
        <f t="shared" si="129"/>
        <v>97.919266469999997</v>
      </c>
      <c r="BB270" s="148">
        <f t="shared" si="129"/>
        <v>97.919266469999997</v>
      </c>
      <c r="BC270" s="148">
        <f t="shared" si="129"/>
        <v>146.87889970499998</v>
      </c>
      <c r="BD270" s="148">
        <f t="shared" si="129"/>
        <v>80.685475571279994</v>
      </c>
      <c r="BE270" s="148">
        <f t="shared" si="129"/>
        <v>90.771160017689994</v>
      </c>
      <c r="BF270" s="148">
        <f t="shared" si="129"/>
        <v>121.02821335691999</v>
      </c>
      <c r="BG270" s="148">
        <f t="shared" si="129"/>
        <v>121.02821335691999</v>
      </c>
      <c r="BH270" s="148">
        <f t="shared" si="129"/>
        <v>121.02821335691999</v>
      </c>
      <c r="BI270" s="148">
        <f t="shared" si="129"/>
        <v>121.02821335691999</v>
      </c>
      <c r="BJ270" s="148">
        <f t="shared" si="129"/>
        <v>121.02821335691999</v>
      </c>
      <c r="BK270" s="148">
        <f t="shared" si="129"/>
        <v>121.02821335691999</v>
      </c>
      <c r="BL270" s="148">
        <f t="shared" si="129"/>
        <v>121.02821335691999</v>
      </c>
      <c r="BM270" s="148">
        <f t="shared" si="129"/>
        <v>121.02821335691999</v>
      </c>
      <c r="BN270" s="148">
        <f t="shared" si="129"/>
        <v>121.02821335691999</v>
      </c>
      <c r="BO270" s="148">
        <f t="shared" si="129"/>
        <v>181.54232003537999</v>
      </c>
      <c r="BP270" s="148">
        <f t="shared" si="79"/>
        <v>5959.7354022501295</v>
      </c>
      <c r="BQ270" s="148"/>
    </row>
    <row r="271" spans="3:69" s="22" customFormat="1" outlineLevel="1">
      <c r="C271" s="22" t="str">
        <v>Yieldville</v>
      </c>
      <c r="D271" s="161">
        <f>SUMIFS('Existing Stores'!$G$9:$G$1008,'Existing Stores'!$D$9:$D$1008,Model!$C271)</f>
        <v>39</v>
      </c>
      <c r="E271" s="165">
        <f>(AVERAGEIFS('Existing Stores'!$G$9:$G$1008,'Existing Stores'!$D$9:$D$1008,Model!$C271))</f>
        <v>13</v>
      </c>
      <c r="F271" s="29" t="s">
        <v>119</v>
      </c>
      <c r="G271" s="167">
        <f t="shared" ref="G271:BO271" si="130">$E271*G151*G$120*G$118*G212</f>
        <v>58.5</v>
      </c>
      <c r="H271" s="148">
        <f t="shared" si="130"/>
        <v>32.136000000000003</v>
      </c>
      <c r="I271" s="148">
        <f t="shared" si="130"/>
        <v>30.127500000000001</v>
      </c>
      <c r="J271" s="148">
        <f t="shared" si="130"/>
        <v>40.17</v>
      </c>
      <c r="K271" s="148">
        <f t="shared" si="130"/>
        <v>40.17</v>
      </c>
      <c r="L271" s="148">
        <f t="shared" si="130"/>
        <v>40.17</v>
      </c>
      <c r="M271" s="148">
        <f t="shared" si="130"/>
        <v>40.17</v>
      </c>
      <c r="N271" s="148">
        <f t="shared" si="130"/>
        <v>40.17</v>
      </c>
      <c r="O271" s="148">
        <f t="shared" si="130"/>
        <v>40.17</v>
      </c>
      <c r="P271" s="148">
        <f t="shared" si="130"/>
        <v>40.17</v>
      </c>
      <c r="Q271" s="148">
        <f t="shared" si="130"/>
        <v>40.17</v>
      </c>
      <c r="R271" s="148">
        <f t="shared" si="130"/>
        <v>40.17</v>
      </c>
      <c r="S271" s="148">
        <f t="shared" si="130"/>
        <v>60.255000000000003</v>
      </c>
      <c r="T271" s="148">
        <f t="shared" si="130"/>
        <v>33.100079999999998</v>
      </c>
      <c r="U271" s="148">
        <f t="shared" si="130"/>
        <v>31.031324999999999</v>
      </c>
      <c r="V271" s="148">
        <f t="shared" si="130"/>
        <v>41.375099999999996</v>
      </c>
      <c r="W271" s="148">
        <f t="shared" si="130"/>
        <v>41.375099999999996</v>
      </c>
      <c r="X271" s="148">
        <f t="shared" si="130"/>
        <v>41.375099999999996</v>
      </c>
      <c r="Y271" s="148">
        <f t="shared" si="130"/>
        <v>41.375099999999996</v>
      </c>
      <c r="Z271" s="148">
        <f t="shared" si="130"/>
        <v>41.375099999999996</v>
      </c>
      <c r="AA271" s="148">
        <f t="shared" si="130"/>
        <v>41.375099999999996</v>
      </c>
      <c r="AB271" s="148">
        <f t="shared" si="130"/>
        <v>41.375099999999996</v>
      </c>
      <c r="AC271" s="148">
        <f t="shared" si="130"/>
        <v>41.375099999999996</v>
      </c>
      <c r="AD271" s="148">
        <f t="shared" si="130"/>
        <v>41.375099999999996</v>
      </c>
      <c r="AE271" s="148">
        <f t="shared" si="130"/>
        <v>62.062649999999998</v>
      </c>
      <c r="AF271" s="148">
        <f t="shared" si="130"/>
        <v>45.4574432</v>
      </c>
      <c r="AG271" s="148">
        <f t="shared" si="130"/>
        <v>42.616353000000004</v>
      </c>
      <c r="AH271" s="148">
        <f t="shared" si="130"/>
        <v>56.821804</v>
      </c>
      <c r="AI271" s="148">
        <f t="shared" si="130"/>
        <v>56.821804</v>
      </c>
      <c r="AJ271" s="148">
        <f t="shared" si="130"/>
        <v>56.821804</v>
      </c>
      <c r="AK271" s="148">
        <f t="shared" si="130"/>
        <v>56.821804</v>
      </c>
      <c r="AL271" s="148">
        <f t="shared" si="130"/>
        <v>56.821804</v>
      </c>
      <c r="AM271" s="148">
        <f t="shared" si="130"/>
        <v>56.821804</v>
      </c>
      <c r="AN271" s="148">
        <f t="shared" si="130"/>
        <v>56.821804</v>
      </c>
      <c r="AO271" s="148">
        <f t="shared" si="130"/>
        <v>56.821804</v>
      </c>
      <c r="AP271" s="148">
        <f t="shared" si="130"/>
        <v>56.821804</v>
      </c>
      <c r="AQ271" s="148">
        <f t="shared" si="130"/>
        <v>85.232706000000007</v>
      </c>
      <c r="AR271" s="148">
        <f t="shared" si="130"/>
        <v>46.821166495999996</v>
      </c>
      <c r="AS271" s="148">
        <f t="shared" si="130"/>
        <v>43.894843589999994</v>
      </c>
      <c r="AT271" s="148">
        <f t="shared" si="130"/>
        <v>58.526458119999994</v>
      </c>
      <c r="AU271" s="148">
        <f t="shared" si="130"/>
        <v>58.526458119999994</v>
      </c>
      <c r="AV271" s="148">
        <f t="shared" si="130"/>
        <v>58.526458119999994</v>
      </c>
      <c r="AW271" s="148">
        <f t="shared" si="130"/>
        <v>58.526458119999994</v>
      </c>
      <c r="AX271" s="148">
        <f t="shared" si="130"/>
        <v>58.526458119999994</v>
      </c>
      <c r="AY271" s="148">
        <f t="shared" si="130"/>
        <v>58.526458119999994</v>
      </c>
      <c r="AZ271" s="148">
        <f t="shared" si="130"/>
        <v>58.526458119999994</v>
      </c>
      <c r="BA271" s="148">
        <f t="shared" si="130"/>
        <v>58.526458119999994</v>
      </c>
      <c r="BB271" s="148">
        <f t="shared" si="130"/>
        <v>58.526458119999994</v>
      </c>
      <c r="BC271" s="148">
        <f t="shared" si="130"/>
        <v>87.789687179999987</v>
      </c>
      <c r="BD271" s="148">
        <f t="shared" si="130"/>
        <v>48.225801490879995</v>
      </c>
      <c r="BE271" s="148">
        <f t="shared" si="130"/>
        <v>45.211688897699993</v>
      </c>
      <c r="BF271" s="148">
        <f t="shared" si="130"/>
        <v>75.352814829499991</v>
      </c>
      <c r="BG271" s="148">
        <f t="shared" si="130"/>
        <v>75.352814829499991</v>
      </c>
      <c r="BH271" s="148">
        <f t="shared" si="130"/>
        <v>75.352814829499991</v>
      </c>
      <c r="BI271" s="148">
        <f t="shared" si="130"/>
        <v>75.352814829499991</v>
      </c>
      <c r="BJ271" s="148">
        <f t="shared" si="130"/>
        <v>75.352814829499991</v>
      </c>
      <c r="BK271" s="148">
        <f t="shared" si="130"/>
        <v>75.352814829499991</v>
      </c>
      <c r="BL271" s="148">
        <f t="shared" si="130"/>
        <v>75.352814829499991</v>
      </c>
      <c r="BM271" s="148">
        <f t="shared" si="130"/>
        <v>75.352814829499991</v>
      </c>
      <c r="BN271" s="148">
        <f t="shared" si="130"/>
        <v>75.352814829499991</v>
      </c>
      <c r="BO271" s="148">
        <f t="shared" si="130"/>
        <v>113.02922224424998</v>
      </c>
      <c r="BP271" s="148">
        <f t="shared" si="79"/>
        <v>3257.2070596443277</v>
      </c>
      <c r="BQ271" s="148"/>
    </row>
    <row r="272" spans="3:69" s="22" customFormat="1" outlineLevel="1">
      <c r="C272" s="22" t="str">
        <v>ZeroDay Zone</v>
      </c>
      <c r="D272" s="163">
        <f>SUMIFS('Existing Stores'!$G$9:$G$1008,'Existing Stores'!$D$9:$D$1008,Model!$C272)</f>
        <v>8</v>
      </c>
      <c r="E272" s="166">
        <f>(AVERAGEIFS('Existing Stores'!$G$9:$G$1008,'Existing Stores'!$D$9:$D$1008,Model!$C272))</f>
        <v>8</v>
      </c>
      <c r="F272" s="75" t="s">
        <v>119</v>
      </c>
      <c r="G272" s="167">
        <f t="shared" ref="G272:BO272" si="131">$E272*G152*G$120*G$118*G213</f>
        <v>12</v>
      </c>
      <c r="H272" s="148">
        <f t="shared" si="131"/>
        <v>6.5920000000000005</v>
      </c>
      <c r="I272" s="148">
        <f t="shared" si="131"/>
        <v>6.18</v>
      </c>
      <c r="J272" s="148">
        <f t="shared" si="131"/>
        <v>8.24</v>
      </c>
      <c r="K272" s="148">
        <f t="shared" si="131"/>
        <v>8.24</v>
      </c>
      <c r="L272" s="148">
        <f t="shared" si="131"/>
        <v>8.24</v>
      </c>
      <c r="M272" s="148">
        <f t="shared" si="131"/>
        <v>8.24</v>
      </c>
      <c r="N272" s="148">
        <f t="shared" si="131"/>
        <v>8.24</v>
      </c>
      <c r="O272" s="148">
        <f t="shared" si="131"/>
        <v>8.24</v>
      </c>
      <c r="P272" s="148">
        <f t="shared" si="131"/>
        <v>8.24</v>
      </c>
      <c r="Q272" s="148">
        <f t="shared" si="131"/>
        <v>8.24</v>
      </c>
      <c r="R272" s="148">
        <f t="shared" si="131"/>
        <v>8.24</v>
      </c>
      <c r="S272" s="148">
        <f t="shared" si="131"/>
        <v>12.36</v>
      </c>
      <c r="T272" s="148">
        <f t="shared" si="131"/>
        <v>6.7897600000000002</v>
      </c>
      <c r="U272" s="148">
        <f t="shared" si="131"/>
        <v>6.3653999999999993</v>
      </c>
      <c r="V272" s="148">
        <f t="shared" si="131"/>
        <v>8.4871999999999996</v>
      </c>
      <c r="W272" s="148">
        <f t="shared" si="131"/>
        <v>8.4871999999999996</v>
      </c>
      <c r="X272" s="148">
        <f t="shared" si="131"/>
        <v>8.4871999999999996</v>
      </c>
      <c r="Y272" s="148">
        <f t="shared" si="131"/>
        <v>8.4871999999999996</v>
      </c>
      <c r="Z272" s="148">
        <f t="shared" si="131"/>
        <v>8.4871999999999996</v>
      </c>
      <c r="AA272" s="148">
        <f t="shared" si="131"/>
        <v>8.4871999999999996</v>
      </c>
      <c r="AB272" s="148">
        <f t="shared" si="131"/>
        <v>8.4871999999999996</v>
      </c>
      <c r="AC272" s="148">
        <f t="shared" si="131"/>
        <v>8.4871999999999996</v>
      </c>
      <c r="AD272" s="148">
        <f t="shared" si="131"/>
        <v>8.4871999999999996</v>
      </c>
      <c r="AE272" s="148">
        <f t="shared" si="131"/>
        <v>12.730799999999999</v>
      </c>
      <c r="AF272" s="148">
        <f t="shared" si="131"/>
        <v>6.9934528</v>
      </c>
      <c r="AG272" s="148">
        <f t="shared" si="131"/>
        <v>13.112724</v>
      </c>
      <c r="AH272" s="148">
        <f t="shared" si="131"/>
        <v>17.483632</v>
      </c>
      <c r="AI272" s="148">
        <f t="shared" si="131"/>
        <v>17.483632</v>
      </c>
      <c r="AJ272" s="148">
        <f t="shared" si="131"/>
        <v>17.483632</v>
      </c>
      <c r="AK272" s="148">
        <f t="shared" si="131"/>
        <v>17.483632</v>
      </c>
      <c r="AL272" s="148">
        <f t="shared" si="131"/>
        <v>17.483632</v>
      </c>
      <c r="AM272" s="148">
        <f t="shared" si="131"/>
        <v>17.483632</v>
      </c>
      <c r="AN272" s="148">
        <f t="shared" si="131"/>
        <v>17.483632</v>
      </c>
      <c r="AO272" s="148">
        <f t="shared" si="131"/>
        <v>17.483632</v>
      </c>
      <c r="AP272" s="148">
        <f t="shared" si="131"/>
        <v>17.483632</v>
      </c>
      <c r="AQ272" s="148">
        <f t="shared" si="131"/>
        <v>26.225448</v>
      </c>
      <c r="AR272" s="148">
        <f t="shared" si="131"/>
        <v>14.406512767999999</v>
      </c>
      <c r="AS272" s="148">
        <f t="shared" si="131"/>
        <v>13.506105719999999</v>
      </c>
      <c r="AT272" s="148">
        <f t="shared" si="131"/>
        <v>18.008140959999999</v>
      </c>
      <c r="AU272" s="148">
        <f t="shared" si="131"/>
        <v>18.008140959999999</v>
      </c>
      <c r="AV272" s="148">
        <f t="shared" si="131"/>
        <v>18.008140959999999</v>
      </c>
      <c r="AW272" s="148">
        <f t="shared" si="131"/>
        <v>18.008140959999999</v>
      </c>
      <c r="AX272" s="148">
        <f t="shared" si="131"/>
        <v>18.008140959999999</v>
      </c>
      <c r="AY272" s="148">
        <f t="shared" si="131"/>
        <v>18.008140959999999</v>
      </c>
      <c r="AZ272" s="148">
        <f t="shared" si="131"/>
        <v>18.008140959999999</v>
      </c>
      <c r="BA272" s="148">
        <f t="shared" si="131"/>
        <v>18.008140959999999</v>
      </c>
      <c r="BB272" s="148">
        <f t="shared" si="131"/>
        <v>18.008140959999999</v>
      </c>
      <c r="BC272" s="148">
        <f t="shared" si="131"/>
        <v>27.012211439999998</v>
      </c>
      <c r="BD272" s="148">
        <f t="shared" si="131"/>
        <v>14.838708151039999</v>
      </c>
      <c r="BE272" s="148">
        <f t="shared" si="131"/>
        <v>13.911288891599998</v>
      </c>
      <c r="BF272" s="148">
        <f t="shared" si="131"/>
        <v>18.548385188799998</v>
      </c>
      <c r="BG272" s="148">
        <f t="shared" si="131"/>
        <v>27.822577783199996</v>
      </c>
      <c r="BH272" s="148">
        <f t="shared" si="131"/>
        <v>27.822577783199996</v>
      </c>
      <c r="BI272" s="148">
        <f t="shared" si="131"/>
        <v>27.822577783199996</v>
      </c>
      <c r="BJ272" s="148">
        <f t="shared" si="131"/>
        <v>27.822577783199996</v>
      </c>
      <c r="BK272" s="148">
        <f t="shared" si="131"/>
        <v>27.822577783199996</v>
      </c>
      <c r="BL272" s="148">
        <f t="shared" si="131"/>
        <v>27.822577783199996</v>
      </c>
      <c r="BM272" s="148">
        <f t="shared" si="131"/>
        <v>27.822577783199996</v>
      </c>
      <c r="BN272" s="148">
        <f t="shared" si="131"/>
        <v>27.822577783199996</v>
      </c>
      <c r="BO272" s="148">
        <f t="shared" si="131"/>
        <v>41.733866674799998</v>
      </c>
      <c r="BP272" s="148">
        <f t="shared" si="79"/>
        <v>933.85804253983997</v>
      </c>
      <c r="BQ272" s="148"/>
    </row>
    <row r="273" spans="2:69" s="31" customFormat="1" ht="12" customHeight="1" outlineLevel="1">
      <c r="C273" s="70" t="s">
        <v>1245</v>
      </c>
      <c r="D273" s="70"/>
      <c r="E273" s="71"/>
      <c r="F273" s="29" t="s">
        <v>119</v>
      </c>
      <c r="G273" s="168">
        <f>SUM(G247:G272)</f>
        <v>22017</v>
      </c>
      <c r="H273" s="169">
        <f>SUM(H247:H272)</f>
        <v>12109.641333333337</v>
      </c>
      <c r="I273" s="169">
        <f t="shared" ref="I273" si="132">SUM(I247:I272)</f>
        <v>11363.603750000002</v>
      </c>
      <c r="J273" s="169">
        <f t="shared" ref="J273" si="133">SUM(J247:J272)</f>
        <v>15148.381666666668</v>
      </c>
      <c r="K273" s="169">
        <f t="shared" ref="K273" si="134">SUM(K247:K272)</f>
        <v>15163.22303030303</v>
      </c>
      <c r="L273" s="169">
        <f t="shared" ref="L273" si="135">SUM(L247:L272)</f>
        <v>15175.926363636365</v>
      </c>
      <c r="M273" s="169">
        <f t="shared" ref="M273" si="136">SUM(M247:M272)</f>
        <v>15177.986363636364</v>
      </c>
      <c r="N273" s="169">
        <f t="shared" ref="N273" si="137">SUM(N247:N272)</f>
        <v>15192.818363636365</v>
      </c>
      <c r="O273" s="169">
        <f t="shared" ref="O273" si="138">SUM(O247:O272)</f>
        <v>15208.026595147618</v>
      </c>
      <c r="P273" s="169">
        <f t="shared" ref="P273" si="139">SUM(P247:P272)</f>
        <v>15222.264830441736</v>
      </c>
      <c r="Q273" s="169">
        <f t="shared" ref="Q273" si="140">SUM(Q247:Q272)</f>
        <v>15244.152330441735</v>
      </c>
      <c r="R273" s="169">
        <f t="shared" ref="R273" si="141">SUM(R247:R272)</f>
        <v>15262.005663775068</v>
      </c>
      <c r="S273" s="169">
        <f t="shared" ref="S273" si="142">SUM(S247:S272)</f>
        <v>22917.419495662609</v>
      </c>
      <c r="T273" s="169">
        <f t="shared" ref="T273" si="143">SUM(T247:T272)</f>
        <v>12594.903994950655</v>
      </c>
      <c r="U273" s="169">
        <f t="shared" ref="U273" si="144">SUM(U247:U272)</f>
        <v>11818.520941694811</v>
      </c>
      <c r="V273" s="169">
        <f t="shared" ref="V273" si="145">SUM(V247:V272)</f>
        <v>15774.81510461269</v>
      </c>
      <c r="W273" s="169">
        <f t="shared" ref="W273" si="146">SUM(W247:W272)</f>
        <v>15788.253171279355</v>
      </c>
      <c r="X273" s="169">
        <f t="shared" ref="X273" si="147">SUM(X247:X272)</f>
        <v>15804.962346279355</v>
      </c>
      <c r="Y273" s="169">
        <f t="shared" ref="Y273" si="148">SUM(Y247:Y272)</f>
        <v>15820.836133445131</v>
      </c>
      <c r="Z273" s="169">
        <f t="shared" ref="Z273" si="149">SUM(Z247:Z272)</f>
        <v>15835.619269754654</v>
      </c>
      <c r="AA273" s="169">
        <f t="shared" ref="AA273" si="150">SUM(AA247:AA272)</f>
        <v>15850.452580663745</v>
      </c>
      <c r="AB273" s="169">
        <f t="shared" ref="AB273" si="151">SUM(AB247:AB272)</f>
        <v>15857.454520663745</v>
      </c>
      <c r="AC273" s="169">
        <f t="shared" ref="AC273" si="152">SUM(AC247:AC272)</f>
        <v>15873.653647586823</v>
      </c>
      <c r="AD273" s="169">
        <f t="shared" ref="AD273" si="153">SUM(AD247:AD272)</f>
        <v>15888.657804729681</v>
      </c>
      <c r="AE273" s="169">
        <f t="shared" ref="AE273" si="154">SUM(AE247:AE272)</f>
        <v>23832.986707094518</v>
      </c>
      <c r="AF273" s="169">
        <f t="shared" ref="AF273" si="155">SUM(AF247:AF272)</f>
        <v>13103.61839189726</v>
      </c>
      <c r="AG273" s="169">
        <f t="shared" ref="AG273" si="156">SUM(AG247:AG272)</f>
        <v>12291.19860440368</v>
      </c>
      <c r="AH273" s="169">
        <f t="shared" ref="AH273" si="157">SUM(AH247:AH272)</f>
        <v>16408.116013038234</v>
      </c>
      <c r="AI273" s="169">
        <f t="shared" ref="AI273" si="158">SUM(AI247:AI272)</f>
        <v>16423.414191038235</v>
      </c>
      <c r="AJ273" s="169">
        <f t="shared" ref="AJ273" si="159">SUM(AJ247:AJ272)</f>
        <v>16436.526915038234</v>
      </c>
      <c r="AK273" s="169">
        <f t="shared" ref="AK273" si="160">SUM(AK247:AK272)</f>
        <v>16452.272117720055</v>
      </c>
      <c r="AL273" s="169">
        <f t="shared" ref="AL273" si="161">SUM(AL247:AL272)</f>
        <v>16465.749084053386</v>
      </c>
      <c r="AM273" s="169">
        <f t="shared" ref="AM273" si="162">SUM(AM247:AM272)</f>
        <v>16474.490900053388</v>
      </c>
      <c r="AN273" s="169">
        <f t="shared" ref="AN273" si="163">SUM(AN247:AN272)</f>
        <v>16490.226168853387</v>
      </c>
      <c r="AO273" s="169">
        <f t="shared" ref="AO273" si="164">SUM(AO247:AO272)</f>
        <v>16506.360581663677</v>
      </c>
      <c r="AP273" s="169">
        <f t="shared" ref="AP273" si="165">SUM(AP247:AP272)</f>
        <v>16521.465925487206</v>
      </c>
      <c r="AQ273" s="169">
        <f t="shared" ref="AQ273" si="166">SUM(AQ247:AQ272)</f>
        <v>24817.029561355816</v>
      </c>
      <c r="AR273" s="169">
        <f t="shared" ref="AR273" si="167">SUM(AR247:AR272)</f>
        <v>13648.428627870127</v>
      </c>
      <c r="AS273" s="169">
        <f t="shared" ref="AS273" si="168">SUM(AS247:AS272)</f>
        <v>12808.739118026744</v>
      </c>
      <c r="AT273" s="169">
        <f t="shared" ref="AT273" si="169">SUM(AT247:AT272)</f>
        <v>17088.223301563652</v>
      </c>
      <c r="AU273" s="169">
        <f t="shared" ref="AU273" si="170">SUM(AU247:AU272)</f>
        <v>17103.49806398508</v>
      </c>
      <c r="AV273" s="169">
        <f t="shared" ref="AV273" si="171">SUM(AV247:AV272)</f>
        <v>17121.307585743314</v>
      </c>
      <c r="AW273" s="169">
        <f t="shared" ref="AW273" si="172">SUM(AW247:AW272)</f>
        <v>17121.307585743314</v>
      </c>
      <c r="AX273" s="169">
        <f t="shared" ref="AX273" si="173">SUM(AX247:AX272)</f>
        <v>17139.034349500816</v>
      </c>
      <c r="AY273" s="169">
        <f t="shared" ref="AY273" si="174">SUM(AY247:AY272)</f>
        <v>17155.874850304986</v>
      </c>
      <c r="AZ273" s="169">
        <f t="shared" ref="AZ273" si="175">SUM(AZ247:AZ272)</f>
        <v>17171.558279615761</v>
      </c>
      <c r="BA273" s="169">
        <f t="shared" ref="BA273" si="176">SUM(BA247:BA272)</f>
        <v>17187.294939159216</v>
      </c>
      <c r="BB273" s="169">
        <f t="shared" ref="BB273" si="177">SUM(BB247:BB272)</f>
        <v>17197.199416687217</v>
      </c>
      <c r="BC273" s="169">
        <f t="shared" ref="BC273" si="178">SUM(BC247:BC272)</f>
        <v>25821.57760565987</v>
      </c>
      <c r="BD273" s="169">
        <f t="shared" ref="BD273" si="179">SUM(BD247:BD272)</f>
        <v>14197.769656140279</v>
      </c>
      <c r="BE273" s="169">
        <f t="shared" ref="BE273" si="180">SUM(BE247:BE272)</f>
        <v>13325.53757930113</v>
      </c>
      <c r="BF273" s="169">
        <f t="shared" ref="BF273" si="181">SUM(BF247:BF272)</f>
        <v>17782.454002034076</v>
      </c>
      <c r="BG273" s="169">
        <f t="shared" ref="BG273" si="182">SUM(BG247:BG272)</f>
        <v>17791.728194628478</v>
      </c>
      <c r="BH273" s="169">
        <f t="shared" ref="BH273" si="183">SUM(BH247:BH272)</f>
        <v>17812.788340311592</v>
      </c>
      <c r="BI273" s="169">
        <f t="shared" ref="BI273" si="184">SUM(BI247:BI272)</f>
        <v>17829.018177351794</v>
      </c>
      <c r="BJ273" s="169">
        <f t="shared" ref="BJ273" si="185">SUM(BJ247:BJ272)</f>
        <v>17842.929466243393</v>
      </c>
      <c r="BK273" s="169">
        <f t="shared" ref="BK273" si="186">SUM(BK247:BK272)</f>
        <v>17859.633551768533</v>
      </c>
      <c r="BL273" s="169">
        <f t="shared" ref="BL273" si="187">SUM(BL247:BL272)</f>
        <v>17873.931265351566</v>
      </c>
      <c r="BM273" s="169">
        <f t="shared" ref="BM273" si="188">SUM(BM247:BM272)</f>
        <v>17883.205457945969</v>
      </c>
      <c r="BN273" s="169">
        <f t="shared" ref="BN273" si="189">SUM(BN247:BN272)</f>
        <v>17899.899004615887</v>
      </c>
      <c r="BO273" s="169">
        <f t="shared" ref="BO273" si="190">SUM(BO247:BO272)</f>
        <v>26875.524004749484</v>
      </c>
      <c r="BP273" s="148">
        <f t="shared" si="79"/>
        <v>993855.4968883408</v>
      </c>
      <c r="BQ273" s="148"/>
    </row>
    <row r="274" spans="2:69" s="22" customFormat="1" outlineLevel="1">
      <c r="E274" s="28"/>
      <c r="F274" s="29"/>
      <c r="G274" s="66"/>
      <c r="BP274" s="148">
        <f t="shared" si="79"/>
        <v>0</v>
      </c>
      <c r="BQ274" s="148"/>
    </row>
    <row r="275" spans="2:69" s="22" customFormat="1" outlineLevel="1">
      <c r="B275" s="32" t="s">
        <v>1246</v>
      </c>
      <c r="D275" s="28"/>
      <c r="E275" s="28"/>
      <c r="F275" s="29"/>
      <c r="G275" s="66"/>
      <c r="BP275" s="148">
        <f t="shared" si="79"/>
        <v>0</v>
      </c>
      <c r="BQ275" s="148"/>
    </row>
    <row r="276" spans="2:69" s="22" customFormat="1" outlineLevel="1">
      <c r="E276" s="28"/>
      <c r="F276" s="29"/>
      <c r="G276" s="66"/>
      <c r="BP276" s="148">
        <f t="shared" si="79"/>
        <v>0</v>
      </c>
      <c r="BQ276" s="148"/>
    </row>
    <row r="277" spans="2:69" s="22" customFormat="1" outlineLevel="1">
      <c r="B277" s="69" t="s">
        <v>58</v>
      </c>
      <c r="D277" s="170">
        <f>Assumptions!D14</f>
        <v>100</v>
      </c>
      <c r="E277" s="171" t="s">
        <v>1247</v>
      </c>
      <c r="F277" s="29" t="s">
        <v>1248</v>
      </c>
      <c r="G277" s="79" cm="1">
        <f t="array" ref="G277:BO277">$D$277*_xlfn.ANCHORARRAY(G118)</f>
        <v>100</v>
      </c>
      <c r="H277" s="22">
        <v>103</v>
      </c>
      <c r="I277" s="22">
        <v>103</v>
      </c>
      <c r="J277" s="22">
        <v>103</v>
      </c>
      <c r="K277" s="22">
        <v>103</v>
      </c>
      <c r="L277" s="22">
        <v>103</v>
      </c>
      <c r="M277" s="22">
        <v>103</v>
      </c>
      <c r="N277" s="22">
        <v>103</v>
      </c>
      <c r="O277" s="22">
        <v>103</v>
      </c>
      <c r="P277" s="22">
        <v>103</v>
      </c>
      <c r="Q277" s="22">
        <v>103</v>
      </c>
      <c r="R277" s="22">
        <v>103</v>
      </c>
      <c r="S277" s="22">
        <v>103</v>
      </c>
      <c r="T277" s="22">
        <v>106.08999999999999</v>
      </c>
      <c r="U277" s="22">
        <v>106.08999999999999</v>
      </c>
      <c r="V277" s="22">
        <v>106.08999999999999</v>
      </c>
      <c r="W277" s="22">
        <v>106.08999999999999</v>
      </c>
      <c r="X277" s="22">
        <v>106.08999999999999</v>
      </c>
      <c r="Y277" s="22">
        <v>106.08999999999999</v>
      </c>
      <c r="Z277" s="22">
        <v>106.08999999999999</v>
      </c>
      <c r="AA277" s="22">
        <v>106.08999999999999</v>
      </c>
      <c r="AB277" s="22">
        <v>106.08999999999999</v>
      </c>
      <c r="AC277" s="22">
        <v>106.08999999999999</v>
      </c>
      <c r="AD277" s="22">
        <v>106.08999999999999</v>
      </c>
      <c r="AE277" s="22">
        <v>106.08999999999999</v>
      </c>
      <c r="AF277" s="22">
        <v>109.2727</v>
      </c>
      <c r="AG277" s="22">
        <v>109.2727</v>
      </c>
      <c r="AH277" s="22">
        <v>109.2727</v>
      </c>
      <c r="AI277" s="22">
        <v>109.2727</v>
      </c>
      <c r="AJ277" s="22">
        <v>109.2727</v>
      </c>
      <c r="AK277" s="22">
        <v>109.2727</v>
      </c>
      <c r="AL277" s="22">
        <v>109.2727</v>
      </c>
      <c r="AM277" s="22">
        <v>109.2727</v>
      </c>
      <c r="AN277" s="22">
        <v>109.2727</v>
      </c>
      <c r="AO277" s="22">
        <v>109.2727</v>
      </c>
      <c r="AP277" s="22">
        <v>109.2727</v>
      </c>
      <c r="AQ277" s="22">
        <v>109.2727</v>
      </c>
      <c r="AR277" s="22">
        <v>112.55088099999999</v>
      </c>
      <c r="AS277" s="22">
        <v>112.55088099999999</v>
      </c>
      <c r="AT277" s="22">
        <v>112.55088099999999</v>
      </c>
      <c r="AU277" s="22">
        <v>112.55088099999999</v>
      </c>
      <c r="AV277" s="22">
        <v>112.55088099999999</v>
      </c>
      <c r="AW277" s="22">
        <v>112.55088099999999</v>
      </c>
      <c r="AX277" s="22">
        <v>112.55088099999999</v>
      </c>
      <c r="AY277" s="22">
        <v>112.55088099999999</v>
      </c>
      <c r="AZ277" s="22">
        <v>112.55088099999999</v>
      </c>
      <c r="BA277" s="22">
        <v>112.55088099999999</v>
      </c>
      <c r="BB277" s="22">
        <v>112.55088099999999</v>
      </c>
      <c r="BC277" s="22">
        <v>112.55088099999999</v>
      </c>
      <c r="BD277" s="22">
        <v>115.92740742999999</v>
      </c>
      <c r="BE277" s="22">
        <v>115.92740742999999</v>
      </c>
      <c r="BF277" s="22">
        <v>115.92740742999999</v>
      </c>
      <c r="BG277" s="22">
        <v>115.92740742999999</v>
      </c>
      <c r="BH277" s="22">
        <v>115.92740742999999</v>
      </c>
      <c r="BI277" s="22">
        <v>115.92740742999999</v>
      </c>
      <c r="BJ277" s="22">
        <v>115.92740742999999</v>
      </c>
      <c r="BK277" s="22">
        <v>115.92740742999999</v>
      </c>
      <c r="BL277" s="22">
        <v>115.92740742999999</v>
      </c>
      <c r="BM277" s="22">
        <v>115.92740742999999</v>
      </c>
      <c r="BN277" s="22">
        <v>115.92740742999999</v>
      </c>
      <c r="BO277" s="22">
        <v>115.92740742999999</v>
      </c>
      <c r="BP277" s="148">
        <f t="shared" si="79"/>
        <v>6562.0918611600027</v>
      </c>
      <c r="BQ277" s="148"/>
    </row>
    <row r="278" spans="2:69" s="22" customFormat="1" outlineLevel="1">
      <c r="E278" s="28"/>
      <c r="F278" s="29"/>
      <c r="G278" s="66"/>
      <c r="BP278" s="148">
        <f t="shared" si="79"/>
        <v>0</v>
      </c>
      <c r="BQ278" s="148"/>
    </row>
    <row r="279" spans="2:69" s="22" customFormat="1" outlineLevel="1">
      <c r="B279" s="69" t="s">
        <v>1249</v>
      </c>
      <c r="D279" s="28" t="s">
        <v>1250</v>
      </c>
      <c r="E279" s="28" t="s">
        <v>1251</v>
      </c>
      <c r="F279" s="29"/>
      <c r="G279" s="66"/>
      <c r="BP279" s="148">
        <f t="shared" si="79"/>
        <v>0</v>
      </c>
      <c r="BQ279" s="148"/>
    </row>
    <row r="280" spans="2:69" s="22" customFormat="1" outlineLevel="1">
      <c r="C280" s="22" t="str" cm="1">
        <f t="array" ref="C280:C305">_xlfn._xlws.SORT(_xlfn.UNIQUE('Existing Stores'!D9:D1008),,1)</f>
        <v>Axisbyte</v>
      </c>
      <c r="D280" s="160">
        <f>SUMIFS('Existing Stores'!$E$9:$E$1008,'Existing Stores'!$D$9:$D$1008,Model!$C247)</f>
        <v>442</v>
      </c>
      <c r="E280" s="164">
        <f>(AVERAGEIFS('Existing Stores'!$E$9:$E$1008,'Existing Stores'!$D$9:$D$1008,Model!$C247))</f>
        <v>73.666666666666671</v>
      </c>
      <c r="F280" s="29" t="s">
        <v>119</v>
      </c>
      <c r="G280" s="207">
        <f t="shared" ref="G280:H305" si="191">$E280*G$277*G188*G127*G$120/1000</f>
        <v>66.3</v>
      </c>
      <c r="H280" s="173">
        <f t="shared" si="191"/>
        <v>42.490933333333345</v>
      </c>
      <c r="I280" s="173">
        <f t="shared" ref="I280:BO280" si="192">$E280*I$277*I188*I127*I$120/1000</f>
        <v>39.835250000000002</v>
      </c>
      <c r="J280" s="173">
        <f t="shared" si="192"/>
        <v>53.113666666666674</v>
      </c>
      <c r="K280" s="173">
        <f t="shared" si="192"/>
        <v>53.113666666666674</v>
      </c>
      <c r="L280" s="173">
        <f t="shared" si="192"/>
        <v>53.113666666666674</v>
      </c>
      <c r="M280" s="173">
        <f t="shared" si="192"/>
        <v>53.113666666666674</v>
      </c>
      <c r="N280" s="173">
        <f t="shared" si="192"/>
        <v>53.113666666666674</v>
      </c>
      <c r="O280" s="173">
        <f t="shared" si="192"/>
        <v>53.113666666666674</v>
      </c>
      <c r="P280" s="173">
        <f t="shared" si="192"/>
        <v>53.113666666666674</v>
      </c>
      <c r="Q280" s="173">
        <f t="shared" si="192"/>
        <v>53.113666666666674</v>
      </c>
      <c r="R280" s="173">
        <f t="shared" si="192"/>
        <v>53.113666666666674</v>
      </c>
      <c r="S280" s="173">
        <f t="shared" si="192"/>
        <v>79.670500000000004</v>
      </c>
      <c r="T280" s="173">
        <f t="shared" si="192"/>
        <v>43.765661333333327</v>
      </c>
      <c r="U280" s="173">
        <f t="shared" si="192"/>
        <v>41.030307499999992</v>
      </c>
      <c r="V280" s="173">
        <f t="shared" si="192"/>
        <v>54.707076666666659</v>
      </c>
      <c r="W280" s="173">
        <f t="shared" si="192"/>
        <v>54.707076666666659</v>
      </c>
      <c r="X280" s="173">
        <f t="shared" si="192"/>
        <v>54.707076666666659</v>
      </c>
      <c r="Y280" s="173">
        <f t="shared" si="192"/>
        <v>54.707076666666659</v>
      </c>
      <c r="Z280" s="173">
        <f t="shared" si="192"/>
        <v>54.707076666666659</v>
      </c>
      <c r="AA280" s="173">
        <f t="shared" si="192"/>
        <v>54.707076666666659</v>
      </c>
      <c r="AB280" s="173">
        <f t="shared" si="192"/>
        <v>54.707076666666659</v>
      </c>
      <c r="AC280" s="173">
        <f t="shared" si="192"/>
        <v>54.707076666666659</v>
      </c>
      <c r="AD280" s="173">
        <f t="shared" si="192"/>
        <v>54.707076666666659</v>
      </c>
      <c r="AE280" s="173">
        <f t="shared" si="192"/>
        <v>82.060614999999984</v>
      </c>
      <c r="AF280" s="173">
        <f t="shared" si="192"/>
        <v>45.078631173333342</v>
      </c>
      <c r="AG280" s="173">
        <f t="shared" si="192"/>
        <v>42.261216725000004</v>
      </c>
      <c r="AH280" s="173">
        <f t="shared" si="192"/>
        <v>64.398044533333348</v>
      </c>
      <c r="AI280" s="173">
        <f t="shared" si="192"/>
        <v>64.398044533333348</v>
      </c>
      <c r="AJ280" s="173">
        <f t="shared" si="192"/>
        <v>64.398044533333348</v>
      </c>
      <c r="AK280" s="173">
        <f t="shared" si="192"/>
        <v>64.398044533333348</v>
      </c>
      <c r="AL280" s="173">
        <f t="shared" si="192"/>
        <v>64.398044533333348</v>
      </c>
      <c r="AM280" s="173">
        <f t="shared" si="192"/>
        <v>64.398044533333348</v>
      </c>
      <c r="AN280" s="173">
        <f t="shared" si="192"/>
        <v>64.398044533333348</v>
      </c>
      <c r="AO280" s="173">
        <f t="shared" si="192"/>
        <v>64.398044533333348</v>
      </c>
      <c r="AP280" s="173">
        <f t="shared" si="192"/>
        <v>64.398044533333348</v>
      </c>
      <c r="AQ280" s="173">
        <f t="shared" si="192"/>
        <v>96.597066800000022</v>
      </c>
      <c r="AR280" s="173">
        <f t="shared" si="192"/>
        <v>53.063988695466669</v>
      </c>
      <c r="AS280" s="173">
        <f t="shared" si="192"/>
        <v>49.747489402000006</v>
      </c>
      <c r="AT280" s="173">
        <f t="shared" si="192"/>
        <v>66.329985869333342</v>
      </c>
      <c r="AU280" s="173">
        <f t="shared" si="192"/>
        <v>66.329985869333342</v>
      </c>
      <c r="AV280" s="173">
        <f t="shared" si="192"/>
        <v>66.329985869333342</v>
      </c>
      <c r="AW280" s="173">
        <f t="shared" si="192"/>
        <v>66.329985869333342</v>
      </c>
      <c r="AX280" s="173">
        <f t="shared" si="192"/>
        <v>66.329985869333342</v>
      </c>
      <c r="AY280" s="173">
        <f t="shared" si="192"/>
        <v>66.329985869333342</v>
      </c>
      <c r="AZ280" s="173">
        <f t="shared" si="192"/>
        <v>66.329985869333342</v>
      </c>
      <c r="BA280" s="173">
        <f t="shared" si="192"/>
        <v>66.329985869333342</v>
      </c>
      <c r="BB280" s="173">
        <f t="shared" si="192"/>
        <v>66.329985869333342</v>
      </c>
      <c r="BC280" s="173">
        <f t="shared" si="192"/>
        <v>99.494978804000013</v>
      </c>
      <c r="BD280" s="173">
        <f t="shared" si="192"/>
        <v>54.655908356330663</v>
      </c>
      <c r="BE280" s="173">
        <f t="shared" si="192"/>
        <v>51.239914084059997</v>
      </c>
      <c r="BF280" s="173">
        <f t="shared" si="192"/>
        <v>68.31988544541332</v>
      </c>
      <c r="BG280" s="173">
        <f t="shared" si="192"/>
        <v>68.31988544541332</v>
      </c>
      <c r="BH280" s="173">
        <f t="shared" si="192"/>
        <v>76.859871126089985</v>
      </c>
      <c r="BI280" s="173">
        <f t="shared" si="192"/>
        <v>76.859871126089985</v>
      </c>
      <c r="BJ280" s="173">
        <f t="shared" si="192"/>
        <v>76.859871126089985</v>
      </c>
      <c r="BK280" s="173">
        <f t="shared" si="192"/>
        <v>76.859871126089985</v>
      </c>
      <c r="BL280" s="173">
        <f t="shared" si="192"/>
        <v>76.859871126089985</v>
      </c>
      <c r="BM280" s="173">
        <f t="shared" si="192"/>
        <v>76.859871126089985</v>
      </c>
      <c r="BN280" s="173">
        <f t="shared" si="192"/>
        <v>76.859871126089985</v>
      </c>
      <c r="BO280" s="173">
        <f t="shared" si="192"/>
        <v>115.28980668913498</v>
      </c>
      <c r="BP280" s="148">
        <f t="shared" si="79"/>
        <v>3757.8801002934524</v>
      </c>
      <c r="BQ280" s="148"/>
    </row>
    <row r="281" spans="2:69" s="22" customFormat="1" outlineLevel="1">
      <c r="C281" s="22" t="str">
        <v>Bootwell</v>
      </c>
      <c r="D281" s="161">
        <f>SUMIFS('Existing Stores'!$E$9:$E$1008,'Existing Stores'!$D$9:$D$1008,Model!$C248)</f>
        <v>1986</v>
      </c>
      <c r="E281" s="165">
        <f>(AVERAGEIFS('Existing Stores'!$E$9:$E$1008,'Existing Stores'!$D$9:$D$1008,Model!$C248))</f>
        <v>66.2</v>
      </c>
      <c r="F281" s="29" t="s">
        <v>119</v>
      </c>
      <c r="G281" s="207">
        <f t="shared" si="191"/>
        <v>297.89999999999998</v>
      </c>
      <c r="H281" s="173">
        <f t="shared" si="191"/>
        <v>163.64640000000003</v>
      </c>
      <c r="I281" s="173">
        <f t="shared" ref="I281:BO281" si="193">$E281*I$277*I189*I128*I$120/1000</f>
        <v>158.53245000000001</v>
      </c>
      <c r="J281" s="173">
        <f t="shared" si="193"/>
        <v>211.3766</v>
      </c>
      <c r="K281" s="173">
        <f t="shared" si="193"/>
        <v>211.3766</v>
      </c>
      <c r="L281" s="173">
        <f t="shared" si="193"/>
        <v>211.3766</v>
      </c>
      <c r="M281" s="173">
        <f t="shared" si="193"/>
        <v>211.3766</v>
      </c>
      <c r="N281" s="173">
        <f t="shared" si="193"/>
        <v>211.3766</v>
      </c>
      <c r="O281" s="173">
        <f t="shared" si="193"/>
        <v>211.3766</v>
      </c>
      <c r="P281" s="173">
        <f t="shared" si="193"/>
        <v>211.3766</v>
      </c>
      <c r="Q281" s="173">
        <f t="shared" si="193"/>
        <v>211.3766</v>
      </c>
      <c r="R281" s="173">
        <f t="shared" si="193"/>
        <v>211.3766</v>
      </c>
      <c r="S281" s="173">
        <f t="shared" si="193"/>
        <v>317.06490000000002</v>
      </c>
      <c r="T281" s="173">
        <f t="shared" si="193"/>
        <v>174.17431839999998</v>
      </c>
      <c r="U281" s="173">
        <f t="shared" si="193"/>
        <v>163.28842349999996</v>
      </c>
      <c r="V281" s="173">
        <f t="shared" si="193"/>
        <v>217.71789799999999</v>
      </c>
      <c r="W281" s="173">
        <f t="shared" si="193"/>
        <v>217.71789799999999</v>
      </c>
      <c r="X281" s="173">
        <f t="shared" si="193"/>
        <v>217.71789799999999</v>
      </c>
      <c r="Y281" s="173">
        <f t="shared" si="193"/>
        <v>217.71789799999999</v>
      </c>
      <c r="Z281" s="173">
        <f t="shared" si="193"/>
        <v>217.71789799999999</v>
      </c>
      <c r="AA281" s="173">
        <f t="shared" si="193"/>
        <v>217.71789799999999</v>
      </c>
      <c r="AB281" s="173">
        <f t="shared" si="193"/>
        <v>217.71789799999999</v>
      </c>
      <c r="AC281" s="173">
        <f t="shared" si="193"/>
        <v>217.71789799999999</v>
      </c>
      <c r="AD281" s="173">
        <f t="shared" si="193"/>
        <v>217.71789799999999</v>
      </c>
      <c r="AE281" s="173">
        <f t="shared" si="193"/>
        <v>326.57684699999993</v>
      </c>
      <c r="AF281" s="173">
        <f t="shared" si="193"/>
        <v>179.39954795200003</v>
      </c>
      <c r="AG281" s="173">
        <f t="shared" si="193"/>
        <v>168.18707620499998</v>
      </c>
      <c r="AH281" s="173">
        <f t="shared" si="193"/>
        <v>224.24943494000001</v>
      </c>
      <c r="AI281" s="173">
        <f t="shared" si="193"/>
        <v>231.48328768000002</v>
      </c>
      <c r="AJ281" s="173">
        <f t="shared" si="193"/>
        <v>231.48328768000002</v>
      </c>
      <c r="AK281" s="173">
        <f t="shared" si="193"/>
        <v>231.48328768000002</v>
      </c>
      <c r="AL281" s="173">
        <f t="shared" si="193"/>
        <v>231.48328768000002</v>
      </c>
      <c r="AM281" s="173">
        <f t="shared" si="193"/>
        <v>231.48328768000002</v>
      </c>
      <c r="AN281" s="173">
        <f t="shared" si="193"/>
        <v>231.48328768000002</v>
      </c>
      <c r="AO281" s="173">
        <f t="shared" si="193"/>
        <v>231.48328768000002</v>
      </c>
      <c r="AP281" s="173">
        <f t="shared" si="193"/>
        <v>231.48328768000002</v>
      </c>
      <c r="AQ281" s="173">
        <f t="shared" si="193"/>
        <v>347.22493151999998</v>
      </c>
      <c r="AR281" s="173">
        <f t="shared" si="193"/>
        <v>190.74222904832001</v>
      </c>
      <c r="AS281" s="173">
        <f t="shared" si="193"/>
        <v>178.82083973280001</v>
      </c>
      <c r="AT281" s="173">
        <f t="shared" si="193"/>
        <v>238.42778631039999</v>
      </c>
      <c r="AU281" s="173">
        <f t="shared" si="193"/>
        <v>238.42778631039999</v>
      </c>
      <c r="AV281" s="173">
        <f t="shared" si="193"/>
        <v>238.42778631039999</v>
      </c>
      <c r="AW281" s="173">
        <f t="shared" si="193"/>
        <v>238.42778631039999</v>
      </c>
      <c r="AX281" s="173">
        <f t="shared" si="193"/>
        <v>238.42778631039999</v>
      </c>
      <c r="AY281" s="173">
        <f t="shared" si="193"/>
        <v>238.42778631039999</v>
      </c>
      <c r="AZ281" s="173">
        <f t="shared" si="193"/>
        <v>238.42778631039999</v>
      </c>
      <c r="BA281" s="173">
        <f t="shared" si="193"/>
        <v>238.42778631039999</v>
      </c>
      <c r="BB281" s="173">
        <f t="shared" si="193"/>
        <v>238.42778631039999</v>
      </c>
      <c r="BC281" s="173">
        <f t="shared" si="193"/>
        <v>357.64167946560002</v>
      </c>
      <c r="BD281" s="173">
        <f t="shared" si="193"/>
        <v>196.4644959197696</v>
      </c>
      <c r="BE281" s="173">
        <f t="shared" si="193"/>
        <v>184.18546492478396</v>
      </c>
      <c r="BF281" s="173">
        <f t="shared" si="193"/>
        <v>245.58061989971199</v>
      </c>
      <c r="BG281" s="173">
        <f t="shared" si="193"/>
        <v>245.58061989971199</v>
      </c>
      <c r="BH281" s="173">
        <f t="shared" si="193"/>
        <v>245.58061989971199</v>
      </c>
      <c r="BI281" s="173">
        <f t="shared" si="193"/>
        <v>253.25501427157798</v>
      </c>
      <c r="BJ281" s="173">
        <f t="shared" si="193"/>
        <v>253.25501427157798</v>
      </c>
      <c r="BK281" s="173">
        <f t="shared" si="193"/>
        <v>253.25501427157798</v>
      </c>
      <c r="BL281" s="173">
        <f t="shared" si="193"/>
        <v>253.25501427157798</v>
      </c>
      <c r="BM281" s="173">
        <f t="shared" si="193"/>
        <v>253.25501427157798</v>
      </c>
      <c r="BN281" s="173">
        <f t="shared" si="193"/>
        <v>253.25501427157798</v>
      </c>
      <c r="BO281" s="173">
        <f t="shared" si="193"/>
        <v>379.88252140736694</v>
      </c>
      <c r="BP281" s="148">
        <f t="shared" si="79"/>
        <v>13825.920365577842</v>
      </c>
      <c r="BQ281" s="148"/>
    </row>
    <row r="282" spans="2:69" s="22" customFormat="1" outlineLevel="1">
      <c r="C282" s="22" t="str">
        <v>Cacheford</v>
      </c>
      <c r="D282" s="161">
        <f>SUMIFS('Existing Stores'!$E$9:$E$1008,'Existing Stores'!$D$9:$D$1008,Model!$C249)</f>
        <v>339</v>
      </c>
      <c r="E282" s="165">
        <f>(AVERAGEIFS('Existing Stores'!$E$9:$E$1008,'Existing Stores'!$D$9:$D$1008,Model!$C249))</f>
        <v>67.8</v>
      </c>
      <c r="F282" s="29" t="s">
        <v>119</v>
      </c>
      <c r="G282" s="207">
        <f t="shared" si="191"/>
        <v>50.85</v>
      </c>
      <c r="H282" s="173">
        <f t="shared" si="191"/>
        <v>27.933600000000002</v>
      </c>
      <c r="I282" s="173">
        <f t="shared" ref="I282:BO282" si="194">$E282*I$277*I190*I129*I$120/1000</f>
        <v>26.187750000000001</v>
      </c>
      <c r="J282" s="173">
        <f t="shared" si="194"/>
        <v>33.520319999999998</v>
      </c>
      <c r="K282" s="173">
        <f t="shared" si="194"/>
        <v>33.520319999999998</v>
      </c>
      <c r="L282" s="173">
        <f t="shared" si="194"/>
        <v>33.520319999999998</v>
      </c>
      <c r="M282" s="173">
        <f t="shared" si="194"/>
        <v>33.520319999999998</v>
      </c>
      <c r="N282" s="173">
        <f t="shared" si="194"/>
        <v>33.520319999999998</v>
      </c>
      <c r="O282" s="173">
        <f t="shared" si="194"/>
        <v>33.520319999999998</v>
      </c>
      <c r="P282" s="173">
        <f t="shared" si="194"/>
        <v>33.520319999999998</v>
      </c>
      <c r="Q282" s="173">
        <f t="shared" si="194"/>
        <v>33.520319999999998</v>
      </c>
      <c r="R282" s="173">
        <f t="shared" si="194"/>
        <v>33.520319999999998</v>
      </c>
      <c r="S282" s="173">
        <f t="shared" si="194"/>
        <v>50.280479999999997</v>
      </c>
      <c r="T282" s="173">
        <f t="shared" si="194"/>
        <v>27.62074368</v>
      </c>
      <c r="U282" s="173">
        <f t="shared" si="194"/>
        <v>25.894447199999995</v>
      </c>
      <c r="V282" s="173">
        <f t="shared" si="194"/>
        <v>34.525929599999998</v>
      </c>
      <c r="W282" s="173">
        <f t="shared" si="194"/>
        <v>34.525929599999998</v>
      </c>
      <c r="X282" s="173">
        <f t="shared" si="194"/>
        <v>34.525929599999998</v>
      </c>
      <c r="Y282" s="173">
        <f t="shared" si="194"/>
        <v>34.525929599999998</v>
      </c>
      <c r="Z282" s="173">
        <f t="shared" si="194"/>
        <v>34.525929599999998</v>
      </c>
      <c r="AA282" s="173">
        <f t="shared" si="194"/>
        <v>34.525929599999998</v>
      </c>
      <c r="AB282" s="173">
        <f t="shared" si="194"/>
        <v>34.525929599999998</v>
      </c>
      <c r="AC282" s="173">
        <f t="shared" si="194"/>
        <v>34.525929599999998</v>
      </c>
      <c r="AD282" s="173">
        <f t="shared" si="194"/>
        <v>34.525929599999998</v>
      </c>
      <c r="AE282" s="173">
        <f t="shared" si="194"/>
        <v>51.78889439999999</v>
      </c>
      <c r="AF282" s="173">
        <f t="shared" si="194"/>
        <v>28.4493659904</v>
      </c>
      <c r="AG282" s="173">
        <f t="shared" si="194"/>
        <v>26.671280616000001</v>
      </c>
      <c r="AH282" s="173">
        <f t="shared" si="194"/>
        <v>35.561707488000003</v>
      </c>
      <c r="AI282" s="173">
        <f t="shared" si="194"/>
        <v>35.561707488000003</v>
      </c>
      <c r="AJ282" s="173">
        <f t="shared" si="194"/>
        <v>41.488658736000005</v>
      </c>
      <c r="AK282" s="173">
        <f t="shared" si="194"/>
        <v>41.488658736000005</v>
      </c>
      <c r="AL282" s="173">
        <f t="shared" si="194"/>
        <v>41.488658736000005</v>
      </c>
      <c r="AM282" s="173">
        <f t="shared" si="194"/>
        <v>41.488658736000005</v>
      </c>
      <c r="AN282" s="173">
        <f t="shared" si="194"/>
        <v>41.488658736000005</v>
      </c>
      <c r="AO282" s="173">
        <f t="shared" si="194"/>
        <v>41.488658736000005</v>
      </c>
      <c r="AP282" s="173">
        <f t="shared" si="194"/>
        <v>41.488658736000005</v>
      </c>
      <c r="AQ282" s="173">
        <f t="shared" si="194"/>
        <v>62.232988104</v>
      </c>
      <c r="AR282" s="173">
        <f t="shared" si="194"/>
        <v>34.186654798463998</v>
      </c>
      <c r="AS282" s="173">
        <f t="shared" si="194"/>
        <v>32.049988873559997</v>
      </c>
      <c r="AT282" s="173">
        <f t="shared" si="194"/>
        <v>42.733318498080003</v>
      </c>
      <c r="AU282" s="173">
        <f t="shared" si="194"/>
        <v>42.733318498080003</v>
      </c>
      <c r="AV282" s="173">
        <f t="shared" si="194"/>
        <v>42.733318498080003</v>
      </c>
      <c r="AW282" s="173">
        <f t="shared" si="194"/>
        <v>42.733318498080003</v>
      </c>
      <c r="AX282" s="173">
        <f t="shared" si="194"/>
        <v>42.733318498080003</v>
      </c>
      <c r="AY282" s="173">
        <f t="shared" si="194"/>
        <v>42.733318498080003</v>
      </c>
      <c r="AZ282" s="173">
        <f t="shared" si="194"/>
        <v>42.733318498080003</v>
      </c>
      <c r="BA282" s="173">
        <f t="shared" si="194"/>
        <v>42.733318498080003</v>
      </c>
      <c r="BB282" s="173">
        <f t="shared" si="194"/>
        <v>42.733318498080003</v>
      </c>
      <c r="BC282" s="173">
        <f t="shared" si="194"/>
        <v>64.099977747119993</v>
      </c>
      <c r="BD282" s="173">
        <f t="shared" si="194"/>
        <v>35.212254442417915</v>
      </c>
      <c r="BE282" s="173">
        <f t="shared" si="194"/>
        <v>33.011488539766795</v>
      </c>
      <c r="BF282" s="173">
        <f t="shared" si="194"/>
        <v>44.015318053022391</v>
      </c>
      <c r="BG282" s="173">
        <f t="shared" si="194"/>
        <v>44.015318053022391</v>
      </c>
      <c r="BH282" s="173">
        <f t="shared" si="194"/>
        <v>44.015318053022391</v>
      </c>
      <c r="BI282" s="173">
        <f t="shared" si="194"/>
        <v>44.015318053022391</v>
      </c>
      <c r="BJ282" s="173">
        <f t="shared" si="194"/>
        <v>50.303220632025592</v>
      </c>
      <c r="BK282" s="173">
        <f t="shared" si="194"/>
        <v>50.303220632025592</v>
      </c>
      <c r="BL282" s="173">
        <f t="shared" si="194"/>
        <v>50.303220632025592</v>
      </c>
      <c r="BM282" s="173">
        <f t="shared" si="194"/>
        <v>50.303220632025592</v>
      </c>
      <c r="BN282" s="173">
        <f t="shared" si="194"/>
        <v>50.303220632025592</v>
      </c>
      <c r="BO282" s="173">
        <f t="shared" si="194"/>
        <v>75.454830948038392</v>
      </c>
      <c r="BP282" s="148">
        <f t="shared" si="79"/>
        <v>2387.2122597227039</v>
      </c>
      <c r="BQ282" s="148"/>
    </row>
    <row r="283" spans="2:69" s="22" customFormat="1" outlineLevel="1">
      <c r="C283" s="22" t="str">
        <v>Datahaven</v>
      </c>
      <c r="D283" s="161">
        <f>SUMIFS('Existing Stores'!$E$9:$E$1008,'Existing Stores'!$D$9:$D$1008,Model!$C250)</f>
        <v>1463</v>
      </c>
      <c r="E283" s="165">
        <f>(AVERAGEIFS('Existing Stores'!$E$9:$E$1008,'Existing Stores'!$D$9:$D$1008,Model!$C250))</f>
        <v>66.5</v>
      </c>
      <c r="F283" s="29" t="s">
        <v>119</v>
      </c>
      <c r="G283" s="207">
        <f t="shared" si="191"/>
        <v>219.45</v>
      </c>
      <c r="H283" s="173">
        <f t="shared" si="191"/>
        <v>120.55120000000001</v>
      </c>
      <c r="I283" s="173">
        <f t="shared" ref="I283:BO283" si="195">$E283*I$277*I191*I130*I$120/1000</f>
        <v>113.01675</v>
      </c>
      <c r="J283" s="173">
        <f t="shared" si="195"/>
        <v>150.68899999999999</v>
      </c>
      <c r="K283" s="173">
        <f t="shared" si="195"/>
        <v>157.5385</v>
      </c>
      <c r="L283" s="173">
        <f t="shared" si="195"/>
        <v>157.5385</v>
      </c>
      <c r="M283" s="173">
        <f t="shared" si="195"/>
        <v>157.5385</v>
      </c>
      <c r="N283" s="173">
        <f t="shared" si="195"/>
        <v>157.5385</v>
      </c>
      <c r="O283" s="173">
        <f t="shared" si="195"/>
        <v>157.5385</v>
      </c>
      <c r="P283" s="173">
        <f t="shared" si="195"/>
        <v>157.5385</v>
      </c>
      <c r="Q283" s="173">
        <f t="shared" si="195"/>
        <v>157.5385</v>
      </c>
      <c r="R283" s="173">
        <f t="shared" si="195"/>
        <v>157.5385</v>
      </c>
      <c r="S283" s="173">
        <f t="shared" si="195"/>
        <v>236.30775</v>
      </c>
      <c r="T283" s="173">
        <f t="shared" si="195"/>
        <v>129.811724</v>
      </c>
      <c r="U283" s="173">
        <f t="shared" si="195"/>
        <v>121.69849124999999</v>
      </c>
      <c r="V283" s="173">
        <f t="shared" si="195"/>
        <v>162.264655</v>
      </c>
      <c r="W283" s="173">
        <f t="shared" si="195"/>
        <v>162.264655</v>
      </c>
      <c r="X283" s="173">
        <f t="shared" si="195"/>
        <v>162.264655</v>
      </c>
      <c r="Y283" s="173">
        <f t="shared" si="195"/>
        <v>162.264655</v>
      </c>
      <c r="Z283" s="173">
        <f t="shared" si="195"/>
        <v>162.264655</v>
      </c>
      <c r="AA283" s="173">
        <f t="shared" si="195"/>
        <v>162.264655</v>
      </c>
      <c r="AB283" s="173">
        <f t="shared" si="195"/>
        <v>162.264655</v>
      </c>
      <c r="AC283" s="173">
        <f t="shared" si="195"/>
        <v>162.264655</v>
      </c>
      <c r="AD283" s="173">
        <f t="shared" si="195"/>
        <v>162.264655</v>
      </c>
      <c r="AE283" s="173">
        <f t="shared" si="195"/>
        <v>243.39698249999998</v>
      </c>
      <c r="AF283" s="173">
        <f t="shared" si="195"/>
        <v>133.70607572</v>
      </c>
      <c r="AG283" s="173">
        <f t="shared" si="195"/>
        <v>125.34944598749999</v>
      </c>
      <c r="AH283" s="173">
        <f t="shared" si="195"/>
        <v>167.13259464999999</v>
      </c>
      <c r="AI283" s="173">
        <f t="shared" si="195"/>
        <v>167.13259464999999</v>
      </c>
      <c r="AJ283" s="173">
        <f t="shared" si="195"/>
        <v>167.13259464999999</v>
      </c>
      <c r="AK283" s="173">
        <f t="shared" si="195"/>
        <v>174.39922920000001</v>
      </c>
      <c r="AL283" s="173">
        <f t="shared" si="195"/>
        <v>174.39922920000001</v>
      </c>
      <c r="AM283" s="173">
        <f t="shared" si="195"/>
        <v>174.39922920000001</v>
      </c>
      <c r="AN283" s="173">
        <f t="shared" si="195"/>
        <v>174.39922920000001</v>
      </c>
      <c r="AO283" s="173">
        <f t="shared" si="195"/>
        <v>174.39922920000001</v>
      </c>
      <c r="AP283" s="173">
        <f t="shared" si="195"/>
        <v>174.39922920000001</v>
      </c>
      <c r="AQ283" s="173">
        <f t="shared" si="195"/>
        <v>261.5988438</v>
      </c>
      <c r="AR283" s="173">
        <f t="shared" si="195"/>
        <v>143.70496486079998</v>
      </c>
      <c r="AS283" s="173">
        <f t="shared" si="195"/>
        <v>134.72340455699998</v>
      </c>
      <c r="AT283" s="173">
        <f t="shared" si="195"/>
        <v>179.63120607599998</v>
      </c>
      <c r="AU283" s="173">
        <f t="shared" si="195"/>
        <v>179.63120607599998</v>
      </c>
      <c r="AV283" s="173">
        <f t="shared" si="195"/>
        <v>179.63120607599998</v>
      </c>
      <c r="AW283" s="173">
        <f t="shared" si="195"/>
        <v>179.63120607599998</v>
      </c>
      <c r="AX283" s="173">
        <f t="shared" si="195"/>
        <v>179.63120607599998</v>
      </c>
      <c r="AY283" s="173">
        <f t="shared" si="195"/>
        <v>179.63120607599998</v>
      </c>
      <c r="AZ283" s="173">
        <f t="shared" si="195"/>
        <v>179.63120607599998</v>
      </c>
      <c r="BA283" s="173">
        <f t="shared" si="195"/>
        <v>179.63120607599998</v>
      </c>
      <c r="BB283" s="173">
        <f t="shared" si="195"/>
        <v>179.63120607599998</v>
      </c>
      <c r="BC283" s="173">
        <f t="shared" si="195"/>
        <v>269.44680911399996</v>
      </c>
      <c r="BD283" s="173">
        <f t="shared" si="195"/>
        <v>148.01611380662399</v>
      </c>
      <c r="BE283" s="173">
        <f t="shared" si="195"/>
        <v>138.76510669371001</v>
      </c>
      <c r="BF283" s="173">
        <f t="shared" si="195"/>
        <v>185.02014225827998</v>
      </c>
      <c r="BG283" s="173">
        <f t="shared" si="195"/>
        <v>185.02014225827998</v>
      </c>
      <c r="BH283" s="173">
        <f t="shared" si="195"/>
        <v>185.02014225827998</v>
      </c>
      <c r="BI283" s="173">
        <f t="shared" si="195"/>
        <v>185.02014225827998</v>
      </c>
      <c r="BJ283" s="173">
        <f t="shared" si="195"/>
        <v>185.02014225827998</v>
      </c>
      <c r="BK283" s="173">
        <f t="shared" si="195"/>
        <v>192.72931485237498</v>
      </c>
      <c r="BL283" s="173">
        <f t="shared" si="195"/>
        <v>192.72931485237498</v>
      </c>
      <c r="BM283" s="173">
        <f t="shared" si="195"/>
        <v>192.72931485237498</v>
      </c>
      <c r="BN283" s="173">
        <f t="shared" si="195"/>
        <v>192.72931485237498</v>
      </c>
      <c r="BO283" s="173">
        <f t="shared" si="195"/>
        <v>289.09397227856249</v>
      </c>
      <c r="BP283" s="148">
        <f t="shared" ref="BP283:BP306" si="196">SUM(H283:BO283)</f>
        <v>10341.058514103097</v>
      </c>
      <c r="BQ283" s="148"/>
    </row>
    <row r="284" spans="2:69" s="22" customFormat="1" outlineLevel="1">
      <c r="C284" s="22" t="str">
        <v>Etherport</v>
      </c>
      <c r="D284" s="161">
        <f>SUMIFS('Existing Stores'!$E$9:$E$1008,'Existing Stores'!$D$9:$D$1008,Model!$C251)</f>
        <v>152</v>
      </c>
      <c r="E284" s="165">
        <f>(AVERAGEIFS('Existing Stores'!$E$9:$E$1008,'Existing Stores'!$D$9:$D$1008,Model!$C251))</f>
        <v>50.666666666666664</v>
      </c>
      <c r="F284" s="29" t="s">
        <v>119</v>
      </c>
      <c r="G284" s="207">
        <f t="shared" si="191"/>
        <v>22.799999999999997</v>
      </c>
      <c r="H284" s="173">
        <f t="shared" si="191"/>
        <v>12.524799999999999</v>
      </c>
      <c r="I284" s="173">
        <f t="shared" ref="I284:BO284" si="197">$E284*I$277*I192*I131*I$120/1000</f>
        <v>11.741999999999997</v>
      </c>
      <c r="J284" s="173">
        <f t="shared" si="197"/>
        <v>15.655999999999999</v>
      </c>
      <c r="K284" s="173">
        <f t="shared" si="197"/>
        <v>15.655999999999999</v>
      </c>
      <c r="L284" s="173">
        <f t="shared" si="197"/>
        <v>20.874666666666663</v>
      </c>
      <c r="M284" s="173">
        <f t="shared" si="197"/>
        <v>20.874666666666663</v>
      </c>
      <c r="N284" s="173">
        <f t="shared" si="197"/>
        <v>20.874666666666663</v>
      </c>
      <c r="O284" s="173">
        <f t="shared" si="197"/>
        <v>20.874666666666663</v>
      </c>
      <c r="P284" s="173">
        <f t="shared" si="197"/>
        <v>20.874666666666663</v>
      </c>
      <c r="Q284" s="173">
        <f t="shared" si="197"/>
        <v>20.874666666666663</v>
      </c>
      <c r="R284" s="173">
        <f t="shared" si="197"/>
        <v>20.874666666666663</v>
      </c>
      <c r="S284" s="173">
        <f t="shared" si="197"/>
        <v>31.311999999999998</v>
      </c>
      <c r="T284" s="173">
        <f t="shared" si="197"/>
        <v>17.200725333333331</v>
      </c>
      <c r="U284" s="173">
        <f t="shared" si="197"/>
        <v>16.125679999999996</v>
      </c>
      <c r="V284" s="173">
        <f t="shared" si="197"/>
        <v>21.500906666666662</v>
      </c>
      <c r="W284" s="173">
        <f t="shared" si="197"/>
        <v>21.500906666666662</v>
      </c>
      <c r="X284" s="173">
        <f t="shared" si="197"/>
        <v>21.500906666666662</v>
      </c>
      <c r="Y284" s="173">
        <f t="shared" si="197"/>
        <v>21.500906666666662</v>
      </c>
      <c r="Z284" s="173">
        <f t="shared" si="197"/>
        <v>21.500906666666662</v>
      </c>
      <c r="AA284" s="173">
        <f t="shared" si="197"/>
        <v>21.500906666666662</v>
      </c>
      <c r="AB284" s="173">
        <f t="shared" si="197"/>
        <v>21.500906666666662</v>
      </c>
      <c r="AC284" s="173">
        <f t="shared" si="197"/>
        <v>21.500906666666662</v>
      </c>
      <c r="AD284" s="173">
        <f t="shared" si="197"/>
        <v>21.500906666666662</v>
      </c>
      <c r="AE284" s="173">
        <f t="shared" si="197"/>
        <v>32.251359999999991</v>
      </c>
      <c r="AF284" s="173">
        <f t="shared" si="197"/>
        <v>17.716747093333336</v>
      </c>
      <c r="AG284" s="173">
        <f t="shared" si="197"/>
        <v>16.6094504</v>
      </c>
      <c r="AH284" s="173">
        <f t="shared" si="197"/>
        <v>22.145933866666667</v>
      </c>
      <c r="AI284" s="173">
        <f t="shared" si="197"/>
        <v>22.145933866666667</v>
      </c>
      <c r="AJ284" s="173">
        <f t="shared" si="197"/>
        <v>22.145933866666667</v>
      </c>
      <c r="AK284" s="173">
        <f t="shared" si="197"/>
        <v>22.145933866666667</v>
      </c>
      <c r="AL284" s="173">
        <f t="shared" si="197"/>
        <v>27.68241733333333</v>
      </c>
      <c r="AM284" s="173">
        <f t="shared" si="197"/>
        <v>27.68241733333333</v>
      </c>
      <c r="AN284" s="173">
        <f t="shared" si="197"/>
        <v>27.68241733333333</v>
      </c>
      <c r="AO284" s="173">
        <f t="shared" si="197"/>
        <v>27.68241733333333</v>
      </c>
      <c r="AP284" s="173">
        <f t="shared" si="197"/>
        <v>27.68241733333333</v>
      </c>
      <c r="AQ284" s="173">
        <f t="shared" si="197"/>
        <v>41.523625999999993</v>
      </c>
      <c r="AR284" s="173">
        <f t="shared" si="197"/>
        <v>22.810311882666664</v>
      </c>
      <c r="AS284" s="173">
        <f t="shared" si="197"/>
        <v>21.384667389999997</v>
      </c>
      <c r="AT284" s="173">
        <f t="shared" si="197"/>
        <v>28.512889853333331</v>
      </c>
      <c r="AU284" s="173">
        <f t="shared" si="197"/>
        <v>28.512889853333331</v>
      </c>
      <c r="AV284" s="173">
        <f t="shared" si="197"/>
        <v>28.512889853333331</v>
      </c>
      <c r="AW284" s="173">
        <f t="shared" si="197"/>
        <v>28.512889853333331</v>
      </c>
      <c r="AX284" s="173">
        <f t="shared" si="197"/>
        <v>28.512889853333331</v>
      </c>
      <c r="AY284" s="173">
        <f t="shared" si="197"/>
        <v>28.512889853333331</v>
      </c>
      <c r="AZ284" s="173">
        <f t="shared" si="197"/>
        <v>28.512889853333331</v>
      </c>
      <c r="BA284" s="173">
        <f t="shared" si="197"/>
        <v>28.512889853333331</v>
      </c>
      <c r="BB284" s="173">
        <f t="shared" si="197"/>
        <v>28.512889853333331</v>
      </c>
      <c r="BC284" s="173">
        <f t="shared" si="197"/>
        <v>42.769334779999994</v>
      </c>
      <c r="BD284" s="173">
        <f t="shared" si="197"/>
        <v>23.49462123914666</v>
      </c>
      <c r="BE284" s="173">
        <f t="shared" si="197"/>
        <v>22.026207411699993</v>
      </c>
      <c r="BF284" s="173">
        <f t="shared" si="197"/>
        <v>29.368276548933324</v>
      </c>
      <c r="BG284" s="173">
        <f t="shared" si="197"/>
        <v>29.368276548933324</v>
      </c>
      <c r="BH284" s="173">
        <f t="shared" si="197"/>
        <v>29.368276548933324</v>
      </c>
      <c r="BI284" s="173">
        <f t="shared" si="197"/>
        <v>29.368276548933324</v>
      </c>
      <c r="BJ284" s="173">
        <f t="shared" si="197"/>
        <v>29.368276548933324</v>
      </c>
      <c r="BK284" s="173">
        <f t="shared" si="197"/>
        <v>29.368276548933324</v>
      </c>
      <c r="BL284" s="173">
        <f t="shared" si="197"/>
        <v>35.241931858719994</v>
      </c>
      <c r="BM284" s="173">
        <f t="shared" si="197"/>
        <v>35.241931858719994</v>
      </c>
      <c r="BN284" s="173">
        <f t="shared" si="197"/>
        <v>35.241931858719994</v>
      </c>
      <c r="BO284" s="173">
        <f t="shared" si="197"/>
        <v>52.862897788079991</v>
      </c>
      <c r="BP284" s="148">
        <f t="shared" si="196"/>
        <v>1518.8445416680197</v>
      </c>
      <c r="BQ284" s="148"/>
    </row>
    <row r="285" spans="2:69" s="22" customFormat="1" outlineLevel="1">
      <c r="C285" s="22" t="str">
        <v>Fiberfall</v>
      </c>
      <c r="D285" s="162">
        <f>SUMIFS('Existing Stores'!$E$9:$E$1008,'Existing Stores'!$D$9:$D$1008,Model!$C252)</f>
        <v>142</v>
      </c>
      <c r="E285" s="165">
        <f>(AVERAGEIFS('Existing Stores'!$E$9:$E$1008,'Existing Stores'!$D$9:$D$1008,Model!$C252))</f>
        <v>47.333333333333336</v>
      </c>
      <c r="F285" s="29" t="s">
        <v>119</v>
      </c>
      <c r="G285" s="207">
        <f t="shared" si="191"/>
        <v>21.300000000000004</v>
      </c>
      <c r="H285" s="173">
        <f t="shared" si="191"/>
        <v>11.700800000000003</v>
      </c>
      <c r="I285" s="173">
        <f t="shared" ref="I285:BO285" si="198">$E285*I$277*I193*I132*I$120/1000</f>
        <v>10.969500000000002</v>
      </c>
      <c r="J285" s="173">
        <f t="shared" si="198"/>
        <v>14.626000000000001</v>
      </c>
      <c r="K285" s="173">
        <f t="shared" si="198"/>
        <v>14.626000000000001</v>
      </c>
      <c r="L285" s="173">
        <f t="shared" si="198"/>
        <v>14.626000000000001</v>
      </c>
      <c r="M285" s="173">
        <f t="shared" si="198"/>
        <v>15.60106666666667</v>
      </c>
      <c r="N285" s="173">
        <f t="shared" si="198"/>
        <v>15.60106666666667</v>
      </c>
      <c r="O285" s="173">
        <f t="shared" si="198"/>
        <v>15.60106666666667</v>
      </c>
      <c r="P285" s="173">
        <f t="shared" si="198"/>
        <v>15.60106666666667</v>
      </c>
      <c r="Q285" s="173">
        <f t="shared" si="198"/>
        <v>15.60106666666667</v>
      </c>
      <c r="R285" s="173">
        <f t="shared" si="198"/>
        <v>15.60106666666667</v>
      </c>
      <c r="S285" s="173">
        <f t="shared" si="198"/>
        <v>23.401600000000006</v>
      </c>
      <c r="T285" s="173">
        <f t="shared" si="198"/>
        <v>12.855278933333334</v>
      </c>
      <c r="U285" s="173">
        <f t="shared" si="198"/>
        <v>12.051824</v>
      </c>
      <c r="V285" s="173">
        <f t="shared" si="198"/>
        <v>16.069098666666665</v>
      </c>
      <c r="W285" s="173">
        <f t="shared" si="198"/>
        <v>16.069098666666665</v>
      </c>
      <c r="X285" s="173">
        <f t="shared" si="198"/>
        <v>16.069098666666665</v>
      </c>
      <c r="Y285" s="173">
        <f t="shared" si="198"/>
        <v>16.069098666666665</v>
      </c>
      <c r="Z285" s="173">
        <f t="shared" si="198"/>
        <v>16.069098666666665</v>
      </c>
      <c r="AA285" s="173">
        <f t="shared" si="198"/>
        <v>16.069098666666665</v>
      </c>
      <c r="AB285" s="173">
        <f t="shared" si="198"/>
        <v>16.069098666666665</v>
      </c>
      <c r="AC285" s="173">
        <f t="shared" si="198"/>
        <v>16.069098666666665</v>
      </c>
      <c r="AD285" s="173">
        <f t="shared" si="198"/>
        <v>16.069098666666665</v>
      </c>
      <c r="AE285" s="173">
        <f t="shared" si="198"/>
        <v>24.103648</v>
      </c>
      <c r="AF285" s="173">
        <f t="shared" si="198"/>
        <v>13.240937301333338</v>
      </c>
      <c r="AG285" s="173">
        <f t="shared" si="198"/>
        <v>12.413378720000003</v>
      </c>
      <c r="AH285" s="173">
        <f t="shared" si="198"/>
        <v>16.551171626666669</v>
      </c>
      <c r="AI285" s="173">
        <f t="shared" si="198"/>
        <v>16.551171626666669</v>
      </c>
      <c r="AJ285" s="173">
        <f t="shared" si="198"/>
        <v>16.551171626666669</v>
      </c>
      <c r="AK285" s="173">
        <f t="shared" si="198"/>
        <v>16.551171626666669</v>
      </c>
      <c r="AL285" s="173">
        <f t="shared" si="198"/>
        <v>16.551171626666669</v>
      </c>
      <c r="AM285" s="173">
        <f t="shared" si="198"/>
        <v>20.688964533333341</v>
      </c>
      <c r="AN285" s="173">
        <f t="shared" si="198"/>
        <v>20.688964533333341</v>
      </c>
      <c r="AO285" s="173">
        <f t="shared" si="198"/>
        <v>20.688964533333341</v>
      </c>
      <c r="AP285" s="173">
        <f t="shared" si="198"/>
        <v>20.688964533333341</v>
      </c>
      <c r="AQ285" s="173">
        <f t="shared" si="198"/>
        <v>31.033446800000007</v>
      </c>
      <c r="AR285" s="173">
        <f t="shared" si="198"/>
        <v>17.047706775466668</v>
      </c>
      <c r="AS285" s="173">
        <f t="shared" si="198"/>
        <v>15.982225102000001</v>
      </c>
      <c r="AT285" s="173">
        <f t="shared" si="198"/>
        <v>21.309633469333335</v>
      </c>
      <c r="AU285" s="173">
        <f t="shared" si="198"/>
        <v>21.309633469333335</v>
      </c>
      <c r="AV285" s="173">
        <f t="shared" si="198"/>
        <v>21.309633469333335</v>
      </c>
      <c r="AW285" s="173">
        <f t="shared" si="198"/>
        <v>21.309633469333335</v>
      </c>
      <c r="AX285" s="173">
        <f t="shared" si="198"/>
        <v>21.309633469333335</v>
      </c>
      <c r="AY285" s="173">
        <f t="shared" si="198"/>
        <v>21.309633469333335</v>
      </c>
      <c r="AZ285" s="173">
        <f t="shared" si="198"/>
        <v>21.309633469333335</v>
      </c>
      <c r="BA285" s="173">
        <f t="shared" si="198"/>
        <v>21.309633469333335</v>
      </c>
      <c r="BB285" s="173">
        <f t="shared" si="198"/>
        <v>21.309633469333335</v>
      </c>
      <c r="BC285" s="173">
        <f t="shared" si="198"/>
        <v>31.964450204000002</v>
      </c>
      <c r="BD285" s="173">
        <f t="shared" si="198"/>
        <v>17.559137978730664</v>
      </c>
      <c r="BE285" s="173">
        <f t="shared" si="198"/>
        <v>16.46169185506</v>
      </c>
      <c r="BF285" s="173">
        <f t="shared" si="198"/>
        <v>21.948922473413333</v>
      </c>
      <c r="BG285" s="173">
        <f t="shared" si="198"/>
        <v>21.948922473413333</v>
      </c>
      <c r="BH285" s="173">
        <f t="shared" si="198"/>
        <v>21.948922473413333</v>
      </c>
      <c r="BI285" s="173">
        <f t="shared" si="198"/>
        <v>21.948922473413333</v>
      </c>
      <c r="BJ285" s="173">
        <f t="shared" si="198"/>
        <v>21.948922473413333</v>
      </c>
      <c r="BK285" s="173">
        <f t="shared" si="198"/>
        <v>21.948922473413333</v>
      </c>
      <c r="BL285" s="173">
        <f t="shared" si="198"/>
        <v>21.948922473413333</v>
      </c>
      <c r="BM285" s="173">
        <f t="shared" si="198"/>
        <v>26.338706968095998</v>
      </c>
      <c r="BN285" s="173">
        <f t="shared" si="198"/>
        <v>26.338706968095998</v>
      </c>
      <c r="BO285" s="173">
        <f t="shared" si="198"/>
        <v>39.508060452143994</v>
      </c>
      <c r="BP285" s="148">
        <f t="shared" si="196"/>
        <v>1136.0182628628197</v>
      </c>
      <c r="BQ285" s="148"/>
    </row>
    <row r="286" spans="2:69" s="22" customFormat="1" outlineLevel="1">
      <c r="C286" s="22" t="str">
        <v>Gigatown</v>
      </c>
      <c r="D286" s="161">
        <f>SUMIFS('Existing Stores'!$E$9:$E$1008,'Existing Stores'!$D$9:$D$1008,Model!$C253)</f>
        <v>4085</v>
      </c>
      <c r="E286" s="165">
        <f>(AVERAGEIFS('Existing Stores'!$E$9:$E$1008,'Existing Stores'!$D$9:$D$1008,Model!$C253))</f>
        <v>62.846153846153847</v>
      </c>
      <c r="F286" s="29" t="s">
        <v>119</v>
      </c>
      <c r="G286" s="207">
        <f t="shared" si="191"/>
        <v>612.75</v>
      </c>
      <c r="H286" s="173">
        <f t="shared" si="191"/>
        <v>336.60400000000004</v>
      </c>
      <c r="I286" s="173">
        <f t="shared" ref="I286:BO286" si="199">$E286*I$277*I194*I133*I$120/1000</f>
        <v>315.56625000000008</v>
      </c>
      <c r="J286" s="173">
        <f t="shared" si="199"/>
        <v>420.75500000000005</v>
      </c>
      <c r="K286" s="173">
        <f t="shared" si="199"/>
        <v>420.75500000000005</v>
      </c>
      <c r="L286" s="173">
        <f t="shared" si="199"/>
        <v>420.75500000000005</v>
      </c>
      <c r="M286" s="173">
        <f t="shared" si="199"/>
        <v>420.75500000000005</v>
      </c>
      <c r="N286" s="173">
        <f t="shared" si="199"/>
        <v>427.22815384615387</v>
      </c>
      <c r="O286" s="173">
        <f t="shared" si="199"/>
        <v>427.22815384615387</v>
      </c>
      <c r="P286" s="173">
        <f t="shared" si="199"/>
        <v>427.22815384615387</v>
      </c>
      <c r="Q286" s="173">
        <f t="shared" si="199"/>
        <v>427.22815384615387</v>
      </c>
      <c r="R286" s="173">
        <f t="shared" si="199"/>
        <v>427.22815384615387</v>
      </c>
      <c r="S286" s="173">
        <f t="shared" si="199"/>
        <v>640.8422307692307</v>
      </c>
      <c r="T286" s="173">
        <f t="shared" si="199"/>
        <v>352.03599876923073</v>
      </c>
      <c r="U286" s="173">
        <f t="shared" si="199"/>
        <v>330.0337488461538</v>
      </c>
      <c r="V286" s="173">
        <f t="shared" si="199"/>
        <v>440.0449984615384</v>
      </c>
      <c r="W286" s="173">
        <f t="shared" si="199"/>
        <v>440.0449984615384</v>
      </c>
      <c r="X286" s="173">
        <f t="shared" si="199"/>
        <v>440.0449984615384</v>
      </c>
      <c r="Y286" s="173">
        <f t="shared" si="199"/>
        <v>440.0449984615384</v>
      </c>
      <c r="Z286" s="173">
        <f t="shared" si="199"/>
        <v>440.0449984615384</v>
      </c>
      <c r="AA286" s="173">
        <f t="shared" si="199"/>
        <v>440.0449984615384</v>
      </c>
      <c r="AB286" s="173">
        <f t="shared" si="199"/>
        <v>440.0449984615384</v>
      </c>
      <c r="AC286" s="173">
        <f t="shared" si="199"/>
        <v>440.0449984615384</v>
      </c>
      <c r="AD286" s="173">
        <f t="shared" si="199"/>
        <v>440.0449984615384</v>
      </c>
      <c r="AE286" s="173">
        <f t="shared" si="199"/>
        <v>660.0674976923076</v>
      </c>
      <c r="AF286" s="173">
        <f t="shared" si="199"/>
        <v>362.59707873230769</v>
      </c>
      <c r="AG286" s="173">
        <f t="shared" si="199"/>
        <v>339.93476131153847</v>
      </c>
      <c r="AH286" s="173">
        <f t="shared" si="199"/>
        <v>453.2463484153846</v>
      </c>
      <c r="AI286" s="173">
        <f t="shared" si="199"/>
        <v>453.2463484153846</v>
      </c>
      <c r="AJ286" s="173">
        <f t="shared" si="199"/>
        <v>453.2463484153846</v>
      </c>
      <c r="AK286" s="173">
        <f t="shared" si="199"/>
        <v>453.2463484153846</v>
      </c>
      <c r="AL286" s="173">
        <f t="shared" si="199"/>
        <v>453.2463484153846</v>
      </c>
      <c r="AM286" s="173">
        <f t="shared" si="199"/>
        <v>453.2463484153846</v>
      </c>
      <c r="AN286" s="173">
        <f t="shared" si="199"/>
        <v>460.11371733076925</v>
      </c>
      <c r="AO286" s="173">
        <f t="shared" si="199"/>
        <v>460.11371733076925</v>
      </c>
      <c r="AP286" s="173">
        <f t="shared" si="199"/>
        <v>460.11371733076925</v>
      </c>
      <c r="AQ286" s="173">
        <f t="shared" si="199"/>
        <v>690.17057599615384</v>
      </c>
      <c r="AR286" s="173">
        <f t="shared" si="199"/>
        <v>379.13370308055386</v>
      </c>
      <c r="AS286" s="173">
        <f t="shared" si="199"/>
        <v>355.43784663801921</v>
      </c>
      <c r="AT286" s="173">
        <f t="shared" si="199"/>
        <v>473.91712885069228</v>
      </c>
      <c r="AU286" s="173">
        <f t="shared" si="199"/>
        <v>473.91712885069228</v>
      </c>
      <c r="AV286" s="173">
        <f t="shared" si="199"/>
        <v>473.91712885069228</v>
      </c>
      <c r="AW286" s="173">
        <f t="shared" si="199"/>
        <v>473.91712885069228</v>
      </c>
      <c r="AX286" s="173">
        <f t="shared" si="199"/>
        <v>473.91712885069228</v>
      </c>
      <c r="AY286" s="173">
        <f t="shared" si="199"/>
        <v>473.91712885069228</v>
      </c>
      <c r="AZ286" s="173">
        <f t="shared" si="199"/>
        <v>473.91712885069228</v>
      </c>
      <c r="BA286" s="173">
        <f t="shared" si="199"/>
        <v>473.91712885069228</v>
      </c>
      <c r="BB286" s="173">
        <f t="shared" si="199"/>
        <v>473.91712885069228</v>
      </c>
      <c r="BC286" s="173">
        <f t="shared" si="199"/>
        <v>710.87569327603842</v>
      </c>
      <c r="BD286" s="173">
        <f t="shared" si="199"/>
        <v>390.50771417297045</v>
      </c>
      <c r="BE286" s="173">
        <f t="shared" si="199"/>
        <v>366.10098203715972</v>
      </c>
      <c r="BF286" s="173">
        <f t="shared" si="199"/>
        <v>488.13464271621302</v>
      </c>
      <c r="BG286" s="173">
        <f t="shared" si="199"/>
        <v>488.13464271621302</v>
      </c>
      <c r="BH286" s="173">
        <f t="shared" si="199"/>
        <v>488.13464271621302</v>
      </c>
      <c r="BI286" s="173">
        <f t="shared" si="199"/>
        <v>488.13464271621302</v>
      </c>
      <c r="BJ286" s="173">
        <f t="shared" si="199"/>
        <v>488.13464271621302</v>
      </c>
      <c r="BK286" s="173">
        <f t="shared" si="199"/>
        <v>488.13464271621302</v>
      </c>
      <c r="BL286" s="173">
        <f t="shared" si="199"/>
        <v>488.13464271621302</v>
      </c>
      <c r="BM286" s="173">
        <f t="shared" si="199"/>
        <v>488.13464271621302</v>
      </c>
      <c r="BN286" s="173">
        <f t="shared" si="199"/>
        <v>495.42023439854455</v>
      </c>
      <c r="BO286" s="173">
        <f t="shared" si="199"/>
        <v>743.1303515978168</v>
      </c>
      <c r="BP286" s="148">
        <f t="shared" si="196"/>
        <v>27518.174966573191</v>
      </c>
      <c r="BQ286" s="148"/>
    </row>
    <row r="287" spans="2:69" s="22" customFormat="1" outlineLevel="1">
      <c r="C287" s="22" t="str">
        <v>Hexavale</v>
      </c>
      <c r="D287" s="161">
        <f>SUMIFS('Existing Stores'!$E$9:$E$1008,'Existing Stores'!$D$9:$D$1008,Model!$C254)</f>
        <v>19982</v>
      </c>
      <c r="E287" s="165">
        <f>(AVERAGEIFS('Existing Stores'!$E$9:$E$1008,'Existing Stores'!$D$9:$D$1008,Model!$C254))</f>
        <v>64.250803858520896</v>
      </c>
      <c r="F287" s="29" t="s">
        <v>119</v>
      </c>
      <c r="G287" s="207">
        <f t="shared" si="191"/>
        <v>2997.2999999999997</v>
      </c>
      <c r="H287" s="173">
        <f t="shared" si="191"/>
        <v>1646.5168000000001</v>
      </c>
      <c r="I287" s="173">
        <f t="shared" ref="I287:BO287" si="200">$E287*I$277*I195*I134*I$120/1000</f>
        <v>1543.6095</v>
      </c>
      <c r="J287" s="173">
        <f t="shared" si="200"/>
        <v>2058.1460000000002</v>
      </c>
      <c r="K287" s="173">
        <f t="shared" si="200"/>
        <v>2058.1460000000002</v>
      </c>
      <c r="L287" s="173">
        <f t="shared" si="200"/>
        <v>2058.1460000000002</v>
      </c>
      <c r="M287" s="173">
        <f t="shared" si="200"/>
        <v>2058.1460000000002</v>
      </c>
      <c r="N287" s="173">
        <f t="shared" si="200"/>
        <v>2058.1460000000002</v>
      </c>
      <c r="O287" s="173">
        <f t="shared" si="200"/>
        <v>2064.7638327974278</v>
      </c>
      <c r="P287" s="173">
        <f t="shared" si="200"/>
        <v>2064.7638327974278</v>
      </c>
      <c r="Q287" s="173">
        <f t="shared" si="200"/>
        <v>2064.7638327974278</v>
      </c>
      <c r="R287" s="173">
        <f t="shared" si="200"/>
        <v>2064.7638327974278</v>
      </c>
      <c r="S287" s="173">
        <f t="shared" si="200"/>
        <v>3097.1457491961414</v>
      </c>
      <c r="T287" s="173">
        <f t="shared" si="200"/>
        <v>1701.3653982250803</v>
      </c>
      <c r="U287" s="173">
        <f t="shared" si="200"/>
        <v>1595.0300608360128</v>
      </c>
      <c r="V287" s="173">
        <f t="shared" si="200"/>
        <v>2126.7067477813503</v>
      </c>
      <c r="W287" s="173">
        <f t="shared" si="200"/>
        <v>2126.7067477813503</v>
      </c>
      <c r="X287" s="173">
        <f t="shared" si="200"/>
        <v>2126.7067477813503</v>
      </c>
      <c r="Y287" s="173">
        <f t="shared" si="200"/>
        <v>2126.7067477813503</v>
      </c>
      <c r="Z287" s="173">
        <f t="shared" si="200"/>
        <v>2126.7067477813503</v>
      </c>
      <c r="AA287" s="173">
        <f t="shared" si="200"/>
        <v>2126.7067477813503</v>
      </c>
      <c r="AB287" s="173">
        <f t="shared" si="200"/>
        <v>2126.7067477813503</v>
      </c>
      <c r="AC287" s="173">
        <f t="shared" si="200"/>
        <v>2126.7067477813503</v>
      </c>
      <c r="AD287" s="173">
        <f t="shared" si="200"/>
        <v>2126.7067477813503</v>
      </c>
      <c r="AE287" s="173">
        <f t="shared" si="200"/>
        <v>3190.0601216720256</v>
      </c>
      <c r="AF287" s="173">
        <f t="shared" si="200"/>
        <v>1752.4063601718331</v>
      </c>
      <c r="AG287" s="173">
        <f t="shared" si="200"/>
        <v>1642.8809626610932</v>
      </c>
      <c r="AH287" s="173">
        <f t="shared" si="200"/>
        <v>2190.507950214791</v>
      </c>
      <c r="AI287" s="173">
        <f t="shared" si="200"/>
        <v>2190.507950214791</v>
      </c>
      <c r="AJ287" s="173">
        <f t="shared" si="200"/>
        <v>2190.507950214791</v>
      </c>
      <c r="AK287" s="173">
        <f t="shared" si="200"/>
        <v>2190.507950214791</v>
      </c>
      <c r="AL287" s="173">
        <f t="shared" si="200"/>
        <v>2190.507950214791</v>
      </c>
      <c r="AM287" s="173">
        <f t="shared" si="200"/>
        <v>2190.507950214791</v>
      </c>
      <c r="AN287" s="173">
        <f t="shared" si="200"/>
        <v>2190.507950214791</v>
      </c>
      <c r="AO287" s="173">
        <f t="shared" si="200"/>
        <v>2197.5288090295821</v>
      </c>
      <c r="AP287" s="173">
        <f t="shared" si="200"/>
        <v>2197.5288090295821</v>
      </c>
      <c r="AQ287" s="173">
        <f t="shared" si="200"/>
        <v>3296.293213544373</v>
      </c>
      <c r="AR287" s="173">
        <f t="shared" si="200"/>
        <v>1810.7637386403753</v>
      </c>
      <c r="AS287" s="173">
        <f t="shared" si="200"/>
        <v>1697.591004975352</v>
      </c>
      <c r="AT287" s="173">
        <f t="shared" si="200"/>
        <v>2263.4546733004695</v>
      </c>
      <c r="AU287" s="173">
        <f t="shared" si="200"/>
        <v>2263.4546733004695</v>
      </c>
      <c r="AV287" s="173">
        <f t="shared" si="200"/>
        <v>2263.4546733004695</v>
      </c>
      <c r="AW287" s="173">
        <f t="shared" si="200"/>
        <v>2263.4546733004695</v>
      </c>
      <c r="AX287" s="173">
        <f t="shared" si="200"/>
        <v>2263.4546733004695</v>
      </c>
      <c r="AY287" s="173">
        <f t="shared" si="200"/>
        <v>2263.4546733004695</v>
      </c>
      <c r="AZ287" s="173">
        <f t="shared" si="200"/>
        <v>2263.4546733004695</v>
      </c>
      <c r="BA287" s="173">
        <f t="shared" si="200"/>
        <v>2263.4546733004695</v>
      </c>
      <c r="BB287" s="173">
        <f t="shared" si="200"/>
        <v>2263.4546733004695</v>
      </c>
      <c r="BC287" s="173">
        <f t="shared" si="200"/>
        <v>3395.182009950704</v>
      </c>
      <c r="BD287" s="173">
        <f t="shared" si="200"/>
        <v>1865.0866507995868</v>
      </c>
      <c r="BE287" s="173">
        <f t="shared" si="200"/>
        <v>1748.5187351246125</v>
      </c>
      <c r="BF287" s="173">
        <f t="shared" si="200"/>
        <v>2331.3583134994833</v>
      </c>
      <c r="BG287" s="173">
        <f t="shared" si="200"/>
        <v>2331.3583134994833</v>
      </c>
      <c r="BH287" s="173">
        <f t="shared" si="200"/>
        <v>2331.3583134994833</v>
      </c>
      <c r="BI287" s="173">
        <f t="shared" si="200"/>
        <v>2331.3583134994833</v>
      </c>
      <c r="BJ287" s="173">
        <f t="shared" si="200"/>
        <v>2331.3583134994833</v>
      </c>
      <c r="BK287" s="173">
        <f t="shared" si="200"/>
        <v>2331.3583134994833</v>
      </c>
      <c r="BL287" s="173">
        <f t="shared" si="200"/>
        <v>2331.3583134994833</v>
      </c>
      <c r="BM287" s="173">
        <f t="shared" si="200"/>
        <v>2331.3583134994833</v>
      </c>
      <c r="BN287" s="173">
        <f t="shared" si="200"/>
        <v>2331.3583134994833</v>
      </c>
      <c r="BO287" s="173">
        <f t="shared" si="200"/>
        <v>3508.2101139241431</v>
      </c>
      <c r="BP287" s="148">
        <f t="shared" si="196"/>
        <v>132262.73663170545</v>
      </c>
      <c r="BQ287" s="148"/>
    </row>
    <row r="288" spans="2:69" s="22" customFormat="1" outlineLevel="1">
      <c r="C288" s="22" t="str">
        <v>Input City</v>
      </c>
      <c r="D288" s="161">
        <f>SUMIFS('Existing Stores'!$E$9:$E$1008,'Existing Stores'!$D$9:$D$1008,Model!$C255)</f>
        <v>1123</v>
      </c>
      <c r="E288" s="165">
        <f>(AVERAGEIFS('Existing Stores'!$E$9:$E$1008,'Existing Stores'!$D$9:$D$1008,Model!$C255))</f>
        <v>66.058823529411768</v>
      </c>
      <c r="F288" s="29" t="s">
        <v>119</v>
      </c>
      <c r="G288" s="207">
        <f t="shared" si="191"/>
        <v>168.45</v>
      </c>
      <c r="H288" s="173">
        <f t="shared" si="191"/>
        <v>92.535200000000017</v>
      </c>
      <c r="I288" s="173">
        <f t="shared" ref="I288:BO288" si="201">$E288*I$277*I196*I135*I$120/1000</f>
        <v>86.751750000000001</v>
      </c>
      <c r="J288" s="173">
        <f t="shared" si="201"/>
        <v>115.669</v>
      </c>
      <c r="K288" s="173">
        <f t="shared" si="201"/>
        <v>115.669</v>
      </c>
      <c r="L288" s="173">
        <f t="shared" si="201"/>
        <v>115.669</v>
      </c>
      <c r="M288" s="173">
        <f t="shared" si="201"/>
        <v>115.669</v>
      </c>
      <c r="N288" s="173">
        <f t="shared" si="201"/>
        <v>115.669</v>
      </c>
      <c r="O288" s="173">
        <f t="shared" si="201"/>
        <v>115.669</v>
      </c>
      <c r="P288" s="173">
        <f t="shared" si="201"/>
        <v>122.47305882352941</v>
      </c>
      <c r="Q288" s="173">
        <f t="shared" si="201"/>
        <v>122.47305882352941</v>
      </c>
      <c r="R288" s="173">
        <f t="shared" si="201"/>
        <v>122.47305882352941</v>
      </c>
      <c r="S288" s="173">
        <f t="shared" si="201"/>
        <v>183.70958823529412</v>
      </c>
      <c r="T288" s="173">
        <f t="shared" si="201"/>
        <v>100.91780047058823</v>
      </c>
      <c r="U288" s="173">
        <f t="shared" si="201"/>
        <v>94.610437941176471</v>
      </c>
      <c r="V288" s="173">
        <f t="shared" si="201"/>
        <v>126.14725058823528</v>
      </c>
      <c r="W288" s="173">
        <f t="shared" si="201"/>
        <v>126.14725058823528</v>
      </c>
      <c r="X288" s="173">
        <f t="shared" si="201"/>
        <v>126.14725058823528</v>
      </c>
      <c r="Y288" s="173">
        <f t="shared" si="201"/>
        <v>126.14725058823528</v>
      </c>
      <c r="Z288" s="173">
        <f t="shared" si="201"/>
        <v>126.14725058823528</v>
      </c>
      <c r="AA288" s="173">
        <f t="shared" si="201"/>
        <v>126.14725058823528</v>
      </c>
      <c r="AB288" s="173">
        <f t="shared" si="201"/>
        <v>126.14725058823528</v>
      </c>
      <c r="AC288" s="173">
        <f t="shared" si="201"/>
        <v>126.14725058823528</v>
      </c>
      <c r="AD288" s="173">
        <f t="shared" si="201"/>
        <v>126.14725058823528</v>
      </c>
      <c r="AE288" s="173">
        <f t="shared" si="201"/>
        <v>189.22087588235294</v>
      </c>
      <c r="AF288" s="173">
        <f t="shared" si="201"/>
        <v>103.9453344847059</v>
      </c>
      <c r="AG288" s="173">
        <f t="shared" si="201"/>
        <v>97.448751079411764</v>
      </c>
      <c r="AH288" s="173">
        <f t="shared" si="201"/>
        <v>129.93166810588235</v>
      </c>
      <c r="AI288" s="173">
        <f t="shared" si="201"/>
        <v>129.93166810588235</v>
      </c>
      <c r="AJ288" s="173">
        <f t="shared" si="201"/>
        <v>129.93166810588235</v>
      </c>
      <c r="AK288" s="173">
        <f t="shared" si="201"/>
        <v>129.93166810588235</v>
      </c>
      <c r="AL288" s="173">
        <f t="shared" si="201"/>
        <v>129.93166810588235</v>
      </c>
      <c r="AM288" s="173">
        <f t="shared" si="201"/>
        <v>129.93166810588235</v>
      </c>
      <c r="AN288" s="173">
        <f t="shared" si="201"/>
        <v>129.93166810588235</v>
      </c>
      <c r="AO288" s="173">
        <f t="shared" si="201"/>
        <v>129.93166810588235</v>
      </c>
      <c r="AP288" s="173">
        <f t="shared" si="201"/>
        <v>137.15009411176473</v>
      </c>
      <c r="AQ288" s="173">
        <f t="shared" si="201"/>
        <v>205.72514116764708</v>
      </c>
      <c r="AR288" s="173">
        <f t="shared" si="201"/>
        <v>113.01167754809413</v>
      </c>
      <c r="AS288" s="173">
        <f t="shared" si="201"/>
        <v>105.94844770133824</v>
      </c>
      <c r="AT288" s="173">
        <f t="shared" si="201"/>
        <v>141.26459693511765</v>
      </c>
      <c r="AU288" s="173">
        <f t="shared" si="201"/>
        <v>141.26459693511765</v>
      </c>
      <c r="AV288" s="173">
        <f t="shared" si="201"/>
        <v>141.26459693511765</v>
      </c>
      <c r="AW288" s="173">
        <f t="shared" si="201"/>
        <v>141.26459693511765</v>
      </c>
      <c r="AX288" s="173">
        <f t="shared" si="201"/>
        <v>141.26459693511765</v>
      </c>
      <c r="AY288" s="173">
        <f t="shared" si="201"/>
        <v>141.26459693511765</v>
      </c>
      <c r="AZ288" s="173">
        <f t="shared" si="201"/>
        <v>141.26459693511765</v>
      </c>
      <c r="BA288" s="173">
        <f t="shared" si="201"/>
        <v>141.26459693511765</v>
      </c>
      <c r="BB288" s="173">
        <f t="shared" si="201"/>
        <v>141.26459693511765</v>
      </c>
      <c r="BC288" s="173">
        <f t="shared" si="201"/>
        <v>211.89689540267648</v>
      </c>
      <c r="BD288" s="173">
        <f t="shared" si="201"/>
        <v>116.40202787453693</v>
      </c>
      <c r="BE288" s="173">
        <f t="shared" si="201"/>
        <v>109.12690113237838</v>
      </c>
      <c r="BF288" s="173">
        <f t="shared" si="201"/>
        <v>145.50253484317116</v>
      </c>
      <c r="BG288" s="173">
        <f t="shared" si="201"/>
        <v>145.50253484317116</v>
      </c>
      <c r="BH288" s="173">
        <f t="shared" si="201"/>
        <v>145.50253484317116</v>
      </c>
      <c r="BI288" s="173">
        <f t="shared" si="201"/>
        <v>145.50253484317116</v>
      </c>
      <c r="BJ288" s="173">
        <f t="shared" si="201"/>
        <v>145.50253484317116</v>
      </c>
      <c r="BK288" s="173">
        <f t="shared" si="201"/>
        <v>145.50253484317116</v>
      </c>
      <c r="BL288" s="173">
        <f t="shared" si="201"/>
        <v>145.50253484317116</v>
      </c>
      <c r="BM288" s="173">
        <f t="shared" si="201"/>
        <v>145.50253484317116</v>
      </c>
      <c r="BN288" s="173">
        <f t="shared" si="201"/>
        <v>145.50253484317116</v>
      </c>
      <c r="BO288" s="173">
        <f t="shared" si="201"/>
        <v>218.25380226475676</v>
      </c>
      <c r="BP288" s="148">
        <f t="shared" si="196"/>
        <v>7983.7706879130847</v>
      </c>
      <c r="BQ288" s="148"/>
    </row>
    <row r="289" spans="3:69" s="22" customFormat="1" outlineLevel="1">
      <c r="C289" s="22" t="str">
        <v>Junction Core</v>
      </c>
      <c r="D289" s="161">
        <f>SUMIFS('Existing Stores'!$E$9:$E$1008,'Existing Stores'!$D$9:$D$1008,Model!$C256)</f>
        <v>600</v>
      </c>
      <c r="E289" s="165">
        <f>(AVERAGEIFS('Existing Stores'!$E$9:$E$1008,'Existing Stores'!$D$9:$D$1008,Model!$C256))</f>
        <v>75</v>
      </c>
      <c r="F289" s="29" t="s">
        <v>119</v>
      </c>
      <c r="G289" s="207">
        <f t="shared" si="191"/>
        <v>90</v>
      </c>
      <c r="H289" s="173">
        <f t="shared" si="191"/>
        <v>49.44</v>
      </c>
      <c r="I289" s="173">
        <f t="shared" ref="I289:BO289" si="202">$E289*I$277*I197*I136*I$120/1000</f>
        <v>46.35</v>
      </c>
      <c r="J289" s="173">
        <f t="shared" si="202"/>
        <v>61.8</v>
      </c>
      <c r="K289" s="173">
        <f t="shared" si="202"/>
        <v>61.8</v>
      </c>
      <c r="L289" s="173">
        <f t="shared" si="202"/>
        <v>61.8</v>
      </c>
      <c r="M289" s="173">
        <f t="shared" si="202"/>
        <v>61.8</v>
      </c>
      <c r="N289" s="173">
        <f t="shared" si="202"/>
        <v>61.8</v>
      </c>
      <c r="O289" s="173">
        <f t="shared" si="202"/>
        <v>61.8</v>
      </c>
      <c r="P289" s="173">
        <f t="shared" si="202"/>
        <v>61.8</v>
      </c>
      <c r="Q289" s="173">
        <f t="shared" si="202"/>
        <v>69.525000000000006</v>
      </c>
      <c r="R289" s="173">
        <f t="shared" si="202"/>
        <v>69.525000000000006</v>
      </c>
      <c r="S289" s="173">
        <f t="shared" si="202"/>
        <v>104.28749999999999</v>
      </c>
      <c r="T289" s="173">
        <f t="shared" si="202"/>
        <v>57.288599999999988</v>
      </c>
      <c r="U289" s="173">
        <f t="shared" si="202"/>
        <v>53.708062499999983</v>
      </c>
      <c r="V289" s="173">
        <f t="shared" si="202"/>
        <v>71.610749999999982</v>
      </c>
      <c r="W289" s="173">
        <f t="shared" si="202"/>
        <v>71.610749999999982</v>
      </c>
      <c r="X289" s="173">
        <f t="shared" si="202"/>
        <v>71.610749999999982</v>
      </c>
      <c r="Y289" s="173">
        <f t="shared" si="202"/>
        <v>71.610749999999982</v>
      </c>
      <c r="Z289" s="173">
        <f t="shared" si="202"/>
        <v>71.610749999999982</v>
      </c>
      <c r="AA289" s="173">
        <f t="shared" si="202"/>
        <v>71.610749999999982</v>
      </c>
      <c r="AB289" s="173">
        <f t="shared" si="202"/>
        <v>71.610749999999982</v>
      </c>
      <c r="AC289" s="173">
        <f t="shared" si="202"/>
        <v>71.610749999999982</v>
      </c>
      <c r="AD289" s="173">
        <f t="shared" si="202"/>
        <v>71.610749999999982</v>
      </c>
      <c r="AE289" s="173">
        <f t="shared" si="202"/>
        <v>107.41612499999997</v>
      </c>
      <c r="AF289" s="173">
        <f t="shared" si="202"/>
        <v>59.007258</v>
      </c>
      <c r="AG289" s="173">
        <f t="shared" si="202"/>
        <v>55.319304374999994</v>
      </c>
      <c r="AH289" s="173">
        <f t="shared" si="202"/>
        <v>73.759072499999988</v>
      </c>
      <c r="AI289" s="173">
        <f t="shared" si="202"/>
        <v>73.759072499999988</v>
      </c>
      <c r="AJ289" s="173">
        <f t="shared" si="202"/>
        <v>73.759072499999988</v>
      </c>
      <c r="AK289" s="173">
        <f t="shared" si="202"/>
        <v>73.759072499999988</v>
      </c>
      <c r="AL289" s="173">
        <f t="shared" si="202"/>
        <v>73.759072499999988</v>
      </c>
      <c r="AM289" s="173">
        <f t="shared" si="202"/>
        <v>73.759072499999988</v>
      </c>
      <c r="AN289" s="173">
        <f t="shared" si="202"/>
        <v>73.759072499999988</v>
      </c>
      <c r="AO289" s="173">
        <f t="shared" si="202"/>
        <v>73.759072499999988</v>
      </c>
      <c r="AP289" s="173">
        <f t="shared" si="202"/>
        <v>73.759072499999988</v>
      </c>
      <c r="AQ289" s="173">
        <f t="shared" si="202"/>
        <v>122.93178749999998</v>
      </c>
      <c r="AR289" s="173">
        <f t="shared" si="202"/>
        <v>67.530528599999997</v>
      </c>
      <c r="AS289" s="173">
        <f t="shared" si="202"/>
        <v>63.309870562499988</v>
      </c>
      <c r="AT289" s="173">
        <f t="shared" si="202"/>
        <v>84.413160749999975</v>
      </c>
      <c r="AU289" s="173">
        <f t="shared" si="202"/>
        <v>84.413160749999975</v>
      </c>
      <c r="AV289" s="173">
        <f t="shared" si="202"/>
        <v>84.413160749999975</v>
      </c>
      <c r="AW289" s="173">
        <f t="shared" si="202"/>
        <v>84.413160749999975</v>
      </c>
      <c r="AX289" s="173">
        <f t="shared" si="202"/>
        <v>84.413160749999975</v>
      </c>
      <c r="AY289" s="173">
        <f t="shared" si="202"/>
        <v>84.413160749999975</v>
      </c>
      <c r="AZ289" s="173">
        <f t="shared" si="202"/>
        <v>84.413160749999975</v>
      </c>
      <c r="BA289" s="173">
        <f t="shared" si="202"/>
        <v>84.413160749999975</v>
      </c>
      <c r="BB289" s="173">
        <f t="shared" si="202"/>
        <v>84.413160749999975</v>
      </c>
      <c r="BC289" s="173">
        <f t="shared" si="202"/>
        <v>126.61974112499998</v>
      </c>
      <c r="BD289" s="173">
        <f t="shared" si="202"/>
        <v>69.556444458000001</v>
      </c>
      <c r="BE289" s="173">
        <f t="shared" si="202"/>
        <v>65.209166679375002</v>
      </c>
      <c r="BF289" s="173">
        <f t="shared" si="202"/>
        <v>86.945555572499998</v>
      </c>
      <c r="BG289" s="173">
        <f t="shared" si="202"/>
        <v>86.945555572499998</v>
      </c>
      <c r="BH289" s="173">
        <f t="shared" si="202"/>
        <v>86.945555572499998</v>
      </c>
      <c r="BI289" s="173">
        <f t="shared" si="202"/>
        <v>86.945555572499998</v>
      </c>
      <c r="BJ289" s="173">
        <f t="shared" si="202"/>
        <v>86.945555572499998</v>
      </c>
      <c r="BK289" s="173">
        <f t="shared" si="202"/>
        <v>86.945555572499998</v>
      </c>
      <c r="BL289" s="173">
        <f t="shared" si="202"/>
        <v>86.945555572499998</v>
      </c>
      <c r="BM289" s="173">
        <f t="shared" si="202"/>
        <v>86.945555572499998</v>
      </c>
      <c r="BN289" s="173">
        <f t="shared" si="202"/>
        <v>86.945555572499998</v>
      </c>
      <c r="BO289" s="173">
        <f t="shared" si="202"/>
        <v>130.41833335875</v>
      </c>
      <c r="BP289" s="148">
        <f t="shared" si="196"/>
        <v>4600.5995715611225</v>
      </c>
      <c r="BQ289" s="148"/>
    </row>
    <row r="290" spans="3:69" s="22" customFormat="1" outlineLevel="1">
      <c r="C290" s="22" t="str">
        <v>Kernel Heights</v>
      </c>
      <c r="D290" s="161">
        <f>SUMIFS('Existing Stores'!$E$9:$E$1008,'Existing Stores'!$D$9:$D$1008,Model!$C257)</f>
        <v>200</v>
      </c>
      <c r="E290" s="165">
        <f>(AVERAGEIFS('Existing Stores'!$E$9:$E$1008,'Existing Stores'!$D$9:$D$1008,Model!$C257))</f>
        <v>66.666666666666671</v>
      </c>
      <c r="F290" s="29" t="s">
        <v>119</v>
      </c>
      <c r="G290" s="207">
        <f t="shared" si="191"/>
        <v>30</v>
      </c>
      <c r="H290" s="173">
        <f t="shared" si="191"/>
        <v>16.48</v>
      </c>
      <c r="I290" s="173">
        <f t="shared" ref="I290:BO290" si="203">$E290*I$277*I198*I137*I$120/1000</f>
        <v>15.45</v>
      </c>
      <c r="J290" s="173">
        <f t="shared" si="203"/>
        <v>20.6</v>
      </c>
      <c r="K290" s="173">
        <f t="shared" si="203"/>
        <v>20.6</v>
      </c>
      <c r="L290" s="173">
        <f t="shared" si="203"/>
        <v>20.6</v>
      </c>
      <c r="M290" s="173">
        <f t="shared" si="203"/>
        <v>20.6</v>
      </c>
      <c r="N290" s="173">
        <f t="shared" si="203"/>
        <v>20.6</v>
      </c>
      <c r="O290" s="173">
        <f t="shared" si="203"/>
        <v>20.6</v>
      </c>
      <c r="P290" s="173">
        <f t="shared" si="203"/>
        <v>20.6</v>
      </c>
      <c r="Q290" s="173">
        <f t="shared" si="203"/>
        <v>20.6</v>
      </c>
      <c r="R290" s="173">
        <f t="shared" si="203"/>
        <v>27.466666666666669</v>
      </c>
      <c r="S290" s="173">
        <f t="shared" si="203"/>
        <v>41.2</v>
      </c>
      <c r="T290" s="173">
        <f t="shared" si="203"/>
        <v>22.632533333333331</v>
      </c>
      <c r="U290" s="173">
        <f t="shared" si="203"/>
        <v>21.218</v>
      </c>
      <c r="V290" s="173">
        <f t="shared" si="203"/>
        <v>28.290666666666663</v>
      </c>
      <c r="W290" s="173">
        <f t="shared" si="203"/>
        <v>28.290666666666663</v>
      </c>
      <c r="X290" s="173">
        <f t="shared" si="203"/>
        <v>28.290666666666663</v>
      </c>
      <c r="Y290" s="173">
        <f t="shared" si="203"/>
        <v>28.290666666666663</v>
      </c>
      <c r="Z290" s="173">
        <f t="shared" si="203"/>
        <v>28.290666666666663</v>
      </c>
      <c r="AA290" s="173">
        <f t="shared" si="203"/>
        <v>28.290666666666663</v>
      </c>
      <c r="AB290" s="173">
        <f t="shared" si="203"/>
        <v>28.290666666666663</v>
      </c>
      <c r="AC290" s="173">
        <f t="shared" si="203"/>
        <v>28.290666666666663</v>
      </c>
      <c r="AD290" s="173">
        <f t="shared" si="203"/>
        <v>28.290666666666663</v>
      </c>
      <c r="AE290" s="173">
        <f t="shared" si="203"/>
        <v>42.436</v>
      </c>
      <c r="AF290" s="173">
        <f t="shared" si="203"/>
        <v>23.311509333333337</v>
      </c>
      <c r="AG290" s="173">
        <f t="shared" si="203"/>
        <v>21.85454</v>
      </c>
      <c r="AH290" s="173">
        <f t="shared" si="203"/>
        <v>29.13938666666667</v>
      </c>
      <c r="AI290" s="173">
        <f t="shared" si="203"/>
        <v>29.13938666666667</v>
      </c>
      <c r="AJ290" s="173">
        <f t="shared" si="203"/>
        <v>29.13938666666667</v>
      </c>
      <c r="AK290" s="173">
        <f t="shared" si="203"/>
        <v>29.13938666666667</v>
      </c>
      <c r="AL290" s="173">
        <f t="shared" si="203"/>
        <v>29.13938666666667</v>
      </c>
      <c r="AM290" s="173">
        <f t="shared" si="203"/>
        <v>29.13938666666667</v>
      </c>
      <c r="AN290" s="173">
        <f t="shared" si="203"/>
        <v>29.13938666666667</v>
      </c>
      <c r="AO290" s="173">
        <f t="shared" si="203"/>
        <v>29.13938666666667</v>
      </c>
      <c r="AP290" s="173">
        <f t="shared" si="203"/>
        <v>29.13938666666667</v>
      </c>
      <c r="AQ290" s="173">
        <f t="shared" si="203"/>
        <v>43.70908</v>
      </c>
      <c r="AR290" s="173">
        <f t="shared" si="203"/>
        <v>30.013568266666667</v>
      </c>
      <c r="AS290" s="173">
        <f t="shared" si="203"/>
        <v>28.137720249999997</v>
      </c>
      <c r="AT290" s="173">
        <f t="shared" si="203"/>
        <v>37.51696033333333</v>
      </c>
      <c r="AU290" s="173">
        <f t="shared" si="203"/>
        <v>37.51696033333333</v>
      </c>
      <c r="AV290" s="173">
        <f t="shared" si="203"/>
        <v>37.51696033333333</v>
      </c>
      <c r="AW290" s="173">
        <f t="shared" si="203"/>
        <v>37.51696033333333</v>
      </c>
      <c r="AX290" s="173">
        <f t="shared" si="203"/>
        <v>37.51696033333333</v>
      </c>
      <c r="AY290" s="173">
        <f t="shared" si="203"/>
        <v>37.51696033333333</v>
      </c>
      <c r="AZ290" s="173">
        <f t="shared" si="203"/>
        <v>37.51696033333333</v>
      </c>
      <c r="BA290" s="173">
        <f t="shared" si="203"/>
        <v>37.51696033333333</v>
      </c>
      <c r="BB290" s="173">
        <f t="shared" si="203"/>
        <v>37.51696033333333</v>
      </c>
      <c r="BC290" s="173">
        <f t="shared" si="203"/>
        <v>56.275440499999995</v>
      </c>
      <c r="BD290" s="173">
        <f t="shared" si="203"/>
        <v>30.913975314666668</v>
      </c>
      <c r="BE290" s="173">
        <f t="shared" si="203"/>
        <v>28.981851857500001</v>
      </c>
      <c r="BF290" s="173">
        <f t="shared" si="203"/>
        <v>38.642469143333336</v>
      </c>
      <c r="BG290" s="173">
        <f t="shared" si="203"/>
        <v>38.642469143333336</v>
      </c>
      <c r="BH290" s="173">
        <f t="shared" si="203"/>
        <v>38.642469143333336</v>
      </c>
      <c r="BI290" s="173">
        <f t="shared" si="203"/>
        <v>38.642469143333336</v>
      </c>
      <c r="BJ290" s="173">
        <f t="shared" si="203"/>
        <v>38.642469143333336</v>
      </c>
      <c r="BK290" s="173">
        <f t="shared" si="203"/>
        <v>38.642469143333336</v>
      </c>
      <c r="BL290" s="173">
        <f t="shared" si="203"/>
        <v>38.642469143333336</v>
      </c>
      <c r="BM290" s="173">
        <f t="shared" si="203"/>
        <v>38.642469143333336</v>
      </c>
      <c r="BN290" s="173">
        <f t="shared" si="203"/>
        <v>38.642469143333336</v>
      </c>
      <c r="BO290" s="173">
        <f t="shared" si="203"/>
        <v>57.963703715000001</v>
      </c>
      <c r="BP290" s="148">
        <f t="shared" si="196"/>
        <v>1875.1499345271673</v>
      </c>
      <c r="BQ290" s="148"/>
    </row>
    <row r="291" spans="3:69" s="22" customFormat="1" outlineLevel="1">
      <c r="C291" s="22" t="str">
        <v>Logicridge</v>
      </c>
      <c r="D291" s="162">
        <f>SUMIFS('Existing Stores'!$E$9:$E$1008,'Existing Stores'!$D$9:$D$1008,Model!$C258)</f>
        <v>354</v>
      </c>
      <c r="E291" s="165">
        <f>(AVERAGEIFS('Existing Stores'!$E$9:$E$1008,'Existing Stores'!$D$9:$D$1008,Model!$C258))</f>
        <v>70.8</v>
      </c>
      <c r="F291" s="29" t="s">
        <v>119</v>
      </c>
      <c r="G291" s="207">
        <f t="shared" si="191"/>
        <v>53.1</v>
      </c>
      <c r="H291" s="173">
        <f t="shared" si="191"/>
        <v>29.169600000000003</v>
      </c>
      <c r="I291" s="173">
        <f t="shared" ref="I291:BO291" si="204">$E291*I$277*I199*I138*I$120/1000</f>
        <v>27.346499999999999</v>
      </c>
      <c r="J291" s="173">
        <f t="shared" si="204"/>
        <v>36.462000000000003</v>
      </c>
      <c r="K291" s="173">
        <f t="shared" si="204"/>
        <v>36.462000000000003</v>
      </c>
      <c r="L291" s="173">
        <f t="shared" si="204"/>
        <v>36.462000000000003</v>
      </c>
      <c r="M291" s="173">
        <f t="shared" si="204"/>
        <v>36.462000000000003</v>
      </c>
      <c r="N291" s="173">
        <f t="shared" si="204"/>
        <v>36.462000000000003</v>
      </c>
      <c r="O291" s="173">
        <f t="shared" si="204"/>
        <v>36.462000000000003</v>
      </c>
      <c r="P291" s="173">
        <f t="shared" si="204"/>
        <v>36.462000000000003</v>
      </c>
      <c r="Q291" s="173">
        <f t="shared" si="204"/>
        <v>36.462000000000003</v>
      </c>
      <c r="R291" s="173">
        <f t="shared" si="204"/>
        <v>36.462000000000003</v>
      </c>
      <c r="S291" s="173">
        <f t="shared" si="204"/>
        <v>65.631599999999992</v>
      </c>
      <c r="T291" s="173">
        <f t="shared" si="204"/>
        <v>36.05362559999999</v>
      </c>
      <c r="U291" s="173">
        <f t="shared" si="204"/>
        <v>33.800273999999987</v>
      </c>
      <c r="V291" s="173">
        <f t="shared" si="204"/>
        <v>45.06703199999999</v>
      </c>
      <c r="W291" s="173">
        <f t="shared" si="204"/>
        <v>45.06703199999999</v>
      </c>
      <c r="X291" s="173">
        <f t="shared" si="204"/>
        <v>45.06703199999999</v>
      </c>
      <c r="Y291" s="173">
        <f t="shared" si="204"/>
        <v>45.06703199999999</v>
      </c>
      <c r="Z291" s="173">
        <f t="shared" si="204"/>
        <v>45.06703199999999</v>
      </c>
      <c r="AA291" s="173">
        <f t="shared" si="204"/>
        <v>45.06703199999999</v>
      </c>
      <c r="AB291" s="173">
        <f t="shared" si="204"/>
        <v>45.06703199999999</v>
      </c>
      <c r="AC291" s="173">
        <f t="shared" si="204"/>
        <v>45.06703199999999</v>
      </c>
      <c r="AD291" s="173">
        <f t="shared" si="204"/>
        <v>45.06703199999999</v>
      </c>
      <c r="AE291" s="173">
        <f t="shared" si="204"/>
        <v>67.600547999999975</v>
      </c>
      <c r="AF291" s="173">
        <f t="shared" si="204"/>
        <v>37.135234367999999</v>
      </c>
      <c r="AG291" s="173">
        <f t="shared" si="204"/>
        <v>34.814282220000003</v>
      </c>
      <c r="AH291" s="173">
        <f t="shared" si="204"/>
        <v>46.419042959999999</v>
      </c>
      <c r="AI291" s="173">
        <f t="shared" si="204"/>
        <v>46.419042959999999</v>
      </c>
      <c r="AJ291" s="173">
        <f t="shared" si="204"/>
        <v>46.419042959999999</v>
      </c>
      <c r="AK291" s="173">
        <f t="shared" si="204"/>
        <v>46.419042959999999</v>
      </c>
      <c r="AL291" s="173">
        <f t="shared" si="204"/>
        <v>46.419042959999999</v>
      </c>
      <c r="AM291" s="173">
        <f t="shared" si="204"/>
        <v>46.419042959999999</v>
      </c>
      <c r="AN291" s="173">
        <f t="shared" si="204"/>
        <v>46.419042959999999</v>
      </c>
      <c r="AO291" s="173">
        <f t="shared" si="204"/>
        <v>46.419042959999999</v>
      </c>
      <c r="AP291" s="173">
        <f t="shared" si="204"/>
        <v>46.419042959999999</v>
      </c>
      <c r="AQ291" s="173">
        <f t="shared" si="204"/>
        <v>69.628564440000005</v>
      </c>
      <c r="AR291" s="173">
        <f t="shared" si="204"/>
        <v>38.24929139903999</v>
      </c>
      <c r="AS291" s="173">
        <f t="shared" si="204"/>
        <v>41.835162467699995</v>
      </c>
      <c r="AT291" s="173">
        <f t="shared" si="204"/>
        <v>55.780216623599991</v>
      </c>
      <c r="AU291" s="173">
        <f t="shared" si="204"/>
        <v>55.780216623599991</v>
      </c>
      <c r="AV291" s="173">
        <f t="shared" si="204"/>
        <v>55.780216623599991</v>
      </c>
      <c r="AW291" s="173">
        <f t="shared" si="204"/>
        <v>55.780216623599991</v>
      </c>
      <c r="AX291" s="173">
        <f t="shared" si="204"/>
        <v>55.780216623599991</v>
      </c>
      <c r="AY291" s="173">
        <f t="shared" si="204"/>
        <v>55.780216623599991</v>
      </c>
      <c r="AZ291" s="173">
        <f t="shared" si="204"/>
        <v>55.780216623599991</v>
      </c>
      <c r="BA291" s="173">
        <f t="shared" si="204"/>
        <v>55.780216623599991</v>
      </c>
      <c r="BB291" s="173">
        <f t="shared" si="204"/>
        <v>55.780216623599991</v>
      </c>
      <c r="BC291" s="173">
        <f t="shared" si="204"/>
        <v>83.670324935399989</v>
      </c>
      <c r="BD291" s="173">
        <f t="shared" si="204"/>
        <v>45.962898497846396</v>
      </c>
      <c r="BE291" s="173">
        <f t="shared" si="204"/>
        <v>43.090217341730998</v>
      </c>
      <c r="BF291" s="173">
        <f t="shared" si="204"/>
        <v>57.453623122307995</v>
      </c>
      <c r="BG291" s="173">
        <f t="shared" si="204"/>
        <v>57.453623122307995</v>
      </c>
      <c r="BH291" s="173">
        <f t="shared" si="204"/>
        <v>57.453623122307995</v>
      </c>
      <c r="BI291" s="173">
        <f t="shared" si="204"/>
        <v>57.453623122307995</v>
      </c>
      <c r="BJ291" s="173">
        <f t="shared" si="204"/>
        <v>57.453623122307995</v>
      </c>
      <c r="BK291" s="173">
        <f t="shared" si="204"/>
        <v>57.453623122307995</v>
      </c>
      <c r="BL291" s="173">
        <f t="shared" si="204"/>
        <v>57.453623122307995</v>
      </c>
      <c r="BM291" s="173">
        <f t="shared" si="204"/>
        <v>57.453623122307995</v>
      </c>
      <c r="BN291" s="173">
        <f t="shared" si="204"/>
        <v>57.453623122307995</v>
      </c>
      <c r="BO291" s="173">
        <f t="shared" si="204"/>
        <v>86.180434683461996</v>
      </c>
      <c r="BP291" s="148">
        <f t="shared" si="196"/>
        <v>2910.8057903063504</v>
      </c>
      <c r="BQ291" s="148"/>
    </row>
    <row r="292" spans="3:69" s="22" customFormat="1" outlineLevel="1">
      <c r="C292" s="22" t="str">
        <v>Megahub</v>
      </c>
      <c r="D292" s="161">
        <f>SUMIFS('Existing Stores'!$E$9:$E$1008,'Existing Stores'!$D$9:$D$1008,Model!$C259)</f>
        <v>97</v>
      </c>
      <c r="E292" s="165">
        <f>(AVERAGEIFS('Existing Stores'!$E$9:$E$1008,'Existing Stores'!$D$9:$D$1008,Model!$C259))</f>
        <v>97</v>
      </c>
      <c r="F292" s="29" t="s">
        <v>119</v>
      </c>
      <c r="G292" s="207">
        <f t="shared" si="191"/>
        <v>14.55</v>
      </c>
      <c r="H292" s="173">
        <f t="shared" si="191"/>
        <v>7.9927999999999999</v>
      </c>
      <c r="I292" s="173">
        <f t="shared" ref="I292:BO292" si="205">$E292*I$277*I200*I139*I$120/1000</f>
        <v>7.4932499999999997</v>
      </c>
      <c r="J292" s="173">
        <f t="shared" si="205"/>
        <v>9.9909999999999997</v>
      </c>
      <c r="K292" s="173">
        <f t="shared" si="205"/>
        <v>9.9909999999999997</v>
      </c>
      <c r="L292" s="173">
        <f t="shared" si="205"/>
        <v>9.9909999999999997</v>
      </c>
      <c r="M292" s="173">
        <f t="shared" si="205"/>
        <v>9.9909999999999997</v>
      </c>
      <c r="N292" s="173">
        <f t="shared" si="205"/>
        <v>9.9909999999999997</v>
      </c>
      <c r="O292" s="173">
        <f t="shared" si="205"/>
        <v>9.9909999999999997</v>
      </c>
      <c r="P292" s="173">
        <f t="shared" si="205"/>
        <v>9.9909999999999997</v>
      </c>
      <c r="Q292" s="173">
        <f t="shared" si="205"/>
        <v>9.9909999999999997</v>
      </c>
      <c r="R292" s="173">
        <f t="shared" si="205"/>
        <v>9.9909999999999997</v>
      </c>
      <c r="S292" s="173">
        <f t="shared" si="205"/>
        <v>14.986499999999999</v>
      </c>
      <c r="T292" s="173">
        <f t="shared" si="205"/>
        <v>13.172134400000003</v>
      </c>
      <c r="U292" s="173">
        <f t="shared" si="205"/>
        <v>12.348876000000001</v>
      </c>
      <c r="V292" s="173">
        <f t="shared" si="205"/>
        <v>16.465168000000002</v>
      </c>
      <c r="W292" s="173">
        <f t="shared" si="205"/>
        <v>16.465168000000002</v>
      </c>
      <c r="X292" s="173">
        <f t="shared" si="205"/>
        <v>16.465168000000002</v>
      </c>
      <c r="Y292" s="173">
        <f t="shared" si="205"/>
        <v>16.465168000000002</v>
      </c>
      <c r="Z292" s="173">
        <f t="shared" si="205"/>
        <v>16.465168000000002</v>
      </c>
      <c r="AA292" s="173">
        <f t="shared" si="205"/>
        <v>16.465168000000002</v>
      </c>
      <c r="AB292" s="173">
        <f t="shared" si="205"/>
        <v>16.465168000000002</v>
      </c>
      <c r="AC292" s="173">
        <f t="shared" si="205"/>
        <v>16.465168000000002</v>
      </c>
      <c r="AD292" s="173">
        <f t="shared" si="205"/>
        <v>16.465168000000002</v>
      </c>
      <c r="AE292" s="173">
        <f t="shared" si="205"/>
        <v>24.697752000000001</v>
      </c>
      <c r="AF292" s="173">
        <f t="shared" si="205"/>
        <v>13.567298432000003</v>
      </c>
      <c r="AG292" s="173">
        <f t="shared" si="205"/>
        <v>12.719342280000001</v>
      </c>
      <c r="AH292" s="173">
        <f t="shared" si="205"/>
        <v>16.959123040000001</v>
      </c>
      <c r="AI292" s="173">
        <f t="shared" si="205"/>
        <v>16.959123040000001</v>
      </c>
      <c r="AJ292" s="173">
        <f t="shared" si="205"/>
        <v>16.959123040000001</v>
      </c>
      <c r="AK292" s="173">
        <f t="shared" si="205"/>
        <v>16.959123040000001</v>
      </c>
      <c r="AL292" s="173">
        <f t="shared" si="205"/>
        <v>16.959123040000001</v>
      </c>
      <c r="AM292" s="173">
        <f t="shared" si="205"/>
        <v>16.959123040000001</v>
      </c>
      <c r="AN292" s="173">
        <f t="shared" si="205"/>
        <v>16.959123040000001</v>
      </c>
      <c r="AO292" s="173">
        <f t="shared" si="205"/>
        <v>16.959123040000001</v>
      </c>
      <c r="AP292" s="173">
        <f t="shared" si="205"/>
        <v>16.959123040000001</v>
      </c>
      <c r="AQ292" s="173">
        <f t="shared" si="205"/>
        <v>25.438684560000002</v>
      </c>
      <c r="AR292" s="173">
        <f t="shared" si="205"/>
        <v>13.974317384959999</v>
      </c>
      <c r="AS292" s="173">
        <f t="shared" si="205"/>
        <v>13.100922548399998</v>
      </c>
      <c r="AT292" s="173">
        <f t="shared" si="205"/>
        <v>26.201845096799996</v>
      </c>
      <c r="AU292" s="173">
        <f t="shared" si="205"/>
        <v>26.201845096799996</v>
      </c>
      <c r="AV292" s="173">
        <f t="shared" si="205"/>
        <v>26.201845096799996</v>
      </c>
      <c r="AW292" s="173">
        <f t="shared" si="205"/>
        <v>26.201845096799996</v>
      </c>
      <c r="AX292" s="173">
        <f t="shared" si="205"/>
        <v>26.201845096799996</v>
      </c>
      <c r="AY292" s="173">
        <f t="shared" si="205"/>
        <v>26.201845096799996</v>
      </c>
      <c r="AZ292" s="173">
        <f t="shared" si="205"/>
        <v>26.201845096799996</v>
      </c>
      <c r="BA292" s="173">
        <f t="shared" si="205"/>
        <v>26.201845096799996</v>
      </c>
      <c r="BB292" s="173">
        <f t="shared" si="205"/>
        <v>26.201845096799996</v>
      </c>
      <c r="BC292" s="173">
        <f t="shared" si="205"/>
        <v>39.302767645199992</v>
      </c>
      <c r="BD292" s="173">
        <f t="shared" si="205"/>
        <v>21.590320359763201</v>
      </c>
      <c r="BE292" s="173">
        <f t="shared" si="205"/>
        <v>20.240925337278</v>
      </c>
      <c r="BF292" s="173">
        <f t="shared" si="205"/>
        <v>26.987900449704</v>
      </c>
      <c r="BG292" s="173">
        <f t="shared" si="205"/>
        <v>26.987900449704</v>
      </c>
      <c r="BH292" s="173">
        <f t="shared" si="205"/>
        <v>26.987900449704</v>
      </c>
      <c r="BI292" s="173">
        <f t="shared" si="205"/>
        <v>26.987900449704</v>
      </c>
      <c r="BJ292" s="173">
        <f t="shared" si="205"/>
        <v>26.987900449704</v>
      </c>
      <c r="BK292" s="173">
        <f t="shared" si="205"/>
        <v>26.987900449704</v>
      </c>
      <c r="BL292" s="173">
        <f t="shared" si="205"/>
        <v>26.987900449704</v>
      </c>
      <c r="BM292" s="173">
        <f t="shared" si="205"/>
        <v>26.987900449704</v>
      </c>
      <c r="BN292" s="173">
        <f t="shared" si="205"/>
        <v>26.987900449704</v>
      </c>
      <c r="BO292" s="173">
        <f t="shared" si="205"/>
        <v>40.481850674556</v>
      </c>
      <c r="BP292" s="148">
        <f t="shared" si="196"/>
        <v>1150.5530709006932</v>
      </c>
      <c r="BQ292" s="148"/>
    </row>
    <row r="293" spans="3:69" s="22" customFormat="1" outlineLevel="1">
      <c r="C293" s="22" t="str">
        <v>Nodeline</v>
      </c>
      <c r="D293" s="161">
        <f>SUMIFS('Existing Stores'!$E$9:$E$1008,'Existing Stores'!$D$9:$D$1008,Model!$C260)</f>
        <v>411</v>
      </c>
      <c r="E293" s="165">
        <f>(AVERAGEIFS('Existing Stores'!$E$9:$E$1008,'Existing Stores'!$D$9:$D$1008,Model!$C260))</f>
        <v>58.714285714285715</v>
      </c>
      <c r="F293" s="29" t="s">
        <v>119</v>
      </c>
      <c r="G293" s="207">
        <f t="shared" si="191"/>
        <v>61.65</v>
      </c>
      <c r="H293" s="173">
        <f t="shared" si="191"/>
        <v>33.866399999999999</v>
      </c>
      <c r="I293" s="173">
        <f t="shared" ref="I293:BO293" si="206">$E293*I$277*I201*I140*I$120/1000</f>
        <v>31.749749999999999</v>
      </c>
      <c r="J293" s="173">
        <f t="shared" si="206"/>
        <v>42.332999999999998</v>
      </c>
      <c r="K293" s="173">
        <f t="shared" si="206"/>
        <v>42.332999999999998</v>
      </c>
      <c r="L293" s="173">
        <f t="shared" si="206"/>
        <v>42.332999999999998</v>
      </c>
      <c r="M293" s="173">
        <f t="shared" si="206"/>
        <v>42.332999999999998</v>
      </c>
      <c r="N293" s="173">
        <f t="shared" si="206"/>
        <v>42.332999999999998</v>
      </c>
      <c r="O293" s="173">
        <f t="shared" si="206"/>
        <v>42.332999999999998</v>
      </c>
      <c r="P293" s="173">
        <f t="shared" si="206"/>
        <v>42.332999999999998</v>
      </c>
      <c r="Q293" s="173">
        <f t="shared" si="206"/>
        <v>42.332999999999998</v>
      </c>
      <c r="R293" s="173">
        <f t="shared" si="206"/>
        <v>42.332999999999998</v>
      </c>
      <c r="S293" s="173">
        <f t="shared" si="206"/>
        <v>63.499499999999998</v>
      </c>
      <c r="T293" s="173">
        <f t="shared" si="206"/>
        <v>34.882392000000003</v>
      </c>
      <c r="U293" s="173">
        <f t="shared" si="206"/>
        <v>37.373991428571429</v>
      </c>
      <c r="V293" s="173">
        <f t="shared" si="206"/>
        <v>49.831988571428568</v>
      </c>
      <c r="W293" s="173">
        <f t="shared" si="206"/>
        <v>49.831988571428568</v>
      </c>
      <c r="X293" s="173">
        <f t="shared" si="206"/>
        <v>49.831988571428568</v>
      </c>
      <c r="Y293" s="173">
        <f t="shared" si="206"/>
        <v>49.831988571428568</v>
      </c>
      <c r="Z293" s="173">
        <f t="shared" si="206"/>
        <v>49.831988571428568</v>
      </c>
      <c r="AA293" s="173">
        <f t="shared" si="206"/>
        <v>49.831988571428568</v>
      </c>
      <c r="AB293" s="173">
        <f t="shared" si="206"/>
        <v>49.831988571428568</v>
      </c>
      <c r="AC293" s="173">
        <f t="shared" si="206"/>
        <v>49.831988571428568</v>
      </c>
      <c r="AD293" s="173">
        <f t="shared" si="206"/>
        <v>49.831988571428568</v>
      </c>
      <c r="AE293" s="173">
        <f t="shared" si="206"/>
        <v>74.747982857142858</v>
      </c>
      <c r="AF293" s="173">
        <f t="shared" si="206"/>
        <v>41.061558582857153</v>
      </c>
      <c r="AG293" s="173">
        <f t="shared" si="206"/>
        <v>38.495211171428572</v>
      </c>
      <c r="AH293" s="173">
        <f t="shared" si="206"/>
        <v>51.326948228571432</v>
      </c>
      <c r="AI293" s="173">
        <f t="shared" si="206"/>
        <v>51.326948228571432</v>
      </c>
      <c r="AJ293" s="173">
        <f t="shared" si="206"/>
        <v>51.326948228571432</v>
      </c>
      <c r="AK293" s="173">
        <f t="shared" si="206"/>
        <v>51.326948228571432</v>
      </c>
      <c r="AL293" s="173">
        <f t="shared" si="206"/>
        <v>51.326948228571432</v>
      </c>
      <c r="AM293" s="173">
        <f t="shared" si="206"/>
        <v>51.326948228571432</v>
      </c>
      <c r="AN293" s="173">
        <f t="shared" si="206"/>
        <v>51.326948228571432</v>
      </c>
      <c r="AO293" s="173">
        <f t="shared" si="206"/>
        <v>51.326948228571432</v>
      </c>
      <c r="AP293" s="173">
        <f t="shared" si="206"/>
        <v>51.326948228571432</v>
      </c>
      <c r="AQ293" s="173">
        <f t="shared" si="206"/>
        <v>76.990422342857144</v>
      </c>
      <c r="AR293" s="173">
        <f t="shared" si="206"/>
        <v>42.293405340342858</v>
      </c>
      <c r="AS293" s="173">
        <f t="shared" si="206"/>
        <v>39.650067506571425</v>
      </c>
      <c r="AT293" s="173">
        <f t="shared" si="206"/>
        <v>52.866756675428569</v>
      </c>
      <c r="AU293" s="173">
        <f t="shared" si="206"/>
        <v>59.475101259857141</v>
      </c>
      <c r="AV293" s="173">
        <f t="shared" si="206"/>
        <v>59.475101259857141</v>
      </c>
      <c r="AW293" s="173">
        <f t="shared" si="206"/>
        <v>59.475101259857141</v>
      </c>
      <c r="AX293" s="173">
        <f t="shared" si="206"/>
        <v>59.475101259857141</v>
      </c>
      <c r="AY293" s="173">
        <f t="shared" si="206"/>
        <v>59.475101259857141</v>
      </c>
      <c r="AZ293" s="173">
        <f t="shared" si="206"/>
        <v>59.475101259857141</v>
      </c>
      <c r="BA293" s="173">
        <f t="shared" si="206"/>
        <v>59.475101259857141</v>
      </c>
      <c r="BB293" s="173">
        <f t="shared" si="206"/>
        <v>59.475101259857141</v>
      </c>
      <c r="BC293" s="173">
        <f t="shared" si="206"/>
        <v>89.212651889785718</v>
      </c>
      <c r="BD293" s="173">
        <f t="shared" si="206"/>
        <v>49.007483438122286</v>
      </c>
      <c r="BE293" s="173">
        <f t="shared" si="206"/>
        <v>45.94451572323964</v>
      </c>
      <c r="BF293" s="173">
        <f t="shared" si="206"/>
        <v>61.259354297652848</v>
      </c>
      <c r="BG293" s="173">
        <f t="shared" si="206"/>
        <v>61.259354297652848</v>
      </c>
      <c r="BH293" s="173">
        <f t="shared" si="206"/>
        <v>61.259354297652848</v>
      </c>
      <c r="BI293" s="173">
        <f t="shared" si="206"/>
        <v>61.259354297652848</v>
      </c>
      <c r="BJ293" s="173">
        <f t="shared" si="206"/>
        <v>61.259354297652848</v>
      </c>
      <c r="BK293" s="173">
        <f t="shared" si="206"/>
        <v>61.259354297652848</v>
      </c>
      <c r="BL293" s="173">
        <f t="shared" si="206"/>
        <v>61.259354297652848</v>
      </c>
      <c r="BM293" s="173">
        <f t="shared" si="206"/>
        <v>61.259354297652848</v>
      </c>
      <c r="BN293" s="173">
        <f t="shared" si="206"/>
        <v>61.259354297652848</v>
      </c>
      <c r="BO293" s="173">
        <f t="shared" si="206"/>
        <v>91.889031446479279</v>
      </c>
      <c r="BP293" s="148">
        <f t="shared" si="196"/>
        <v>3162.0935503605597</v>
      </c>
      <c r="BQ293" s="148"/>
    </row>
    <row r="294" spans="3:69" s="22" customFormat="1" outlineLevel="1">
      <c r="C294" s="22" t="str">
        <v>Overclock Oasis</v>
      </c>
      <c r="D294" s="161">
        <f>SUMIFS('Existing Stores'!$E$9:$E$1008,'Existing Stores'!$D$9:$D$1008,Model!$C261)</f>
        <v>3329</v>
      </c>
      <c r="E294" s="165">
        <f>(AVERAGEIFS('Existing Stores'!$E$9:$E$1008,'Existing Stores'!$D$9:$D$1008,Model!$C261))</f>
        <v>65.274509803921575</v>
      </c>
      <c r="F294" s="29" t="s">
        <v>119</v>
      </c>
      <c r="G294" s="207">
        <f t="shared" si="191"/>
        <v>499.35</v>
      </c>
      <c r="H294" s="173">
        <f t="shared" si="191"/>
        <v>274.30960000000005</v>
      </c>
      <c r="I294" s="173">
        <f t="shared" ref="I294:BO294" si="207">$E294*I$277*I202*I141*I$120/1000</f>
        <v>257.16525000000007</v>
      </c>
      <c r="J294" s="173">
        <f t="shared" si="207"/>
        <v>342.88700000000006</v>
      </c>
      <c r="K294" s="173">
        <f t="shared" si="207"/>
        <v>342.88700000000006</v>
      </c>
      <c r="L294" s="173">
        <f t="shared" si="207"/>
        <v>342.88700000000006</v>
      </c>
      <c r="M294" s="173">
        <f t="shared" si="207"/>
        <v>342.88700000000006</v>
      </c>
      <c r="N294" s="173">
        <f t="shared" si="207"/>
        <v>342.88700000000006</v>
      </c>
      <c r="O294" s="173">
        <f t="shared" si="207"/>
        <v>342.88700000000006</v>
      </c>
      <c r="P294" s="173">
        <f t="shared" si="207"/>
        <v>342.88700000000006</v>
      </c>
      <c r="Q294" s="173">
        <f t="shared" si="207"/>
        <v>342.88700000000006</v>
      </c>
      <c r="R294" s="173">
        <f t="shared" si="207"/>
        <v>342.88700000000006</v>
      </c>
      <c r="S294" s="173">
        <f t="shared" si="207"/>
        <v>514.33050000000014</v>
      </c>
      <c r="T294" s="173">
        <f t="shared" si="207"/>
        <v>282.53888799999999</v>
      </c>
      <c r="U294" s="173">
        <f t="shared" si="207"/>
        <v>264.88020750000004</v>
      </c>
      <c r="V294" s="173">
        <f t="shared" si="207"/>
        <v>360.09858274509804</v>
      </c>
      <c r="W294" s="173">
        <f t="shared" si="207"/>
        <v>360.09858274509804</v>
      </c>
      <c r="X294" s="173">
        <f t="shared" si="207"/>
        <v>360.09858274509804</v>
      </c>
      <c r="Y294" s="173">
        <f t="shared" si="207"/>
        <v>360.09858274509804</v>
      </c>
      <c r="Z294" s="173">
        <f t="shared" si="207"/>
        <v>360.09858274509804</v>
      </c>
      <c r="AA294" s="173">
        <f t="shared" si="207"/>
        <v>360.09858274509804</v>
      </c>
      <c r="AB294" s="173">
        <f t="shared" si="207"/>
        <v>360.09858274509804</v>
      </c>
      <c r="AC294" s="173">
        <f t="shared" si="207"/>
        <v>360.09858274509804</v>
      </c>
      <c r="AD294" s="173">
        <f t="shared" si="207"/>
        <v>360.09858274509804</v>
      </c>
      <c r="AE294" s="173">
        <f t="shared" si="207"/>
        <v>540.14787411764712</v>
      </c>
      <c r="AF294" s="173">
        <f t="shared" si="207"/>
        <v>296.72123218196083</v>
      </c>
      <c r="AG294" s="173">
        <f t="shared" si="207"/>
        <v>278.17615517058829</v>
      </c>
      <c r="AH294" s="173">
        <f t="shared" si="207"/>
        <v>370.90154022745099</v>
      </c>
      <c r="AI294" s="173">
        <f t="shared" si="207"/>
        <v>370.90154022745099</v>
      </c>
      <c r="AJ294" s="173">
        <f t="shared" si="207"/>
        <v>370.90154022745099</v>
      </c>
      <c r="AK294" s="173">
        <f t="shared" si="207"/>
        <v>370.90154022745099</v>
      </c>
      <c r="AL294" s="173">
        <f t="shared" si="207"/>
        <v>370.90154022745099</v>
      </c>
      <c r="AM294" s="173">
        <f t="shared" si="207"/>
        <v>370.90154022745099</v>
      </c>
      <c r="AN294" s="173">
        <f t="shared" si="207"/>
        <v>370.90154022745099</v>
      </c>
      <c r="AO294" s="173">
        <f t="shared" si="207"/>
        <v>370.90154022745099</v>
      </c>
      <c r="AP294" s="173">
        <f t="shared" si="207"/>
        <v>370.90154022745099</v>
      </c>
      <c r="AQ294" s="173">
        <f t="shared" si="207"/>
        <v>556.35231034117658</v>
      </c>
      <c r="AR294" s="173">
        <f t="shared" si="207"/>
        <v>305.62286914741964</v>
      </c>
      <c r="AS294" s="173">
        <f t="shared" si="207"/>
        <v>286.52143982570595</v>
      </c>
      <c r="AT294" s="173">
        <f t="shared" si="207"/>
        <v>382.02858643427459</v>
      </c>
      <c r="AU294" s="173">
        <f t="shared" si="207"/>
        <v>382.02858643427459</v>
      </c>
      <c r="AV294" s="173">
        <f t="shared" si="207"/>
        <v>389.37529001954903</v>
      </c>
      <c r="AW294" s="173">
        <f t="shared" si="207"/>
        <v>389.37529001954903</v>
      </c>
      <c r="AX294" s="173">
        <f t="shared" si="207"/>
        <v>389.37529001954903</v>
      </c>
      <c r="AY294" s="173">
        <f t="shared" si="207"/>
        <v>389.37529001954903</v>
      </c>
      <c r="AZ294" s="173">
        <f t="shared" si="207"/>
        <v>389.37529001954903</v>
      </c>
      <c r="BA294" s="173">
        <f t="shared" si="207"/>
        <v>389.37529001954903</v>
      </c>
      <c r="BB294" s="173">
        <f t="shared" si="207"/>
        <v>389.37529001954903</v>
      </c>
      <c r="BC294" s="173">
        <f t="shared" si="207"/>
        <v>584.06293502932351</v>
      </c>
      <c r="BD294" s="173">
        <f t="shared" si="207"/>
        <v>320.84523897610836</v>
      </c>
      <c r="BE294" s="173">
        <f t="shared" si="207"/>
        <v>300.79241154010163</v>
      </c>
      <c r="BF294" s="173">
        <f t="shared" si="207"/>
        <v>401.05654872013548</v>
      </c>
      <c r="BG294" s="173">
        <f t="shared" si="207"/>
        <v>401.05654872013548</v>
      </c>
      <c r="BH294" s="173">
        <f t="shared" si="207"/>
        <v>401.05654872013548</v>
      </c>
      <c r="BI294" s="173">
        <f t="shared" si="207"/>
        <v>401.05654872013548</v>
      </c>
      <c r="BJ294" s="173">
        <f t="shared" si="207"/>
        <v>401.05654872013548</v>
      </c>
      <c r="BK294" s="173">
        <f t="shared" si="207"/>
        <v>401.05654872013548</v>
      </c>
      <c r="BL294" s="173">
        <f t="shared" si="207"/>
        <v>401.05654872013548</v>
      </c>
      <c r="BM294" s="173">
        <f t="shared" si="207"/>
        <v>401.05654872013548</v>
      </c>
      <c r="BN294" s="173">
        <f t="shared" si="207"/>
        <v>401.05654872013548</v>
      </c>
      <c r="BO294" s="173">
        <f t="shared" si="207"/>
        <v>601.58482308020325</v>
      </c>
      <c r="BP294" s="148">
        <f t="shared" si="196"/>
        <v>22428.22898314978</v>
      </c>
      <c r="BQ294" s="148"/>
    </row>
    <row r="295" spans="3:69" s="22" customFormat="1" outlineLevel="1">
      <c r="C295" s="22" t="str">
        <v>Pingborough</v>
      </c>
      <c r="D295" s="161">
        <f>SUMIFS('Existing Stores'!$E$9:$E$1008,'Existing Stores'!$D$9:$D$1008,Model!$C262)</f>
        <v>158</v>
      </c>
      <c r="E295" s="165">
        <f>(AVERAGEIFS('Existing Stores'!$E$9:$E$1008,'Existing Stores'!$D$9:$D$1008,Model!$C262))</f>
        <v>52.666666666666664</v>
      </c>
      <c r="F295" s="29" t="s">
        <v>119</v>
      </c>
      <c r="G295" s="207">
        <f t="shared" si="191"/>
        <v>23.699999999999996</v>
      </c>
      <c r="H295" s="173">
        <f t="shared" si="191"/>
        <v>13.0192</v>
      </c>
      <c r="I295" s="173">
        <f t="shared" ref="I295:BO295" si="208">$E295*I$277*I203*I142*I$120/1000</f>
        <v>12.205499999999999</v>
      </c>
      <c r="J295" s="173">
        <f t="shared" si="208"/>
        <v>16.273999999999997</v>
      </c>
      <c r="K295" s="173">
        <f t="shared" si="208"/>
        <v>16.273999999999997</v>
      </c>
      <c r="L295" s="173">
        <f t="shared" si="208"/>
        <v>16.273999999999997</v>
      </c>
      <c r="M295" s="173">
        <f t="shared" si="208"/>
        <v>16.273999999999997</v>
      </c>
      <c r="N295" s="173">
        <f t="shared" si="208"/>
        <v>16.273999999999997</v>
      </c>
      <c r="O295" s="173">
        <f t="shared" si="208"/>
        <v>16.273999999999997</v>
      </c>
      <c r="P295" s="173">
        <f t="shared" si="208"/>
        <v>16.273999999999997</v>
      </c>
      <c r="Q295" s="173">
        <f t="shared" si="208"/>
        <v>16.273999999999997</v>
      </c>
      <c r="R295" s="173">
        <f t="shared" si="208"/>
        <v>16.273999999999997</v>
      </c>
      <c r="S295" s="173">
        <f t="shared" si="208"/>
        <v>24.410999999999998</v>
      </c>
      <c r="T295" s="173">
        <f t="shared" si="208"/>
        <v>13.409775999999997</v>
      </c>
      <c r="U295" s="173">
        <f t="shared" si="208"/>
        <v>12.571664999999998</v>
      </c>
      <c r="V295" s="173">
        <f t="shared" si="208"/>
        <v>16.762219999999999</v>
      </c>
      <c r="W295" s="173">
        <f t="shared" si="208"/>
        <v>22.349626666666662</v>
      </c>
      <c r="X295" s="173">
        <f t="shared" si="208"/>
        <v>22.349626666666662</v>
      </c>
      <c r="Y295" s="173">
        <f t="shared" si="208"/>
        <v>22.349626666666662</v>
      </c>
      <c r="Z295" s="173">
        <f t="shared" si="208"/>
        <v>22.349626666666662</v>
      </c>
      <c r="AA295" s="173">
        <f t="shared" si="208"/>
        <v>22.349626666666662</v>
      </c>
      <c r="AB295" s="173">
        <f t="shared" si="208"/>
        <v>22.349626666666662</v>
      </c>
      <c r="AC295" s="173">
        <f t="shared" si="208"/>
        <v>22.349626666666662</v>
      </c>
      <c r="AD295" s="173">
        <f t="shared" si="208"/>
        <v>22.349626666666662</v>
      </c>
      <c r="AE295" s="173">
        <f t="shared" si="208"/>
        <v>33.524439999999998</v>
      </c>
      <c r="AF295" s="173">
        <f t="shared" si="208"/>
        <v>18.416092373333331</v>
      </c>
      <c r="AG295" s="173">
        <f t="shared" si="208"/>
        <v>17.2650866</v>
      </c>
      <c r="AH295" s="173">
        <f t="shared" si="208"/>
        <v>23.020115466666667</v>
      </c>
      <c r="AI295" s="173">
        <f t="shared" si="208"/>
        <v>23.020115466666667</v>
      </c>
      <c r="AJ295" s="173">
        <f t="shared" si="208"/>
        <v>23.020115466666667</v>
      </c>
      <c r="AK295" s="173">
        <f t="shared" si="208"/>
        <v>23.020115466666667</v>
      </c>
      <c r="AL295" s="173">
        <f t="shared" si="208"/>
        <v>23.020115466666667</v>
      </c>
      <c r="AM295" s="173">
        <f t="shared" si="208"/>
        <v>23.020115466666667</v>
      </c>
      <c r="AN295" s="173">
        <f t="shared" si="208"/>
        <v>23.020115466666667</v>
      </c>
      <c r="AO295" s="173">
        <f t="shared" si="208"/>
        <v>23.020115466666667</v>
      </c>
      <c r="AP295" s="173">
        <f t="shared" si="208"/>
        <v>23.020115466666667</v>
      </c>
      <c r="AQ295" s="173">
        <f t="shared" si="208"/>
        <v>34.5301732</v>
      </c>
      <c r="AR295" s="173">
        <f t="shared" si="208"/>
        <v>18.968575144533329</v>
      </c>
      <c r="AS295" s="173">
        <f t="shared" si="208"/>
        <v>17.783039197999997</v>
      </c>
      <c r="AT295" s="173">
        <f t="shared" si="208"/>
        <v>23.710718930666662</v>
      </c>
      <c r="AU295" s="173">
        <f t="shared" si="208"/>
        <v>23.710718930666662</v>
      </c>
      <c r="AV295" s="173">
        <f t="shared" si="208"/>
        <v>23.710718930666662</v>
      </c>
      <c r="AW295" s="173">
        <f t="shared" si="208"/>
        <v>23.710718930666662</v>
      </c>
      <c r="AX295" s="173">
        <f t="shared" si="208"/>
        <v>23.710718930666662</v>
      </c>
      <c r="AY295" s="173">
        <f t="shared" si="208"/>
        <v>23.710718930666662</v>
      </c>
      <c r="AZ295" s="173">
        <f t="shared" si="208"/>
        <v>23.710718930666662</v>
      </c>
      <c r="BA295" s="173">
        <f t="shared" si="208"/>
        <v>23.710718930666662</v>
      </c>
      <c r="BB295" s="173">
        <f t="shared" si="208"/>
        <v>23.710718930666662</v>
      </c>
      <c r="BC295" s="173">
        <f t="shared" si="208"/>
        <v>35.566078395999995</v>
      </c>
      <c r="BD295" s="173">
        <f t="shared" si="208"/>
        <v>19.537632398869331</v>
      </c>
      <c r="BE295" s="173">
        <f t="shared" si="208"/>
        <v>18.316530373939997</v>
      </c>
      <c r="BF295" s="173">
        <f t="shared" si="208"/>
        <v>24.422040498586661</v>
      </c>
      <c r="BG295" s="173">
        <f t="shared" si="208"/>
        <v>24.422040498586661</v>
      </c>
      <c r="BH295" s="173">
        <f t="shared" si="208"/>
        <v>24.422040498586661</v>
      </c>
      <c r="BI295" s="173">
        <f t="shared" si="208"/>
        <v>24.422040498586661</v>
      </c>
      <c r="BJ295" s="173">
        <f t="shared" si="208"/>
        <v>24.422040498586661</v>
      </c>
      <c r="BK295" s="173">
        <f t="shared" si="208"/>
        <v>24.422040498586661</v>
      </c>
      <c r="BL295" s="173">
        <f t="shared" si="208"/>
        <v>24.422040498586661</v>
      </c>
      <c r="BM295" s="173">
        <f t="shared" si="208"/>
        <v>24.422040498586661</v>
      </c>
      <c r="BN295" s="173">
        <f t="shared" si="208"/>
        <v>24.422040498586661</v>
      </c>
      <c r="BO295" s="173">
        <f t="shared" si="208"/>
        <v>36.633060747879995</v>
      </c>
      <c r="BP295" s="148">
        <f t="shared" si="196"/>
        <v>1308.5589568291698</v>
      </c>
      <c r="BQ295" s="148"/>
    </row>
    <row r="296" spans="3:69" s="22" customFormat="1" outlineLevel="1">
      <c r="C296" s="22" t="str">
        <v>Quantum Quay</v>
      </c>
      <c r="D296" s="161">
        <f>SUMIFS('Existing Stores'!$E$9:$E$1008,'Existing Stores'!$D$9:$D$1008,Model!$C263)</f>
        <v>533</v>
      </c>
      <c r="E296" s="165">
        <f>(AVERAGEIFS('Existing Stores'!$E$9:$E$1008,'Existing Stores'!$D$9:$D$1008,Model!$C263))</f>
        <v>66.625</v>
      </c>
      <c r="F296" s="29" t="s">
        <v>119</v>
      </c>
      <c r="G296" s="207">
        <f t="shared" si="191"/>
        <v>79.95</v>
      </c>
      <c r="H296" s="173">
        <f t="shared" si="191"/>
        <v>43.919200000000004</v>
      </c>
      <c r="I296" s="173">
        <f t="shared" ref="I296:BO296" si="209">$E296*I$277*I204*I143*I$120/1000</f>
        <v>41.174250000000001</v>
      </c>
      <c r="J296" s="173">
        <f t="shared" si="209"/>
        <v>54.899000000000001</v>
      </c>
      <c r="K296" s="173">
        <f t="shared" si="209"/>
        <v>54.899000000000001</v>
      </c>
      <c r="L296" s="173">
        <f t="shared" si="209"/>
        <v>54.899000000000001</v>
      </c>
      <c r="M296" s="173">
        <f t="shared" si="209"/>
        <v>54.899000000000001</v>
      </c>
      <c r="N296" s="173">
        <f t="shared" si="209"/>
        <v>54.899000000000001</v>
      </c>
      <c r="O296" s="173">
        <f t="shared" si="209"/>
        <v>54.899000000000001</v>
      </c>
      <c r="P296" s="173">
        <f t="shared" si="209"/>
        <v>54.899000000000001</v>
      </c>
      <c r="Q296" s="173">
        <f t="shared" si="209"/>
        <v>54.899000000000001</v>
      </c>
      <c r="R296" s="173">
        <f t="shared" si="209"/>
        <v>54.899000000000001</v>
      </c>
      <c r="S296" s="173">
        <f t="shared" si="209"/>
        <v>82.348500000000001</v>
      </c>
      <c r="T296" s="173">
        <f t="shared" si="209"/>
        <v>45.236775999999999</v>
      </c>
      <c r="U296" s="173">
        <f t="shared" si="209"/>
        <v>42.409477499999994</v>
      </c>
      <c r="V296" s="173">
        <f t="shared" si="209"/>
        <v>56.545969999999997</v>
      </c>
      <c r="W296" s="173">
        <f t="shared" si="209"/>
        <v>56.545969999999997</v>
      </c>
      <c r="X296" s="173">
        <f t="shared" si="209"/>
        <v>63.614216249999991</v>
      </c>
      <c r="Y296" s="173">
        <f t="shared" si="209"/>
        <v>63.614216249999991</v>
      </c>
      <c r="Z296" s="173">
        <f t="shared" si="209"/>
        <v>63.614216249999991</v>
      </c>
      <c r="AA296" s="173">
        <f t="shared" si="209"/>
        <v>63.614216249999991</v>
      </c>
      <c r="AB296" s="173">
        <f t="shared" si="209"/>
        <v>63.614216249999991</v>
      </c>
      <c r="AC296" s="173">
        <f t="shared" si="209"/>
        <v>63.614216249999991</v>
      </c>
      <c r="AD296" s="173">
        <f t="shared" si="209"/>
        <v>63.614216249999991</v>
      </c>
      <c r="AE296" s="173">
        <f t="shared" si="209"/>
        <v>95.421324374999983</v>
      </c>
      <c r="AF296" s="173">
        <f t="shared" si="209"/>
        <v>52.418114189999997</v>
      </c>
      <c r="AG296" s="173">
        <f t="shared" si="209"/>
        <v>49.141982053124998</v>
      </c>
      <c r="AH296" s="173">
        <f t="shared" si="209"/>
        <v>65.522642737499993</v>
      </c>
      <c r="AI296" s="173">
        <f t="shared" si="209"/>
        <v>65.522642737499993</v>
      </c>
      <c r="AJ296" s="173">
        <f t="shared" si="209"/>
        <v>65.522642737499993</v>
      </c>
      <c r="AK296" s="173">
        <f t="shared" si="209"/>
        <v>65.522642737499993</v>
      </c>
      <c r="AL296" s="173">
        <f t="shared" si="209"/>
        <v>65.522642737499993</v>
      </c>
      <c r="AM296" s="173">
        <f t="shared" si="209"/>
        <v>65.522642737499993</v>
      </c>
      <c r="AN296" s="173">
        <f t="shared" si="209"/>
        <v>65.522642737499993</v>
      </c>
      <c r="AO296" s="173">
        <f t="shared" si="209"/>
        <v>65.522642737499993</v>
      </c>
      <c r="AP296" s="173">
        <f t="shared" si="209"/>
        <v>65.522642737499993</v>
      </c>
      <c r="AQ296" s="173">
        <f t="shared" si="209"/>
        <v>98.283964106249996</v>
      </c>
      <c r="AR296" s="173">
        <f t="shared" si="209"/>
        <v>53.990657615699995</v>
      </c>
      <c r="AS296" s="173">
        <f t="shared" si="209"/>
        <v>50.616241514718745</v>
      </c>
      <c r="AT296" s="173">
        <f t="shared" si="209"/>
        <v>67.488322019624988</v>
      </c>
      <c r="AU296" s="173">
        <f t="shared" si="209"/>
        <v>67.488322019624988</v>
      </c>
      <c r="AV296" s="173">
        <f t="shared" si="209"/>
        <v>67.488322019624988</v>
      </c>
      <c r="AW296" s="173">
        <f t="shared" si="209"/>
        <v>67.488322019624988</v>
      </c>
      <c r="AX296" s="173">
        <f t="shared" si="209"/>
        <v>74.987024466249991</v>
      </c>
      <c r="AY296" s="173">
        <f t="shared" si="209"/>
        <v>74.987024466249991</v>
      </c>
      <c r="AZ296" s="173">
        <f t="shared" si="209"/>
        <v>74.987024466249991</v>
      </c>
      <c r="BA296" s="173">
        <f t="shared" si="209"/>
        <v>74.987024466249991</v>
      </c>
      <c r="BB296" s="173">
        <f t="shared" si="209"/>
        <v>74.987024466249991</v>
      </c>
      <c r="BC296" s="173">
        <f t="shared" si="209"/>
        <v>112.48053669937499</v>
      </c>
      <c r="BD296" s="173">
        <f t="shared" si="209"/>
        <v>61.789308160189996</v>
      </c>
      <c r="BE296" s="173">
        <f t="shared" si="209"/>
        <v>57.927476400178115</v>
      </c>
      <c r="BF296" s="173">
        <f t="shared" si="209"/>
        <v>77.236635200237487</v>
      </c>
      <c r="BG296" s="173">
        <f t="shared" si="209"/>
        <v>77.236635200237487</v>
      </c>
      <c r="BH296" s="173">
        <f t="shared" si="209"/>
        <v>77.236635200237487</v>
      </c>
      <c r="BI296" s="173">
        <f t="shared" si="209"/>
        <v>77.236635200237487</v>
      </c>
      <c r="BJ296" s="173">
        <f t="shared" si="209"/>
        <v>77.236635200237487</v>
      </c>
      <c r="BK296" s="173">
        <f t="shared" si="209"/>
        <v>77.236635200237487</v>
      </c>
      <c r="BL296" s="173">
        <f t="shared" si="209"/>
        <v>77.236635200237487</v>
      </c>
      <c r="BM296" s="173">
        <f t="shared" si="209"/>
        <v>77.236635200237487</v>
      </c>
      <c r="BN296" s="173">
        <f t="shared" si="209"/>
        <v>77.236635200237487</v>
      </c>
      <c r="BO296" s="173">
        <f t="shared" si="209"/>
        <v>115.85495280035623</v>
      </c>
      <c r="BP296" s="148">
        <f t="shared" si="196"/>
        <v>3985.2171270142799</v>
      </c>
      <c r="BQ296" s="148"/>
    </row>
    <row r="297" spans="3:69" s="22" customFormat="1" outlineLevel="1">
      <c r="C297" s="22" t="str">
        <v>Renderburg</v>
      </c>
      <c r="D297" s="162">
        <f>SUMIFS('Existing Stores'!$E$9:$E$1008,'Existing Stores'!$D$9:$D$1008,Model!$C264)</f>
        <v>12288</v>
      </c>
      <c r="E297" s="165">
        <f>(AVERAGEIFS('Existing Stores'!$E$9:$E$1008,'Existing Stores'!$D$9:$D$1008,Model!$C264))</f>
        <v>65.711229946524071</v>
      </c>
      <c r="F297" s="29" t="s">
        <v>119</v>
      </c>
      <c r="G297" s="207">
        <f t="shared" si="191"/>
        <v>1843.2000000000005</v>
      </c>
      <c r="H297" s="173">
        <f t="shared" si="191"/>
        <v>1012.5312000000002</v>
      </c>
      <c r="I297" s="173">
        <f t="shared" ref="I297:BO297" si="210">$E297*I$277*I205*I144*I$120/1000</f>
        <v>949.24800000000027</v>
      </c>
      <c r="J297" s="173">
        <f t="shared" si="210"/>
        <v>1265.6640000000002</v>
      </c>
      <c r="K297" s="173">
        <f t="shared" si="210"/>
        <v>1265.6640000000002</v>
      </c>
      <c r="L297" s="173">
        <f t="shared" si="210"/>
        <v>1265.6640000000002</v>
      </c>
      <c r="M297" s="173">
        <f t="shared" si="210"/>
        <v>1265.6640000000002</v>
      </c>
      <c r="N297" s="173">
        <f t="shared" si="210"/>
        <v>1265.6640000000002</v>
      </c>
      <c r="O297" s="173">
        <f t="shared" si="210"/>
        <v>1265.6640000000002</v>
      </c>
      <c r="P297" s="173">
        <f t="shared" si="210"/>
        <v>1265.6640000000002</v>
      </c>
      <c r="Q297" s="173">
        <f t="shared" si="210"/>
        <v>1265.6640000000002</v>
      </c>
      <c r="R297" s="173">
        <f t="shared" si="210"/>
        <v>1265.6640000000002</v>
      </c>
      <c r="S297" s="173">
        <f t="shared" si="210"/>
        <v>1898.4960000000005</v>
      </c>
      <c r="T297" s="173">
        <f t="shared" si="210"/>
        <v>1042.907136</v>
      </c>
      <c r="U297" s="173">
        <f t="shared" si="210"/>
        <v>977.72543999999994</v>
      </c>
      <c r="V297" s="173">
        <f t="shared" si="210"/>
        <v>1303.63392</v>
      </c>
      <c r="W297" s="173">
        <f t="shared" si="210"/>
        <v>1303.63392</v>
      </c>
      <c r="X297" s="173">
        <f t="shared" si="210"/>
        <v>1303.63392</v>
      </c>
      <c r="Y297" s="173">
        <f t="shared" si="210"/>
        <v>1310.6052243850265</v>
      </c>
      <c r="Z297" s="173">
        <f t="shared" si="210"/>
        <v>1310.6052243850265</v>
      </c>
      <c r="AA297" s="173">
        <f t="shared" si="210"/>
        <v>1310.6052243850265</v>
      </c>
      <c r="AB297" s="173">
        <f t="shared" si="210"/>
        <v>1310.6052243850265</v>
      </c>
      <c r="AC297" s="173">
        <f t="shared" si="210"/>
        <v>1310.6052243850265</v>
      </c>
      <c r="AD297" s="173">
        <f t="shared" si="210"/>
        <v>1310.6052243850265</v>
      </c>
      <c r="AE297" s="173">
        <f t="shared" si="210"/>
        <v>1965.9078365775399</v>
      </c>
      <c r="AF297" s="173">
        <f t="shared" si="210"/>
        <v>1079.9387048932622</v>
      </c>
      <c r="AG297" s="173">
        <f t="shared" si="210"/>
        <v>1012.4425358374333</v>
      </c>
      <c r="AH297" s="173">
        <f t="shared" si="210"/>
        <v>1349.9233811165777</v>
      </c>
      <c r="AI297" s="173">
        <f t="shared" si="210"/>
        <v>1349.9233811165777</v>
      </c>
      <c r="AJ297" s="173">
        <f t="shared" si="210"/>
        <v>1349.9233811165777</v>
      </c>
      <c r="AK297" s="173">
        <f t="shared" si="210"/>
        <v>1349.9233811165777</v>
      </c>
      <c r="AL297" s="173">
        <f t="shared" si="210"/>
        <v>1349.9233811165777</v>
      </c>
      <c r="AM297" s="173">
        <f t="shared" si="210"/>
        <v>1349.9233811165777</v>
      </c>
      <c r="AN297" s="173">
        <f t="shared" si="210"/>
        <v>1349.9233811165777</v>
      </c>
      <c r="AO297" s="173">
        <f t="shared" si="210"/>
        <v>1349.9233811165777</v>
      </c>
      <c r="AP297" s="173">
        <f t="shared" si="210"/>
        <v>1349.9233811165777</v>
      </c>
      <c r="AQ297" s="173">
        <f t="shared" si="210"/>
        <v>2024.8850716748666</v>
      </c>
      <c r="AR297" s="173">
        <f t="shared" si="210"/>
        <v>1112.3368660400602</v>
      </c>
      <c r="AS297" s="173">
        <f t="shared" si="210"/>
        <v>1042.8158119125562</v>
      </c>
      <c r="AT297" s="173">
        <f t="shared" si="210"/>
        <v>1390.421082550075</v>
      </c>
      <c r="AU297" s="173">
        <f t="shared" si="210"/>
        <v>1390.421082550075</v>
      </c>
      <c r="AV297" s="173">
        <f t="shared" si="210"/>
        <v>1390.421082550075</v>
      </c>
      <c r="AW297" s="173">
        <f t="shared" si="210"/>
        <v>1390.421082550075</v>
      </c>
      <c r="AX297" s="173">
        <f t="shared" si="210"/>
        <v>1390.421082550075</v>
      </c>
      <c r="AY297" s="173">
        <f t="shared" si="210"/>
        <v>1397.8169393721498</v>
      </c>
      <c r="AZ297" s="173">
        <f t="shared" si="210"/>
        <v>1397.8169393721498</v>
      </c>
      <c r="BA297" s="173">
        <f t="shared" si="210"/>
        <v>1397.8169393721498</v>
      </c>
      <c r="BB297" s="173">
        <f t="shared" si="210"/>
        <v>1397.8169393721498</v>
      </c>
      <c r="BC297" s="173">
        <f t="shared" si="210"/>
        <v>2096.7254090582246</v>
      </c>
      <c r="BD297" s="173">
        <f t="shared" si="210"/>
        <v>1151.8011580426514</v>
      </c>
      <c r="BE297" s="173">
        <f t="shared" si="210"/>
        <v>1079.8135856649858</v>
      </c>
      <c r="BF297" s="173">
        <f t="shared" si="210"/>
        <v>1439.7514475533142</v>
      </c>
      <c r="BG297" s="173">
        <f t="shared" si="210"/>
        <v>1439.7514475533142</v>
      </c>
      <c r="BH297" s="173">
        <f t="shared" si="210"/>
        <v>1439.7514475533142</v>
      </c>
      <c r="BI297" s="173">
        <f t="shared" si="210"/>
        <v>1439.7514475533142</v>
      </c>
      <c r="BJ297" s="173">
        <f t="shared" si="210"/>
        <v>1439.7514475533142</v>
      </c>
      <c r="BK297" s="173">
        <f t="shared" si="210"/>
        <v>1439.7514475533142</v>
      </c>
      <c r="BL297" s="173">
        <f t="shared" si="210"/>
        <v>1439.7514475533142</v>
      </c>
      <c r="BM297" s="173">
        <f t="shared" si="210"/>
        <v>1439.7514475533142</v>
      </c>
      <c r="BN297" s="173">
        <f t="shared" si="210"/>
        <v>1439.7514475533142</v>
      </c>
      <c r="BO297" s="173">
        <f t="shared" si="210"/>
        <v>2159.6271713299716</v>
      </c>
      <c r="BP297" s="148">
        <f t="shared" si="196"/>
        <v>81423.157661609672</v>
      </c>
      <c r="BQ297" s="148"/>
    </row>
    <row r="298" spans="3:69" s="22" customFormat="1" outlineLevel="1">
      <c r="C298" s="22" t="str">
        <v>Socket Springs</v>
      </c>
      <c r="D298" s="161">
        <f>SUMIFS('Existing Stores'!$E$9:$E$1008,'Existing Stores'!$D$9:$D$1008,Model!$C265)</f>
        <v>10586</v>
      </c>
      <c r="E298" s="165">
        <f>(AVERAGEIFS('Existing Stores'!$E$9:$E$1008,'Existing Stores'!$D$9:$D$1008,Model!$C265))</f>
        <v>63.011904761904759</v>
      </c>
      <c r="F298" s="29" t="s">
        <v>119</v>
      </c>
      <c r="G298" s="207">
        <f t="shared" si="191"/>
        <v>1587.9</v>
      </c>
      <c r="H298" s="173">
        <f t="shared" si="191"/>
        <v>872.28640000000007</v>
      </c>
      <c r="I298" s="173">
        <f t="shared" ref="I298:BO298" si="211">$E298*I$277*I206*I145*I$120/1000</f>
        <v>817.76850000000002</v>
      </c>
      <c r="J298" s="173">
        <f t="shared" si="211"/>
        <v>1090.3579999999999</v>
      </c>
      <c r="K298" s="173">
        <f t="shared" si="211"/>
        <v>1090.3579999999999</v>
      </c>
      <c r="L298" s="173">
        <f t="shared" si="211"/>
        <v>1090.3579999999999</v>
      </c>
      <c r="M298" s="173">
        <f t="shared" si="211"/>
        <v>1090.3579999999999</v>
      </c>
      <c r="N298" s="173">
        <f t="shared" si="211"/>
        <v>1090.3579999999999</v>
      </c>
      <c r="O298" s="173">
        <f t="shared" si="211"/>
        <v>1090.3579999999999</v>
      </c>
      <c r="P298" s="173">
        <f t="shared" si="211"/>
        <v>1090.3579999999999</v>
      </c>
      <c r="Q298" s="173">
        <f t="shared" si="211"/>
        <v>1090.3579999999999</v>
      </c>
      <c r="R298" s="173">
        <f t="shared" si="211"/>
        <v>1090.3579999999999</v>
      </c>
      <c r="S298" s="173">
        <f t="shared" si="211"/>
        <v>1635.537</v>
      </c>
      <c r="T298" s="173">
        <f t="shared" si="211"/>
        <v>898.45499200000006</v>
      </c>
      <c r="U298" s="173">
        <f t="shared" si="211"/>
        <v>842.30155499999989</v>
      </c>
      <c r="V298" s="173">
        <f t="shared" si="211"/>
        <v>1123.0687399999999</v>
      </c>
      <c r="W298" s="173">
        <f t="shared" si="211"/>
        <v>1123.0687399999999</v>
      </c>
      <c r="X298" s="173">
        <f t="shared" si="211"/>
        <v>1123.0687399999999</v>
      </c>
      <c r="Y298" s="173">
        <f t="shared" si="211"/>
        <v>1123.0687399999999</v>
      </c>
      <c r="Z298" s="173">
        <f t="shared" si="211"/>
        <v>1129.7536729761905</v>
      </c>
      <c r="AA298" s="173">
        <f t="shared" si="211"/>
        <v>1129.7536729761905</v>
      </c>
      <c r="AB298" s="173">
        <f t="shared" si="211"/>
        <v>1129.7536729761905</v>
      </c>
      <c r="AC298" s="173">
        <f t="shared" si="211"/>
        <v>1129.7536729761905</v>
      </c>
      <c r="AD298" s="173">
        <f t="shared" si="211"/>
        <v>1129.7536729761905</v>
      </c>
      <c r="AE298" s="173">
        <f t="shared" si="211"/>
        <v>1694.6305094642858</v>
      </c>
      <c r="AF298" s="173">
        <f t="shared" si="211"/>
        <v>930.91702653238087</v>
      </c>
      <c r="AG298" s="173">
        <f t="shared" si="211"/>
        <v>872.73471237410695</v>
      </c>
      <c r="AH298" s="173">
        <f t="shared" si="211"/>
        <v>1163.646283165476</v>
      </c>
      <c r="AI298" s="173">
        <f t="shared" si="211"/>
        <v>1163.646283165476</v>
      </c>
      <c r="AJ298" s="173">
        <f t="shared" si="211"/>
        <v>1163.646283165476</v>
      </c>
      <c r="AK298" s="173">
        <f t="shared" si="211"/>
        <v>1163.646283165476</v>
      </c>
      <c r="AL298" s="173">
        <f t="shared" si="211"/>
        <v>1163.646283165476</v>
      </c>
      <c r="AM298" s="173">
        <f t="shared" si="211"/>
        <v>1163.646283165476</v>
      </c>
      <c r="AN298" s="173">
        <f t="shared" si="211"/>
        <v>1163.646283165476</v>
      </c>
      <c r="AO298" s="173">
        <f t="shared" si="211"/>
        <v>1163.646283165476</v>
      </c>
      <c r="AP298" s="173">
        <f t="shared" si="211"/>
        <v>1163.646283165476</v>
      </c>
      <c r="AQ298" s="173">
        <f t="shared" si="211"/>
        <v>1745.4694247482139</v>
      </c>
      <c r="AR298" s="173">
        <f t="shared" si="211"/>
        <v>958.8445373283522</v>
      </c>
      <c r="AS298" s="173">
        <f t="shared" si="211"/>
        <v>898.91675374533031</v>
      </c>
      <c r="AT298" s="173">
        <f t="shared" si="211"/>
        <v>1198.5556716604403</v>
      </c>
      <c r="AU298" s="173">
        <f t="shared" si="211"/>
        <v>1198.5556716604403</v>
      </c>
      <c r="AV298" s="173">
        <f t="shared" si="211"/>
        <v>1198.5556716604403</v>
      </c>
      <c r="AW298" s="173">
        <f t="shared" si="211"/>
        <v>1198.5556716604403</v>
      </c>
      <c r="AX298" s="173">
        <f t="shared" si="211"/>
        <v>1198.5556716604403</v>
      </c>
      <c r="AY298" s="173">
        <f t="shared" si="211"/>
        <v>1198.5556716604403</v>
      </c>
      <c r="AZ298" s="173">
        <f t="shared" si="211"/>
        <v>1205.6477170548808</v>
      </c>
      <c r="BA298" s="173">
        <f t="shared" si="211"/>
        <v>1205.6477170548808</v>
      </c>
      <c r="BB298" s="173">
        <f t="shared" si="211"/>
        <v>1205.6477170548808</v>
      </c>
      <c r="BC298" s="173">
        <f t="shared" si="211"/>
        <v>1808.4715755823211</v>
      </c>
      <c r="BD298" s="173">
        <f t="shared" si="211"/>
        <v>993.45371885322186</v>
      </c>
      <c r="BE298" s="173">
        <f t="shared" si="211"/>
        <v>931.36286142489541</v>
      </c>
      <c r="BF298" s="173">
        <f t="shared" si="211"/>
        <v>1241.8171485665273</v>
      </c>
      <c r="BG298" s="173">
        <f t="shared" si="211"/>
        <v>1241.8171485665273</v>
      </c>
      <c r="BH298" s="173">
        <f t="shared" si="211"/>
        <v>1241.8171485665273</v>
      </c>
      <c r="BI298" s="173">
        <f t="shared" si="211"/>
        <v>1241.8171485665273</v>
      </c>
      <c r="BJ298" s="173">
        <f t="shared" si="211"/>
        <v>1241.8171485665273</v>
      </c>
      <c r="BK298" s="173">
        <f t="shared" si="211"/>
        <v>1241.8171485665273</v>
      </c>
      <c r="BL298" s="173">
        <f t="shared" si="211"/>
        <v>1241.8171485665273</v>
      </c>
      <c r="BM298" s="173">
        <f t="shared" si="211"/>
        <v>1241.8171485665273</v>
      </c>
      <c r="BN298" s="173">
        <f t="shared" si="211"/>
        <v>1241.8171485665273</v>
      </c>
      <c r="BO298" s="173">
        <f t="shared" si="211"/>
        <v>1862.7257228497908</v>
      </c>
      <c r="BP298" s="148">
        <f t="shared" si="196"/>
        <v>70175.588681499197</v>
      </c>
      <c r="BQ298" s="148"/>
    </row>
    <row r="299" spans="3:69" s="22" customFormat="1" outlineLevel="1">
      <c r="C299" s="22" t="str">
        <v>TerraTask</v>
      </c>
      <c r="D299" s="161">
        <f>SUMIFS('Existing Stores'!$E$9:$E$1008,'Existing Stores'!$D$9:$D$1008,Model!$C266)</f>
        <v>3543</v>
      </c>
      <c r="E299" s="165">
        <f>(AVERAGEIFS('Existing Stores'!$E$9:$E$1008,'Existing Stores'!$D$9:$D$1008,Model!$C266))</f>
        <v>64.418181818181822</v>
      </c>
      <c r="F299" s="29" t="s">
        <v>119</v>
      </c>
      <c r="G299" s="207">
        <f t="shared" si="191"/>
        <v>531.45000000000005</v>
      </c>
      <c r="H299" s="173">
        <f t="shared" si="191"/>
        <v>291.94319999999999</v>
      </c>
      <c r="I299" s="173">
        <f t="shared" ref="I299:BO299" si="212">$E299*I$277*I207*I146*I$120/1000</f>
        <v>273.69675000000001</v>
      </c>
      <c r="J299" s="173">
        <f t="shared" si="212"/>
        <v>364.92899999999997</v>
      </c>
      <c r="K299" s="173">
        <f t="shared" si="212"/>
        <v>364.92899999999997</v>
      </c>
      <c r="L299" s="173">
        <f t="shared" si="212"/>
        <v>364.92899999999997</v>
      </c>
      <c r="M299" s="173">
        <f t="shared" si="212"/>
        <v>364.92899999999997</v>
      </c>
      <c r="N299" s="173">
        <f t="shared" si="212"/>
        <v>364.92899999999997</v>
      </c>
      <c r="O299" s="173">
        <f t="shared" si="212"/>
        <v>364.92899999999997</v>
      </c>
      <c r="P299" s="173">
        <f t="shared" si="212"/>
        <v>364.92899999999997</v>
      </c>
      <c r="Q299" s="173">
        <f t="shared" si="212"/>
        <v>364.92899999999997</v>
      </c>
      <c r="R299" s="173">
        <f t="shared" si="212"/>
        <v>364.92899999999997</v>
      </c>
      <c r="S299" s="173">
        <f t="shared" si="212"/>
        <v>547.39350000000002</v>
      </c>
      <c r="T299" s="173">
        <f t="shared" si="212"/>
        <v>300.70149599999996</v>
      </c>
      <c r="U299" s="173">
        <f t="shared" si="212"/>
        <v>281.90765249999998</v>
      </c>
      <c r="V299" s="173">
        <f t="shared" si="212"/>
        <v>375.87687</v>
      </c>
      <c r="W299" s="173">
        <f t="shared" si="212"/>
        <v>375.87687</v>
      </c>
      <c r="X299" s="173">
        <f t="shared" si="212"/>
        <v>375.87687</v>
      </c>
      <c r="Y299" s="173">
        <f t="shared" si="212"/>
        <v>375.87687</v>
      </c>
      <c r="Z299" s="173">
        <f t="shared" si="212"/>
        <v>375.87687</v>
      </c>
      <c r="AA299" s="173">
        <f t="shared" si="212"/>
        <v>382.71099490909086</v>
      </c>
      <c r="AB299" s="173">
        <f t="shared" si="212"/>
        <v>382.71099490909086</v>
      </c>
      <c r="AC299" s="173">
        <f t="shared" si="212"/>
        <v>382.71099490909086</v>
      </c>
      <c r="AD299" s="173">
        <f t="shared" si="212"/>
        <v>382.71099490909086</v>
      </c>
      <c r="AE299" s="173">
        <f t="shared" si="212"/>
        <v>574.06649236363626</v>
      </c>
      <c r="AF299" s="173">
        <f t="shared" si="212"/>
        <v>315.35385980509102</v>
      </c>
      <c r="AG299" s="173">
        <f t="shared" si="212"/>
        <v>295.64424356727278</v>
      </c>
      <c r="AH299" s="173">
        <f t="shared" si="212"/>
        <v>394.19232475636369</v>
      </c>
      <c r="AI299" s="173">
        <f t="shared" si="212"/>
        <v>394.19232475636369</v>
      </c>
      <c r="AJ299" s="173">
        <f t="shared" si="212"/>
        <v>394.19232475636369</v>
      </c>
      <c r="AK299" s="173">
        <f t="shared" si="212"/>
        <v>394.19232475636369</v>
      </c>
      <c r="AL299" s="173">
        <f t="shared" si="212"/>
        <v>394.19232475636369</v>
      </c>
      <c r="AM299" s="173">
        <f t="shared" si="212"/>
        <v>394.19232475636369</v>
      </c>
      <c r="AN299" s="173">
        <f t="shared" si="212"/>
        <v>394.19232475636369</v>
      </c>
      <c r="AO299" s="173">
        <f t="shared" si="212"/>
        <v>394.19232475636369</v>
      </c>
      <c r="AP299" s="173">
        <f t="shared" si="212"/>
        <v>394.19232475636369</v>
      </c>
      <c r="AQ299" s="173">
        <f t="shared" si="212"/>
        <v>591.28848713454556</v>
      </c>
      <c r="AR299" s="173">
        <f t="shared" si="212"/>
        <v>324.81447559924368</v>
      </c>
      <c r="AS299" s="173">
        <f t="shared" si="212"/>
        <v>304.51357087429091</v>
      </c>
      <c r="AT299" s="173">
        <f t="shared" si="212"/>
        <v>406.01809449905454</v>
      </c>
      <c r="AU299" s="173">
        <f t="shared" si="212"/>
        <v>406.01809449905454</v>
      </c>
      <c r="AV299" s="173">
        <f t="shared" si="212"/>
        <v>406.01809449905454</v>
      </c>
      <c r="AW299" s="173">
        <f t="shared" si="212"/>
        <v>406.01809449905454</v>
      </c>
      <c r="AX299" s="173">
        <f t="shared" si="212"/>
        <v>406.01809449905454</v>
      </c>
      <c r="AY299" s="173">
        <f t="shared" si="212"/>
        <v>406.01809449905454</v>
      </c>
      <c r="AZ299" s="173">
        <f t="shared" si="212"/>
        <v>406.01809449905454</v>
      </c>
      <c r="BA299" s="173">
        <f t="shared" si="212"/>
        <v>413.26841761510912</v>
      </c>
      <c r="BB299" s="173">
        <f t="shared" si="212"/>
        <v>413.26841761510912</v>
      </c>
      <c r="BC299" s="173">
        <f t="shared" si="212"/>
        <v>619.90262642266373</v>
      </c>
      <c r="BD299" s="173">
        <f t="shared" si="212"/>
        <v>340.53317611484994</v>
      </c>
      <c r="BE299" s="173">
        <f t="shared" si="212"/>
        <v>319.24985260767176</v>
      </c>
      <c r="BF299" s="173">
        <f t="shared" si="212"/>
        <v>425.66647014356238</v>
      </c>
      <c r="BG299" s="173">
        <f t="shared" si="212"/>
        <v>425.66647014356238</v>
      </c>
      <c r="BH299" s="173">
        <f t="shared" si="212"/>
        <v>425.66647014356238</v>
      </c>
      <c r="BI299" s="173">
        <f t="shared" si="212"/>
        <v>425.66647014356238</v>
      </c>
      <c r="BJ299" s="173">
        <f t="shared" si="212"/>
        <v>425.66647014356238</v>
      </c>
      <c r="BK299" s="173">
        <f t="shared" si="212"/>
        <v>425.66647014356238</v>
      </c>
      <c r="BL299" s="173">
        <f t="shared" si="212"/>
        <v>425.66647014356238</v>
      </c>
      <c r="BM299" s="173">
        <f t="shared" si="212"/>
        <v>425.66647014356238</v>
      </c>
      <c r="BN299" s="173">
        <f t="shared" si="212"/>
        <v>425.66647014356238</v>
      </c>
      <c r="BO299" s="173">
        <f t="shared" si="212"/>
        <v>638.49970521534351</v>
      </c>
      <c r="BP299" s="148">
        <f t="shared" si="196"/>
        <v>23761.491068663909</v>
      </c>
      <c r="BQ299" s="148"/>
    </row>
    <row r="300" spans="3:69" s="22" customFormat="1" outlineLevel="1">
      <c r="C300" s="22" t="str">
        <v>Uploadia</v>
      </c>
      <c r="D300" s="161">
        <f>SUMIFS('Existing Stores'!$E$9:$E$1008,'Existing Stores'!$D$9:$D$1008,Model!$C267)</f>
        <v>89</v>
      </c>
      <c r="E300" s="165">
        <f>(AVERAGEIFS('Existing Stores'!$E$9:$E$1008,'Existing Stores'!$D$9:$D$1008,Model!$C267))</f>
        <v>89</v>
      </c>
      <c r="F300" s="29" t="s">
        <v>119</v>
      </c>
      <c r="G300" s="207">
        <f t="shared" si="191"/>
        <v>13.35</v>
      </c>
      <c r="H300" s="173">
        <f t="shared" si="191"/>
        <v>7.3336000000000006</v>
      </c>
      <c r="I300" s="173">
        <f t="shared" ref="I300:BO300" si="213">$E300*I$277*I208*I147*I$120/1000</f>
        <v>6.8752500000000003</v>
      </c>
      <c r="J300" s="173">
        <f t="shared" si="213"/>
        <v>9.1669999999999998</v>
      </c>
      <c r="K300" s="173">
        <f t="shared" si="213"/>
        <v>9.1669999999999998</v>
      </c>
      <c r="L300" s="173">
        <f t="shared" si="213"/>
        <v>9.1669999999999998</v>
      </c>
      <c r="M300" s="173">
        <f t="shared" si="213"/>
        <v>9.1669999999999998</v>
      </c>
      <c r="N300" s="173">
        <f t="shared" si="213"/>
        <v>9.1669999999999998</v>
      </c>
      <c r="O300" s="173">
        <f t="shared" si="213"/>
        <v>9.1669999999999998</v>
      </c>
      <c r="P300" s="173">
        <f t="shared" si="213"/>
        <v>9.1669999999999998</v>
      </c>
      <c r="Q300" s="173">
        <f t="shared" si="213"/>
        <v>9.1669999999999998</v>
      </c>
      <c r="R300" s="173">
        <f t="shared" si="213"/>
        <v>9.1669999999999998</v>
      </c>
      <c r="S300" s="173">
        <f t="shared" si="213"/>
        <v>13.750500000000001</v>
      </c>
      <c r="T300" s="173">
        <f t="shared" si="213"/>
        <v>7.5536079999999997</v>
      </c>
      <c r="U300" s="173">
        <f t="shared" si="213"/>
        <v>7.081507499999999</v>
      </c>
      <c r="V300" s="173">
        <f t="shared" si="213"/>
        <v>9.442009999999998</v>
      </c>
      <c r="W300" s="173">
        <f t="shared" si="213"/>
        <v>9.442009999999998</v>
      </c>
      <c r="X300" s="173">
        <f t="shared" si="213"/>
        <v>9.442009999999998</v>
      </c>
      <c r="Y300" s="173">
        <f t="shared" si="213"/>
        <v>9.442009999999998</v>
      </c>
      <c r="Z300" s="173">
        <f t="shared" si="213"/>
        <v>9.442009999999998</v>
      </c>
      <c r="AA300" s="173">
        <f t="shared" si="213"/>
        <v>9.442009999999998</v>
      </c>
      <c r="AB300" s="173">
        <f t="shared" si="213"/>
        <v>15.107215999999999</v>
      </c>
      <c r="AC300" s="173">
        <f t="shared" si="213"/>
        <v>15.107215999999999</v>
      </c>
      <c r="AD300" s="173">
        <f t="shared" si="213"/>
        <v>15.107215999999999</v>
      </c>
      <c r="AE300" s="173">
        <f t="shared" si="213"/>
        <v>22.660823999999998</v>
      </c>
      <c r="AF300" s="173">
        <f t="shared" si="213"/>
        <v>12.448345984000001</v>
      </c>
      <c r="AG300" s="173">
        <f t="shared" si="213"/>
        <v>11.67032436</v>
      </c>
      <c r="AH300" s="173">
        <f t="shared" si="213"/>
        <v>15.560432480000001</v>
      </c>
      <c r="AI300" s="173">
        <f t="shared" si="213"/>
        <v>15.560432480000001</v>
      </c>
      <c r="AJ300" s="173">
        <f t="shared" si="213"/>
        <v>15.560432480000001</v>
      </c>
      <c r="AK300" s="173">
        <f t="shared" si="213"/>
        <v>15.560432480000001</v>
      </c>
      <c r="AL300" s="173">
        <f t="shared" si="213"/>
        <v>15.560432480000001</v>
      </c>
      <c r="AM300" s="173">
        <f t="shared" si="213"/>
        <v>15.560432480000001</v>
      </c>
      <c r="AN300" s="173">
        <f t="shared" si="213"/>
        <v>15.560432480000001</v>
      </c>
      <c r="AO300" s="173">
        <f t="shared" si="213"/>
        <v>15.560432480000001</v>
      </c>
      <c r="AP300" s="173">
        <f t="shared" si="213"/>
        <v>15.560432480000001</v>
      </c>
      <c r="AQ300" s="173">
        <f t="shared" si="213"/>
        <v>23.340648720000001</v>
      </c>
      <c r="AR300" s="173">
        <f t="shared" si="213"/>
        <v>12.821796363519999</v>
      </c>
      <c r="AS300" s="173">
        <f t="shared" si="213"/>
        <v>12.0204340908</v>
      </c>
      <c r="AT300" s="173">
        <f t="shared" si="213"/>
        <v>16.027245454399999</v>
      </c>
      <c r="AU300" s="173">
        <f t="shared" si="213"/>
        <v>16.027245454399999</v>
      </c>
      <c r="AV300" s="173">
        <f t="shared" si="213"/>
        <v>16.027245454399999</v>
      </c>
      <c r="AW300" s="173">
        <f t="shared" si="213"/>
        <v>16.027245454399999</v>
      </c>
      <c r="AX300" s="173">
        <f t="shared" si="213"/>
        <v>16.027245454399999</v>
      </c>
      <c r="AY300" s="173">
        <f t="shared" si="213"/>
        <v>16.027245454399999</v>
      </c>
      <c r="AZ300" s="173">
        <f t="shared" si="213"/>
        <v>16.027245454399999</v>
      </c>
      <c r="BA300" s="173">
        <f t="shared" si="213"/>
        <v>16.027245454399999</v>
      </c>
      <c r="BB300" s="173">
        <f t="shared" si="213"/>
        <v>24.0408681816</v>
      </c>
      <c r="BC300" s="173">
        <f t="shared" si="213"/>
        <v>36.061302272399999</v>
      </c>
      <c r="BD300" s="173">
        <f t="shared" si="213"/>
        <v>19.809675381638399</v>
      </c>
      <c r="BE300" s="173">
        <f t="shared" si="213"/>
        <v>18.571570670286</v>
      </c>
      <c r="BF300" s="173">
        <f t="shared" si="213"/>
        <v>24.762094227047999</v>
      </c>
      <c r="BG300" s="173">
        <f t="shared" si="213"/>
        <v>24.762094227047999</v>
      </c>
      <c r="BH300" s="173">
        <f t="shared" si="213"/>
        <v>24.762094227047999</v>
      </c>
      <c r="BI300" s="173">
        <f t="shared" si="213"/>
        <v>24.762094227047999</v>
      </c>
      <c r="BJ300" s="173">
        <f t="shared" si="213"/>
        <v>24.762094227047999</v>
      </c>
      <c r="BK300" s="173">
        <f t="shared" si="213"/>
        <v>24.762094227047999</v>
      </c>
      <c r="BL300" s="173">
        <f t="shared" si="213"/>
        <v>24.762094227047999</v>
      </c>
      <c r="BM300" s="173">
        <f t="shared" si="213"/>
        <v>24.762094227047999</v>
      </c>
      <c r="BN300" s="173">
        <f t="shared" si="213"/>
        <v>24.762094227047999</v>
      </c>
      <c r="BO300" s="173">
        <f t="shared" si="213"/>
        <v>37.143141340572001</v>
      </c>
      <c r="BP300" s="148">
        <f t="shared" si="196"/>
        <v>948.78080886344821</v>
      </c>
      <c r="BQ300" s="148"/>
    </row>
    <row r="301" spans="3:69" s="22" customFormat="1" outlineLevel="1">
      <c r="C301" s="22" t="str">
        <v>Vector Valley</v>
      </c>
      <c r="D301" s="161">
        <f>SUMIFS('Existing Stores'!$E$9:$E$1008,'Existing Stores'!$D$9:$D$1008,Model!$C268)</f>
        <v>1772</v>
      </c>
      <c r="E301" s="165">
        <f>(AVERAGEIFS('Existing Stores'!$E$9:$E$1008,'Existing Stores'!$D$9:$D$1008,Model!$C268))</f>
        <v>68.15384615384616</v>
      </c>
      <c r="F301" s="29" t="s">
        <v>119</v>
      </c>
      <c r="G301" s="207">
        <f t="shared" si="191"/>
        <v>265.80000000000007</v>
      </c>
      <c r="H301" s="173">
        <f t="shared" si="191"/>
        <v>146.01280000000003</v>
      </c>
      <c r="I301" s="173">
        <f t="shared" ref="I301:BO301" si="214">$E301*I$277*I209*I148*I$120/1000</f>
        <v>136.887</v>
      </c>
      <c r="J301" s="173">
        <f t="shared" si="214"/>
        <v>182.51599999999999</v>
      </c>
      <c r="K301" s="173">
        <f t="shared" si="214"/>
        <v>182.51599999999999</v>
      </c>
      <c r="L301" s="173">
        <f t="shared" si="214"/>
        <v>182.51599999999999</v>
      </c>
      <c r="M301" s="173">
        <f t="shared" si="214"/>
        <v>182.51599999999999</v>
      </c>
      <c r="N301" s="173">
        <f t="shared" si="214"/>
        <v>182.51599999999999</v>
      </c>
      <c r="O301" s="173">
        <f t="shared" si="214"/>
        <v>182.51599999999999</v>
      </c>
      <c r="P301" s="173">
        <f t="shared" si="214"/>
        <v>182.51599999999999</v>
      </c>
      <c r="Q301" s="173">
        <f t="shared" si="214"/>
        <v>182.51599999999999</v>
      </c>
      <c r="R301" s="173">
        <f t="shared" si="214"/>
        <v>182.51599999999999</v>
      </c>
      <c r="S301" s="173">
        <f t="shared" si="214"/>
        <v>273.774</v>
      </c>
      <c r="T301" s="173">
        <f t="shared" si="214"/>
        <v>150.39318400000002</v>
      </c>
      <c r="U301" s="173">
        <f t="shared" si="214"/>
        <v>140.99361000000002</v>
      </c>
      <c r="V301" s="173">
        <f t="shared" si="214"/>
        <v>187.99148000000002</v>
      </c>
      <c r="W301" s="173">
        <f t="shared" si="214"/>
        <v>187.99148000000002</v>
      </c>
      <c r="X301" s="173">
        <f t="shared" si="214"/>
        <v>187.99148000000002</v>
      </c>
      <c r="Y301" s="173">
        <f t="shared" si="214"/>
        <v>187.99148000000002</v>
      </c>
      <c r="Z301" s="173">
        <f t="shared" si="214"/>
        <v>187.99148000000002</v>
      </c>
      <c r="AA301" s="173">
        <f t="shared" si="214"/>
        <v>187.99148000000002</v>
      </c>
      <c r="AB301" s="173">
        <f t="shared" si="214"/>
        <v>187.99148000000002</v>
      </c>
      <c r="AC301" s="173">
        <f t="shared" si="214"/>
        <v>195.22192153846154</v>
      </c>
      <c r="AD301" s="173">
        <f t="shared" si="214"/>
        <v>195.22192153846154</v>
      </c>
      <c r="AE301" s="173">
        <f t="shared" si="214"/>
        <v>292.83288230769233</v>
      </c>
      <c r="AF301" s="173">
        <f t="shared" si="214"/>
        <v>160.86286334769233</v>
      </c>
      <c r="AG301" s="173">
        <f t="shared" si="214"/>
        <v>150.80893438846155</v>
      </c>
      <c r="AH301" s="173">
        <f t="shared" si="214"/>
        <v>201.07857918461539</v>
      </c>
      <c r="AI301" s="173">
        <f t="shared" si="214"/>
        <v>201.07857918461539</v>
      </c>
      <c r="AJ301" s="173">
        <f t="shared" si="214"/>
        <v>201.07857918461539</v>
      </c>
      <c r="AK301" s="173">
        <f t="shared" si="214"/>
        <v>201.07857918461539</v>
      </c>
      <c r="AL301" s="173">
        <f t="shared" si="214"/>
        <v>201.07857918461539</v>
      </c>
      <c r="AM301" s="173">
        <f t="shared" si="214"/>
        <v>201.07857918461539</v>
      </c>
      <c r="AN301" s="173">
        <f t="shared" si="214"/>
        <v>201.07857918461539</v>
      </c>
      <c r="AO301" s="173">
        <f t="shared" si="214"/>
        <v>201.07857918461539</v>
      </c>
      <c r="AP301" s="173">
        <f t="shared" si="214"/>
        <v>201.07857918461539</v>
      </c>
      <c r="AQ301" s="173">
        <f t="shared" si="214"/>
        <v>301.6178687769231</v>
      </c>
      <c r="AR301" s="173">
        <f t="shared" si="214"/>
        <v>165.68874924812309</v>
      </c>
      <c r="AS301" s="173">
        <f t="shared" si="214"/>
        <v>155.33320242011538</v>
      </c>
      <c r="AT301" s="173">
        <f t="shared" si="214"/>
        <v>207.11093656015385</v>
      </c>
      <c r="AU301" s="173">
        <f t="shared" si="214"/>
        <v>207.11093656015385</v>
      </c>
      <c r="AV301" s="173">
        <f t="shared" si="214"/>
        <v>207.11093656015385</v>
      </c>
      <c r="AW301" s="173">
        <f t="shared" si="214"/>
        <v>207.11093656015385</v>
      </c>
      <c r="AX301" s="173">
        <f t="shared" si="214"/>
        <v>207.11093656015385</v>
      </c>
      <c r="AY301" s="173">
        <f t="shared" si="214"/>
        <v>207.11093656015385</v>
      </c>
      <c r="AZ301" s="173">
        <f t="shared" si="214"/>
        <v>207.11093656015385</v>
      </c>
      <c r="BA301" s="173">
        <f t="shared" si="214"/>
        <v>207.11093656015385</v>
      </c>
      <c r="BB301" s="173">
        <f t="shared" si="214"/>
        <v>207.11093656015385</v>
      </c>
      <c r="BC301" s="173">
        <f t="shared" si="214"/>
        <v>322.17256798246154</v>
      </c>
      <c r="BD301" s="173">
        <f t="shared" si="214"/>
        <v>176.98013067836555</v>
      </c>
      <c r="BE301" s="173">
        <f t="shared" si="214"/>
        <v>165.9188725109677</v>
      </c>
      <c r="BF301" s="173">
        <f t="shared" si="214"/>
        <v>221.22516334795694</v>
      </c>
      <c r="BG301" s="173">
        <f t="shared" si="214"/>
        <v>221.22516334795694</v>
      </c>
      <c r="BH301" s="173">
        <f t="shared" si="214"/>
        <v>221.22516334795694</v>
      </c>
      <c r="BI301" s="173">
        <f t="shared" si="214"/>
        <v>221.22516334795694</v>
      </c>
      <c r="BJ301" s="173">
        <f t="shared" si="214"/>
        <v>221.22516334795694</v>
      </c>
      <c r="BK301" s="173">
        <f t="shared" si="214"/>
        <v>221.22516334795694</v>
      </c>
      <c r="BL301" s="173">
        <f t="shared" si="214"/>
        <v>221.22516334795694</v>
      </c>
      <c r="BM301" s="173">
        <f t="shared" si="214"/>
        <v>221.22516334795694</v>
      </c>
      <c r="BN301" s="173">
        <f t="shared" si="214"/>
        <v>221.22516334795694</v>
      </c>
      <c r="BO301" s="173">
        <f t="shared" si="214"/>
        <v>331.8377450219354</v>
      </c>
      <c r="BP301" s="148">
        <f t="shared" si="196"/>
        <v>12085.8747255942</v>
      </c>
      <c r="BQ301" s="148"/>
    </row>
    <row r="302" spans="3:69" s="22" customFormat="1" outlineLevel="1">
      <c r="C302" s="22" t="str">
        <v>Wiredown</v>
      </c>
      <c r="D302" s="161">
        <f>SUMIFS('Existing Stores'!$E$9:$E$1008,'Existing Stores'!$D$9:$D$1008,Model!$C269)</f>
        <v>421</v>
      </c>
      <c r="E302" s="165">
        <f>(AVERAGEIFS('Existing Stores'!$E$9:$E$1008,'Existing Stores'!$D$9:$D$1008,Model!$C269))</f>
        <v>60.142857142857146</v>
      </c>
      <c r="F302" s="29" t="s">
        <v>119</v>
      </c>
      <c r="G302" s="207">
        <f t="shared" si="191"/>
        <v>63.15</v>
      </c>
      <c r="H302" s="173">
        <f t="shared" si="191"/>
        <v>34.690400000000004</v>
      </c>
      <c r="I302" s="173">
        <f t="shared" ref="I302:BO302" si="215">$E302*I$277*I210*I149*I$120/1000</f>
        <v>32.52225</v>
      </c>
      <c r="J302" s="173">
        <f t="shared" si="215"/>
        <v>43.363</v>
      </c>
      <c r="K302" s="173">
        <f t="shared" si="215"/>
        <v>43.363</v>
      </c>
      <c r="L302" s="173">
        <f t="shared" si="215"/>
        <v>43.363</v>
      </c>
      <c r="M302" s="173">
        <f t="shared" si="215"/>
        <v>43.363</v>
      </c>
      <c r="N302" s="173">
        <f t="shared" si="215"/>
        <v>43.363</v>
      </c>
      <c r="O302" s="173">
        <f t="shared" si="215"/>
        <v>43.363</v>
      </c>
      <c r="P302" s="173">
        <f t="shared" si="215"/>
        <v>43.363</v>
      </c>
      <c r="Q302" s="173">
        <f t="shared" si="215"/>
        <v>43.363</v>
      </c>
      <c r="R302" s="173">
        <f t="shared" si="215"/>
        <v>43.363</v>
      </c>
      <c r="S302" s="173">
        <f t="shared" si="215"/>
        <v>65.044499999999999</v>
      </c>
      <c r="T302" s="173">
        <f t="shared" si="215"/>
        <v>35.731112000000003</v>
      </c>
      <c r="U302" s="173">
        <f t="shared" si="215"/>
        <v>33.497917499999993</v>
      </c>
      <c r="V302" s="173">
        <f t="shared" si="215"/>
        <v>44.663890000000002</v>
      </c>
      <c r="W302" s="173">
        <f t="shared" si="215"/>
        <v>44.663890000000002</v>
      </c>
      <c r="X302" s="173">
        <f t="shared" si="215"/>
        <v>44.663890000000002</v>
      </c>
      <c r="Y302" s="173">
        <f t="shared" si="215"/>
        <v>44.663890000000002</v>
      </c>
      <c r="Z302" s="173">
        <f t="shared" si="215"/>
        <v>44.663890000000002</v>
      </c>
      <c r="AA302" s="173">
        <f t="shared" si="215"/>
        <v>44.663890000000002</v>
      </c>
      <c r="AB302" s="173">
        <f t="shared" si="215"/>
        <v>44.663890000000002</v>
      </c>
      <c r="AC302" s="173">
        <f t="shared" si="215"/>
        <v>44.663890000000002</v>
      </c>
      <c r="AD302" s="173">
        <f t="shared" si="215"/>
        <v>51.044445714285715</v>
      </c>
      <c r="AE302" s="173">
        <f t="shared" si="215"/>
        <v>76.566668571428565</v>
      </c>
      <c r="AF302" s="173">
        <f t="shared" si="215"/>
        <v>42.060623268571433</v>
      </c>
      <c r="AG302" s="173">
        <f t="shared" si="215"/>
        <v>39.431834314285716</v>
      </c>
      <c r="AH302" s="173">
        <f t="shared" si="215"/>
        <v>52.575779085714288</v>
      </c>
      <c r="AI302" s="173">
        <f t="shared" si="215"/>
        <v>52.575779085714288</v>
      </c>
      <c r="AJ302" s="173">
        <f t="shared" si="215"/>
        <v>52.575779085714288</v>
      </c>
      <c r="AK302" s="173">
        <f t="shared" si="215"/>
        <v>52.575779085714288</v>
      </c>
      <c r="AL302" s="173">
        <f t="shared" si="215"/>
        <v>52.575779085714288</v>
      </c>
      <c r="AM302" s="173">
        <f t="shared" si="215"/>
        <v>52.575779085714288</v>
      </c>
      <c r="AN302" s="173">
        <f t="shared" si="215"/>
        <v>52.575779085714288</v>
      </c>
      <c r="AO302" s="173">
        <f t="shared" si="215"/>
        <v>52.575779085714288</v>
      </c>
      <c r="AP302" s="173">
        <f t="shared" si="215"/>
        <v>52.575779085714288</v>
      </c>
      <c r="AQ302" s="173">
        <f t="shared" si="215"/>
        <v>78.863668628571432</v>
      </c>
      <c r="AR302" s="173">
        <f t="shared" si="215"/>
        <v>43.322441966628567</v>
      </c>
      <c r="AS302" s="173">
        <f t="shared" si="215"/>
        <v>40.614789343714286</v>
      </c>
      <c r="AT302" s="173">
        <f t="shared" si="215"/>
        <v>54.153052458285714</v>
      </c>
      <c r="AU302" s="173">
        <f t="shared" si="215"/>
        <v>54.153052458285714</v>
      </c>
      <c r="AV302" s="173">
        <f t="shared" si="215"/>
        <v>54.153052458285714</v>
      </c>
      <c r="AW302" s="173">
        <f t="shared" si="215"/>
        <v>54.153052458285714</v>
      </c>
      <c r="AX302" s="173">
        <f t="shared" si="215"/>
        <v>54.153052458285714</v>
      </c>
      <c r="AY302" s="173">
        <f t="shared" si="215"/>
        <v>54.153052458285714</v>
      </c>
      <c r="AZ302" s="173">
        <f t="shared" si="215"/>
        <v>54.153052458285714</v>
      </c>
      <c r="BA302" s="173">
        <f t="shared" si="215"/>
        <v>54.153052458285714</v>
      </c>
      <c r="BB302" s="173">
        <f t="shared" si="215"/>
        <v>54.153052458285714</v>
      </c>
      <c r="BC302" s="173">
        <f t="shared" si="215"/>
        <v>81.229578687428571</v>
      </c>
      <c r="BD302" s="173">
        <f t="shared" si="215"/>
        <v>50.19987962883085</v>
      </c>
      <c r="BE302" s="173">
        <f t="shared" si="215"/>
        <v>47.062387152028926</v>
      </c>
      <c r="BF302" s="173">
        <f t="shared" si="215"/>
        <v>62.749849536038568</v>
      </c>
      <c r="BG302" s="173">
        <f t="shared" si="215"/>
        <v>62.749849536038568</v>
      </c>
      <c r="BH302" s="173">
        <f t="shared" si="215"/>
        <v>62.749849536038568</v>
      </c>
      <c r="BI302" s="173">
        <f t="shared" si="215"/>
        <v>62.749849536038568</v>
      </c>
      <c r="BJ302" s="173">
        <f t="shared" si="215"/>
        <v>62.749849536038568</v>
      </c>
      <c r="BK302" s="173">
        <f t="shared" si="215"/>
        <v>62.749849536038568</v>
      </c>
      <c r="BL302" s="173">
        <f t="shared" si="215"/>
        <v>62.749849536038568</v>
      </c>
      <c r="BM302" s="173">
        <f t="shared" si="215"/>
        <v>62.749849536038568</v>
      </c>
      <c r="BN302" s="173">
        <f t="shared" si="215"/>
        <v>62.749849536038568</v>
      </c>
      <c r="BO302" s="173">
        <f t="shared" si="215"/>
        <v>94.124774304057851</v>
      </c>
      <c r="BP302" s="148">
        <f t="shared" si="196"/>
        <v>3118.8935208001803</v>
      </c>
      <c r="BQ302" s="148"/>
    </row>
    <row r="303" spans="3:69" s="22" customFormat="1" outlineLevel="1">
      <c r="C303" s="22" t="str">
        <v>Xenocode City</v>
      </c>
      <c r="D303" s="162">
        <f>SUMIFS('Existing Stores'!$E$9:$E$1008,'Existing Stores'!$D$9:$D$1008,Model!$C270)</f>
        <v>314</v>
      </c>
      <c r="E303" s="165">
        <f>(AVERAGEIFS('Existing Stores'!$E$9:$E$1008,'Existing Stores'!$D$9:$D$1008,Model!$C270))</f>
        <v>78.5</v>
      </c>
      <c r="F303" s="29" t="s">
        <v>119</v>
      </c>
      <c r="G303" s="207">
        <f t="shared" si="191"/>
        <v>47.1</v>
      </c>
      <c r="H303" s="173">
        <f t="shared" si="191"/>
        <v>25.873600000000003</v>
      </c>
      <c r="I303" s="173">
        <f t="shared" ref="I303:BO303" si="216">$E303*I$277*I211*I150*I$120/1000</f>
        <v>24.256499999999999</v>
      </c>
      <c r="J303" s="173">
        <f t="shared" si="216"/>
        <v>32.341999999999999</v>
      </c>
      <c r="K303" s="173">
        <f t="shared" si="216"/>
        <v>32.341999999999999</v>
      </c>
      <c r="L303" s="173">
        <f t="shared" si="216"/>
        <v>32.341999999999999</v>
      </c>
      <c r="M303" s="173">
        <f t="shared" si="216"/>
        <v>32.341999999999999</v>
      </c>
      <c r="N303" s="173">
        <f t="shared" si="216"/>
        <v>32.341999999999999</v>
      </c>
      <c r="O303" s="173">
        <f t="shared" si="216"/>
        <v>32.341999999999999</v>
      </c>
      <c r="P303" s="173">
        <f t="shared" si="216"/>
        <v>32.341999999999999</v>
      </c>
      <c r="Q303" s="173">
        <f t="shared" si="216"/>
        <v>32.341999999999999</v>
      </c>
      <c r="R303" s="173">
        <f t="shared" si="216"/>
        <v>32.341999999999999</v>
      </c>
      <c r="S303" s="173">
        <f t="shared" si="216"/>
        <v>48.512999999999998</v>
      </c>
      <c r="T303" s="173">
        <f t="shared" si="216"/>
        <v>26.649807999999997</v>
      </c>
      <c r="U303" s="173">
        <f t="shared" si="216"/>
        <v>24.984194999999996</v>
      </c>
      <c r="V303" s="173">
        <f t="shared" si="216"/>
        <v>33.312259999999995</v>
      </c>
      <c r="W303" s="173">
        <f t="shared" si="216"/>
        <v>33.312259999999995</v>
      </c>
      <c r="X303" s="173">
        <f t="shared" si="216"/>
        <v>33.312259999999995</v>
      </c>
      <c r="Y303" s="173">
        <f t="shared" si="216"/>
        <v>33.312259999999995</v>
      </c>
      <c r="Z303" s="173">
        <f t="shared" si="216"/>
        <v>33.312259999999995</v>
      </c>
      <c r="AA303" s="173">
        <f t="shared" si="216"/>
        <v>33.312259999999995</v>
      </c>
      <c r="AB303" s="173">
        <f t="shared" si="216"/>
        <v>33.312259999999995</v>
      </c>
      <c r="AC303" s="173">
        <f t="shared" si="216"/>
        <v>33.312259999999995</v>
      </c>
      <c r="AD303" s="173">
        <f t="shared" si="216"/>
        <v>33.312259999999995</v>
      </c>
      <c r="AE303" s="173">
        <f t="shared" si="216"/>
        <v>49.968389999999992</v>
      </c>
      <c r="AF303" s="173">
        <f t="shared" si="216"/>
        <v>27.449302240000005</v>
      </c>
      <c r="AG303" s="173">
        <f t="shared" si="216"/>
        <v>25.733720850000001</v>
      </c>
      <c r="AH303" s="173">
        <f t="shared" si="216"/>
        <v>34.311627800000004</v>
      </c>
      <c r="AI303" s="173">
        <f t="shared" si="216"/>
        <v>34.311627800000004</v>
      </c>
      <c r="AJ303" s="173">
        <f t="shared" si="216"/>
        <v>34.311627800000004</v>
      </c>
      <c r="AK303" s="173">
        <f t="shared" si="216"/>
        <v>34.311627800000004</v>
      </c>
      <c r="AL303" s="173">
        <f t="shared" si="216"/>
        <v>34.311627800000004</v>
      </c>
      <c r="AM303" s="173">
        <f t="shared" si="216"/>
        <v>34.311627800000004</v>
      </c>
      <c r="AN303" s="173">
        <f t="shared" si="216"/>
        <v>34.311627800000004</v>
      </c>
      <c r="AO303" s="173">
        <f t="shared" si="216"/>
        <v>34.311627800000004</v>
      </c>
      <c r="AP303" s="173">
        <f t="shared" si="216"/>
        <v>34.311627800000004</v>
      </c>
      <c r="AQ303" s="173">
        <f t="shared" si="216"/>
        <v>51.467441700000002</v>
      </c>
      <c r="AR303" s="173">
        <f t="shared" si="216"/>
        <v>28.272781307199999</v>
      </c>
      <c r="AS303" s="173">
        <f t="shared" si="216"/>
        <v>26.5057324755</v>
      </c>
      <c r="AT303" s="173">
        <f t="shared" si="216"/>
        <v>35.340976634</v>
      </c>
      <c r="AU303" s="173">
        <f t="shared" si="216"/>
        <v>35.340976634</v>
      </c>
      <c r="AV303" s="173">
        <f t="shared" si="216"/>
        <v>35.340976634</v>
      </c>
      <c r="AW303" s="173">
        <f t="shared" si="216"/>
        <v>35.340976634</v>
      </c>
      <c r="AX303" s="173">
        <f t="shared" si="216"/>
        <v>35.340976634</v>
      </c>
      <c r="AY303" s="173">
        <f t="shared" si="216"/>
        <v>35.340976634</v>
      </c>
      <c r="AZ303" s="173">
        <f t="shared" si="216"/>
        <v>35.340976634</v>
      </c>
      <c r="BA303" s="173">
        <f t="shared" si="216"/>
        <v>35.340976634</v>
      </c>
      <c r="BB303" s="173">
        <f t="shared" si="216"/>
        <v>35.340976634</v>
      </c>
      <c r="BC303" s="173">
        <f t="shared" si="216"/>
        <v>53.011464951000001</v>
      </c>
      <c r="BD303" s="173">
        <f t="shared" si="216"/>
        <v>29.120964746416</v>
      </c>
      <c r="BE303" s="173">
        <f t="shared" si="216"/>
        <v>32.761085339718001</v>
      </c>
      <c r="BF303" s="173">
        <f t="shared" si="216"/>
        <v>43.681447119624004</v>
      </c>
      <c r="BG303" s="173">
        <f t="shared" si="216"/>
        <v>43.681447119624004</v>
      </c>
      <c r="BH303" s="173">
        <f t="shared" si="216"/>
        <v>43.681447119624004</v>
      </c>
      <c r="BI303" s="173">
        <f t="shared" si="216"/>
        <v>43.681447119624004</v>
      </c>
      <c r="BJ303" s="173">
        <f t="shared" si="216"/>
        <v>43.681447119624004</v>
      </c>
      <c r="BK303" s="173">
        <f t="shared" si="216"/>
        <v>43.681447119624004</v>
      </c>
      <c r="BL303" s="173">
        <f t="shared" si="216"/>
        <v>43.681447119624004</v>
      </c>
      <c r="BM303" s="173">
        <f t="shared" si="216"/>
        <v>43.681447119624004</v>
      </c>
      <c r="BN303" s="173">
        <f t="shared" si="216"/>
        <v>43.681447119624004</v>
      </c>
      <c r="BO303" s="173">
        <f t="shared" si="216"/>
        <v>65.522170679436002</v>
      </c>
      <c r="BP303" s="148">
        <f t="shared" si="196"/>
        <v>2150.9849612718863</v>
      </c>
      <c r="BQ303" s="148"/>
    </row>
    <row r="304" spans="3:69" s="22" customFormat="1" outlineLevel="1">
      <c r="C304" s="22" t="str">
        <v>Yieldville</v>
      </c>
      <c r="D304" s="161">
        <f>SUMIFS('Existing Stores'!$E$9:$E$1008,'Existing Stores'!$D$9:$D$1008,Model!$C271)</f>
        <v>157</v>
      </c>
      <c r="E304" s="165">
        <f>(AVERAGEIFS('Existing Stores'!$E$9:$E$1008,'Existing Stores'!$D$9:$D$1008,Model!$C271))</f>
        <v>52.333333333333336</v>
      </c>
      <c r="F304" s="29" t="s">
        <v>119</v>
      </c>
      <c r="G304" s="207">
        <f t="shared" si="191"/>
        <v>23.550000000000004</v>
      </c>
      <c r="H304" s="173">
        <f t="shared" si="191"/>
        <v>12.936800000000003</v>
      </c>
      <c r="I304" s="173">
        <f t="shared" ref="I304:BO304" si="217">$E304*I$277*I212*I151*I$120/1000</f>
        <v>12.128250000000001</v>
      </c>
      <c r="J304" s="173">
        <f t="shared" si="217"/>
        <v>16.171000000000003</v>
      </c>
      <c r="K304" s="173">
        <f t="shared" si="217"/>
        <v>16.171000000000003</v>
      </c>
      <c r="L304" s="173">
        <f t="shared" si="217"/>
        <v>16.171000000000003</v>
      </c>
      <c r="M304" s="173">
        <f t="shared" si="217"/>
        <v>16.171000000000003</v>
      </c>
      <c r="N304" s="173">
        <f t="shared" si="217"/>
        <v>16.171000000000003</v>
      </c>
      <c r="O304" s="173">
        <f t="shared" si="217"/>
        <v>16.171000000000003</v>
      </c>
      <c r="P304" s="173">
        <f t="shared" si="217"/>
        <v>16.171000000000003</v>
      </c>
      <c r="Q304" s="173">
        <f t="shared" si="217"/>
        <v>16.171000000000003</v>
      </c>
      <c r="R304" s="173">
        <f t="shared" si="217"/>
        <v>16.171000000000003</v>
      </c>
      <c r="S304" s="173">
        <f t="shared" si="217"/>
        <v>24.256500000000003</v>
      </c>
      <c r="T304" s="173">
        <f t="shared" si="217"/>
        <v>13.324903999999998</v>
      </c>
      <c r="U304" s="173">
        <f t="shared" si="217"/>
        <v>12.492097499999998</v>
      </c>
      <c r="V304" s="173">
        <f t="shared" si="217"/>
        <v>16.656129999999997</v>
      </c>
      <c r="W304" s="173">
        <f t="shared" si="217"/>
        <v>16.656129999999997</v>
      </c>
      <c r="X304" s="173">
        <f t="shared" si="217"/>
        <v>16.656129999999997</v>
      </c>
      <c r="Y304" s="173">
        <f t="shared" si="217"/>
        <v>16.656129999999997</v>
      </c>
      <c r="Z304" s="173">
        <f t="shared" si="217"/>
        <v>16.656129999999997</v>
      </c>
      <c r="AA304" s="173">
        <f t="shared" si="217"/>
        <v>16.656129999999997</v>
      </c>
      <c r="AB304" s="173">
        <f t="shared" si="217"/>
        <v>16.656129999999997</v>
      </c>
      <c r="AC304" s="173">
        <f t="shared" si="217"/>
        <v>16.656129999999997</v>
      </c>
      <c r="AD304" s="173">
        <f t="shared" si="217"/>
        <v>16.656129999999997</v>
      </c>
      <c r="AE304" s="173">
        <f t="shared" si="217"/>
        <v>24.984194999999996</v>
      </c>
      <c r="AF304" s="173">
        <f t="shared" si="217"/>
        <v>18.299534826666665</v>
      </c>
      <c r="AG304" s="173">
        <f t="shared" si="217"/>
        <v>17.155813900000002</v>
      </c>
      <c r="AH304" s="173">
        <f t="shared" si="217"/>
        <v>22.874418533333333</v>
      </c>
      <c r="AI304" s="173">
        <f t="shared" si="217"/>
        <v>22.874418533333333</v>
      </c>
      <c r="AJ304" s="173">
        <f t="shared" si="217"/>
        <v>22.874418533333333</v>
      </c>
      <c r="AK304" s="173">
        <f t="shared" si="217"/>
        <v>22.874418533333333</v>
      </c>
      <c r="AL304" s="173">
        <f t="shared" si="217"/>
        <v>22.874418533333333</v>
      </c>
      <c r="AM304" s="173">
        <f t="shared" si="217"/>
        <v>22.874418533333333</v>
      </c>
      <c r="AN304" s="173">
        <f t="shared" si="217"/>
        <v>22.874418533333333</v>
      </c>
      <c r="AO304" s="173">
        <f t="shared" si="217"/>
        <v>22.874418533333333</v>
      </c>
      <c r="AP304" s="173">
        <f t="shared" si="217"/>
        <v>22.874418533333333</v>
      </c>
      <c r="AQ304" s="173">
        <f t="shared" si="217"/>
        <v>34.311627800000004</v>
      </c>
      <c r="AR304" s="173">
        <f t="shared" si="217"/>
        <v>18.848520871466665</v>
      </c>
      <c r="AS304" s="173">
        <f t="shared" si="217"/>
        <v>17.670488317</v>
      </c>
      <c r="AT304" s="173">
        <f t="shared" si="217"/>
        <v>23.560651089333334</v>
      </c>
      <c r="AU304" s="173">
        <f t="shared" si="217"/>
        <v>23.560651089333334</v>
      </c>
      <c r="AV304" s="173">
        <f t="shared" si="217"/>
        <v>23.560651089333334</v>
      </c>
      <c r="AW304" s="173">
        <f t="shared" si="217"/>
        <v>23.560651089333334</v>
      </c>
      <c r="AX304" s="173">
        <f t="shared" si="217"/>
        <v>23.560651089333334</v>
      </c>
      <c r="AY304" s="173">
        <f t="shared" si="217"/>
        <v>23.560651089333334</v>
      </c>
      <c r="AZ304" s="173">
        <f t="shared" si="217"/>
        <v>23.560651089333334</v>
      </c>
      <c r="BA304" s="173">
        <f t="shared" si="217"/>
        <v>23.560651089333334</v>
      </c>
      <c r="BB304" s="173">
        <f t="shared" si="217"/>
        <v>23.560651089333334</v>
      </c>
      <c r="BC304" s="173">
        <f t="shared" si="217"/>
        <v>35.340976634</v>
      </c>
      <c r="BD304" s="173">
        <f t="shared" si="217"/>
        <v>19.413976497610662</v>
      </c>
      <c r="BE304" s="173">
        <f t="shared" si="217"/>
        <v>18.200602966510001</v>
      </c>
      <c r="BF304" s="173">
        <f t="shared" si="217"/>
        <v>30.334338277516661</v>
      </c>
      <c r="BG304" s="173">
        <f t="shared" si="217"/>
        <v>30.334338277516661</v>
      </c>
      <c r="BH304" s="173">
        <f t="shared" si="217"/>
        <v>30.334338277516661</v>
      </c>
      <c r="BI304" s="173">
        <f t="shared" si="217"/>
        <v>30.334338277516661</v>
      </c>
      <c r="BJ304" s="173">
        <f t="shared" si="217"/>
        <v>30.334338277516661</v>
      </c>
      <c r="BK304" s="173">
        <f t="shared" si="217"/>
        <v>30.334338277516661</v>
      </c>
      <c r="BL304" s="173">
        <f t="shared" si="217"/>
        <v>30.334338277516661</v>
      </c>
      <c r="BM304" s="173">
        <f t="shared" si="217"/>
        <v>30.334338277516661</v>
      </c>
      <c r="BN304" s="173">
        <f t="shared" si="217"/>
        <v>30.334338277516661</v>
      </c>
      <c r="BO304" s="173">
        <f t="shared" si="217"/>
        <v>45.501507416274997</v>
      </c>
      <c r="BP304" s="148">
        <f t="shared" si="196"/>
        <v>1311.2346368311794</v>
      </c>
      <c r="BQ304" s="148"/>
    </row>
    <row r="305" spans="2:69" s="22" customFormat="1" outlineLevel="1">
      <c r="C305" s="22" t="str">
        <v>ZeroDay Zone</v>
      </c>
      <c r="D305" s="163">
        <f>SUMIFS('Existing Stores'!$E$9:$E$1008,'Existing Stores'!$D$9:$D$1008,Model!$C272)</f>
        <v>67</v>
      </c>
      <c r="E305" s="166">
        <f>(AVERAGEIFS('Existing Stores'!$E$9:$E$1008,'Existing Stores'!$D$9:$D$1008,Model!$C272))</f>
        <v>67</v>
      </c>
      <c r="F305" s="75" t="s">
        <v>119</v>
      </c>
      <c r="G305" s="207">
        <f t="shared" si="191"/>
        <v>10.050000000000001</v>
      </c>
      <c r="H305" s="173">
        <f t="shared" si="191"/>
        <v>5.5208000000000004</v>
      </c>
      <c r="I305" s="173">
        <f t="shared" ref="I305:BO305" si="218">$E305*I$277*I213*I152*I$120/1000</f>
        <v>5.1757499999999999</v>
      </c>
      <c r="J305" s="173">
        <f t="shared" si="218"/>
        <v>6.9009999999999998</v>
      </c>
      <c r="K305" s="173">
        <f t="shared" si="218"/>
        <v>6.9009999999999998</v>
      </c>
      <c r="L305" s="173">
        <f t="shared" si="218"/>
        <v>6.9009999999999998</v>
      </c>
      <c r="M305" s="173">
        <f t="shared" si="218"/>
        <v>6.9009999999999998</v>
      </c>
      <c r="N305" s="173">
        <f t="shared" si="218"/>
        <v>6.9009999999999998</v>
      </c>
      <c r="O305" s="173">
        <f t="shared" si="218"/>
        <v>6.9009999999999998</v>
      </c>
      <c r="P305" s="173">
        <f t="shared" si="218"/>
        <v>6.9009999999999998</v>
      </c>
      <c r="Q305" s="173">
        <f t="shared" si="218"/>
        <v>6.9009999999999998</v>
      </c>
      <c r="R305" s="173">
        <f t="shared" si="218"/>
        <v>6.9009999999999998</v>
      </c>
      <c r="S305" s="173">
        <f t="shared" si="218"/>
        <v>10.3515</v>
      </c>
      <c r="T305" s="173">
        <f t="shared" si="218"/>
        <v>5.6864239999999988</v>
      </c>
      <c r="U305" s="173">
        <f t="shared" si="218"/>
        <v>5.3310224999999996</v>
      </c>
      <c r="V305" s="173">
        <f t="shared" si="218"/>
        <v>7.1080299999999985</v>
      </c>
      <c r="W305" s="173">
        <f t="shared" si="218"/>
        <v>7.1080299999999985</v>
      </c>
      <c r="X305" s="173">
        <f t="shared" si="218"/>
        <v>7.1080299999999985</v>
      </c>
      <c r="Y305" s="173">
        <f t="shared" si="218"/>
        <v>7.1080299999999985</v>
      </c>
      <c r="Z305" s="173">
        <f t="shared" si="218"/>
        <v>7.1080299999999985</v>
      </c>
      <c r="AA305" s="173">
        <f t="shared" si="218"/>
        <v>7.1080299999999985</v>
      </c>
      <c r="AB305" s="173">
        <f t="shared" si="218"/>
        <v>7.1080299999999985</v>
      </c>
      <c r="AC305" s="173">
        <f t="shared" si="218"/>
        <v>7.1080299999999985</v>
      </c>
      <c r="AD305" s="173">
        <f t="shared" si="218"/>
        <v>7.1080299999999985</v>
      </c>
      <c r="AE305" s="173">
        <f t="shared" si="218"/>
        <v>10.662044999999999</v>
      </c>
      <c r="AF305" s="173">
        <f t="shared" si="218"/>
        <v>5.8570167200000007</v>
      </c>
      <c r="AG305" s="173">
        <f t="shared" si="218"/>
        <v>10.981906350000001</v>
      </c>
      <c r="AH305" s="173">
        <f t="shared" si="218"/>
        <v>14.6425418</v>
      </c>
      <c r="AI305" s="173">
        <f t="shared" si="218"/>
        <v>14.6425418</v>
      </c>
      <c r="AJ305" s="173">
        <f t="shared" si="218"/>
        <v>14.6425418</v>
      </c>
      <c r="AK305" s="173">
        <f t="shared" si="218"/>
        <v>14.6425418</v>
      </c>
      <c r="AL305" s="173">
        <f t="shared" si="218"/>
        <v>14.6425418</v>
      </c>
      <c r="AM305" s="173">
        <f t="shared" si="218"/>
        <v>14.6425418</v>
      </c>
      <c r="AN305" s="173">
        <f t="shared" si="218"/>
        <v>14.6425418</v>
      </c>
      <c r="AO305" s="173">
        <f t="shared" si="218"/>
        <v>14.6425418</v>
      </c>
      <c r="AP305" s="173">
        <f t="shared" si="218"/>
        <v>14.6425418</v>
      </c>
      <c r="AQ305" s="173">
        <f t="shared" si="218"/>
        <v>21.963812700000002</v>
      </c>
      <c r="AR305" s="173">
        <f t="shared" si="218"/>
        <v>12.0654544432</v>
      </c>
      <c r="AS305" s="173">
        <f t="shared" si="218"/>
        <v>11.311363540499999</v>
      </c>
      <c r="AT305" s="173">
        <f t="shared" si="218"/>
        <v>15.081818053999999</v>
      </c>
      <c r="AU305" s="173">
        <f t="shared" si="218"/>
        <v>15.081818053999999</v>
      </c>
      <c r="AV305" s="173">
        <f t="shared" si="218"/>
        <v>15.081818053999999</v>
      </c>
      <c r="AW305" s="173">
        <f t="shared" si="218"/>
        <v>15.081818053999999</v>
      </c>
      <c r="AX305" s="173">
        <f t="shared" si="218"/>
        <v>15.081818053999999</v>
      </c>
      <c r="AY305" s="173">
        <f t="shared" si="218"/>
        <v>15.081818053999999</v>
      </c>
      <c r="AZ305" s="173">
        <f t="shared" si="218"/>
        <v>15.081818053999999</v>
      </c>
      <c r="BA305" s="173">
        <f t="shared" si="218"/>
        <v>15.081818053999999</v>
      </c>
      <c r="BB305" s="173">
        <f t="shared" si="218"/>
        <v>15.081818053999999</v>
      </c>
      <c r="BC305" s="173">
        <f t="shared" si="218"/>
        <v>22.622727080999997</v>
      </c>
      <c r="BD305" s="173">
        <f t="shared" si="218"/>
        <v>12.427418076496</v>
      </c>
      <c r="BE305" s="173">
        <f t="shared" si="218"/>
        <v>11.650704446714998</v>
      </c>
      <c r="BF305" s="173">
        <f t="shared" si="218"/>
        <v>15.534272595619999</v>
      </c>
      <c r="BG305" s="173">
        <f t="shared" si="218"/>
        <v>23.301408893429997</v>
      </c>
      <c r="BH305" s="173">
        <f t="shared" si="218"/>
        <v>23.301408893429997</v>
      </c>
      <c r="BI305" s="173">
        <f t="shared" si="218"/>
        <v>23.301408893429997</v>
      </c>
      <c r="BJ305" s="173">
        <f t="shared" si="218"/>
        <v>23.301408893429997</v>
      </c>
      <c r="BK305" s="173">
        <f t="shared" si="218"/>
        <v>23.301408893429997</v>
      </c>
      <c r="BL305" s="173">
        <f t="shared" si="218"/>
        <v>23.301408893429997</v>
      </c>
      <c r="BM305" s="173">
        <f t="shared" si="218"/>
        <v>23.301408893429997</v>
      </c>
      <c r="BN305" s="173">
        <f t="shared" si="218"/>
        <v>23.301408893429997</v>
      </c>
      <c r="BO305" s="173">
        <f t="shared" si="218"/>
        <v>34.952113340144997</v>
      </c>
      <c r="BP305" s="148">
        <f t="shared" si="196"/>
        <v>782.10611062711598</v>
      </c>
      <c r="BQ305" s="148"/>
    </row>
    <row r="306" spans="2:69" s="31" customFormat="1" ht="12" customHeight="1" outlineLevel="1">
      <c r="C306" s="70" t="s">
        <v>1252</v>
      </c>
      <c r="D306" s="70"/>
      <c r="E306" s="71"/>
      <c r="F306" s="29" t="s">
        <v>119</v>
      </c>
      <c r="G306" s="168">
        <f>SUM(G280:G305)</f>
        <v>9694.9499999999989</v>
      </c>
      <c r="H306" s="169">
        <f>SUM(H280:H305)</f>
        <v>5331.8293333333349</v>
      </c>
      <c r="I306" s="169">
        <f t="shared" ref="I306" si="219">SUM(I280:I305)</f>
        <v>5003.703950000001</v>
      </c>
      <c r="J306" s="169">
        <f t="shared" ref="J306" si="220">SUM(J280:J305)</f>
        <v>6670.2085866666666</v>
      </c>
      <c r="K306" s="169">
        <f t="shared" ref="K306" si="221">SUM(K280:K305)</f>
        <v>6677.0580866666669</v>
      </c>
      <c r="L306" s="169">
        <f t="shared" ref="L306" si="222">SUM(L280:L305)</f>
        <v>6682.2767533333345</v>
      </c>
      <c r="M306" s="169">
        <f t="shared" ref="M306" si="223">SUM(M280:M305)</f>
        <v>6683.2518200000004</v>
      </c>
      <c r="N306" s="169">
        <f t="shared" ref="N306" si="224">SUM(N280:N305)</f>
        <v>6689.7249738461551</v>
      </c>
      <c r="O306" s="169">
        <f t="shared" ref="O306" si="225">SUM(O280:O305)</f>
        <v>6696.3428066435818</v>
      </c>
      <c r="P306" s="169">
        <f t="shared" ref="P306" si="226">SUM(P280:P305)</f>
        <v>6703.1468654671116</v>
      </c>
      <c r="Q306" s="169">
        <f t="shared" ref="Q306" si="227">SUM(Q280:Q305)</f>
        <v>6710.8718654671111</v>
      </c>
      <c r="R306" s="169">
        <f t="shared" ref="R306" si="228">SUM(R280:R305)</f>
        <v>6717.7385321337779</v>
      </c>
      <c r="S306" s="169">
        <f t="shared" ref="S306" si="229">SUM(S280:S305)</f>
        <v>10087.546398200668</v>
      </c>
      <c r="T306" s="169">
        <f t="shared" ref="T306" si="230">SUM(T280:T305)</f>
        <v>5546.3650384782331</v>
      </c>
      <c r="U306" s="169">
        <f t="shared" ref="U306" si="231">SUM(U280:U305)</f>
        <v>5204.3889725019135</v>
      </c>
      <c r="V306" s="169">
        <f t="shared" ref="V306" si="232">SUM(V280:V305)</f>
        <v>6946.1102694143165</v>
      </c>
      <c r="W306" s="169">
        <f t="shared" ref="W306" si="233">SUM(W280:W305)</f>
        <v>6951.697676080983</v>
      </c>
      <c r="X306" s="169">
        <f t="shared" ref="X306" si="234">SUM(X280:X305)</f>
        <v>6958.7659223309829</v>
      </c>
      <c r="Y306" s="169">
        <f t="shared" ref="Y306" si="235">SUM(Y280:Y305)</f>
        <v>6965.7372267160099</v>
      </c>
      <c r="Z306" s="169">
        <f t="shared" ref="Z306" si="236">SUM(Z280:Z305)</f>
        <v>6972.4221596922007</v>
      </c>
      <c r="AA306" s="169">
        <f t="shared" ref="AA306" si="237">SUM(AA280:AA305)</f>
        <v>6979.2562846012916</v>
      </c>
      <c r="AB306" s="169">
        <f t="shared" ref="AB306" si="238">SUM(AB280:AB305)</f>
        <v>6984.9214906012921</v>
      </c>
      <c r="AC306" s="169">
        <f t="shared" ref="AC306" si="239">SUM(AC280:AC305)</f>
        <v>6992.1519321397536</v>
      </c>
      <c r="AD306" s="169">
        <f t="shared" ref="AD306" si="240">SUM(AD280:AD305)</f>
        <v>6998.5324878540396</v>
      </c>
      <c r="AE306" s="169">
        <f t="shared" ref="AE306" si="241">SUM(AE280:AE305)</f>
        <v>10497.798731781055</v>
      </c>
      <c r="AF306" s="169">
        <f t="shared" ref="AF306" si="242">SUM(AF280:AF305)</f>
        <v>5771.3656536983963</v>
      </c>
      <c r="AG306" s="169">
        <f t="shared" ref="AG306" si="243">SUM(AG280:AG305)</f>
        <v>5416.1462535172459</v>
      </c>
      <c r="AH306" s="169">
        <f t="shared" ref="AH306" si="244">SUM(AH280:AH305)</f>
        <v>7229.5780935896601</v>
      </c>
      <c r="AI306" s="169">
        <f t="shared" ref="AI306" si="245">SUM(AI280:AI305)</f>
        <v>7236.8119463296598</v>
      </c>
      <c r="AJ306" s="169">
        <f t="shared" ref="AJ306" si="246">SUM(AJ280:AJ305)</f>
        <v>7242.7388975776603</v>
      </c>
      <c r="AK306" s="169">
        <f t="shared" ref="AK306" si="247">SUM(AK280:AK305)</f>
        <v>7250.0055321276604</v>
      </c>
      <c r="AL306" s="169">
        <f t="shared" ref="AL306" si="248">SUM(AL280:AL305)</f>
        <v>7255.5420155943266</v>
      </c>
      <c r="AM306" s="169">
        <f t="shared" ref="AM306" si="249">SUM(AM280:AM305)</f>
        <v>7259.6798085009932</v>
      </c>
      <c r="AN306" s="169">
        <f t="shared" ref="AN306" si="250">SUM(AN280:AN305)</f>
        <v>7266.547177416378</v>
      </c>
      <c r="AO306" s="169">
        <f t="shared" ref="AO306" si="251">SUM(AO280:AO305)</f>
        <v>7273.5680362311696</v>
      </c>
      <c r="AP306" s="169">
        <f t="shared" ref="AP306" si="252">SUM(AP280:AP305)</f>
        <v>7280.7864622370516</v>
      </c>
      <c r="AQ306" s="169">
        <f t="shared" ref="AQ306" si="253">SUM(AQ280:AQ305)</f>
        <v>10933.472872105578</v>
      </c>
      <c r="AR306" s="169">
        <f t="shared" ref="AR306" si="254">SUM(AR280:AR305)</f>
        <v>6012.1238113966629</v>
      </c>
      <c r="AS306" s="169">
        <f t="shared" ref="AS306" si="255">SUM(AS280:AS305)</f>
        <v>5642.342524965472</v>
      </c>
      <c r="AT306" s="169">
        <f t="shared" ref="AT306" si="256">SUM(AT280:AT305)</f>
        <v>7531.8573149862304</v>
      </c>
      <c r="AU306" s="169">
        <f t="shared" ref="AU306" si="257">SUM(AU280:AU305)</f>
        <v>7538.4656595706601</v>
      </c>
      <c r="AV306" s="169">
        <f t="shared" ref="AV306" si="258">SUM(AV280:AV305)</f>
        <v>7545.8123631559338</v>
      </c>
      <c r="AW306" s="169">
        <f t="shared" ref="AW306" si="259">SUM(AW280:AW305)</f>
        <v>7545.8123631559338</v>
      </c>
      <c r="AX306" s="169">
        <f t="shared" ref="AX306" si="260">SUM(AX280:AX305)</f>
        <v>7553.3110656025583</v>
      </c>
      <c r="AY306" s="169">
        <f t="shared" ref="AY306" si="261">SUM(AY280:AY305)</f>
        <v>7560.7069224246334</v>
      </c>
      <c r="AZ306" s="169">
        <f t="shared" ref="AZ306" si="262">SUM(AZ280:AZ305)</f>
        <v>7567.7989678190734</v>
      </c>
      <c r="BA306" s="169">
        <f t="shared" ref="BA306" si="263">SUM(BA280:BA305)</f>
        <v>7575.0492909351278</v>
      </c>
      <c r="BB306" s="169">
        <f t="shared" ref="BB306" si="264">SUM(BB280:BB305)</f>
        <v>7583.0629136623274</v>
      </c>
      <c r="BC306" s="169">
        <f t="shared" ref="BC306" si="265">SUM(BC280:BC305)</f>
        <v>11386.100533635721</v>
      </c>
      <c r="BD306" s="169">
        <f t="shared" ref="BD306" si="266">SUM(BD280:BD305)</f>
        <v>6260.3423242137605</v>
      </c>
      <c r="BE306" s="169">
        <f t="shared" ref="BE306" si="267">SUM(BE280:BE305)</f>
        <v>5874.5311098403536</v>
      </c>
      <c r="BF306" s="169">
        <f t="shared" ref="BF306" si="268">SUM(BF280:BF305)</f>
        <v>7838.7750141093065</v>
      </c>
      <c r="BG306" s="169">
        <f t="shared" ref="BG306" si="269">SUM(BG280:BG305)</f>
        <v>7846.5421504071164</v>
      </c>
      <c r="BH306" s="169">
        <f t="shared" ref="BH306" si="270">SUM(BH280:BH305)</f>
        <v>7855.0821360877926</v>
      </c>
      <c r="BI306" s="169">
        <f t="shared" ref="BI306" si="271">SUM(BI280:BI305)</f>
        <v>7862.7565304596592</v>
      </c>
      <c r="BJ306" s="169">
        <f t="shared" ref="BJ306" si="272">SUM(BJ280:BJ305)</f>
        <v>7869.0444330386626</v>
      </c>
      <c r="BK306" s="169">
        <f t="shared" ref="BK306" si="273">SUM(BK280:BK305)</f>
        <v>7876.7536056327572</v>
      </c>
      <c r="BL306" s="169">
        <f t="shared" ref="BL306" si="274">SUM(BL280:BL305)</f>
        <v>7882.6272609425441</v>
      </c>
      <c r="BM306" s="169">
        <f t="shared" ref="BM306" si="275">SUM(BM280:BM305)</f>
        <v>7887.0170454372264</v>
      </c>
      <c r="BN306" s="169">
        <f t="shared" ref="BN306" si="276">SUM(BN280:BN305)</f>
        <v>7894.3026371195583</v>
      </c>
      <c r="BO306" s="169">
        <f t="shared" ref="BO306" si="277">SUM(BO280:BO305)</f>
        <v>11852.626599354257</v>
      </c>
      <c r="BP306" s="148">
        <f t="shared" si="196"/>
        <v>437910.93549082964</v>
      </c>
      <c r="BQ306" s="148"/>
    </row>
    <row r="307" spans="2:69" s="22" customFormat="1" outlineLevel="1">
      <c r="E307" s="28"/>
      <c r="F307" s="29"/>
      <c r="G307" s="66"/>
    </row>
    <row r="308" spans="2:69" s="22" customFormat="1" ht="12" customHeight="1" outlineLevel="1">
      <c r="B308" s="181" t="s">
        <v>1253</v>
      </c>
      <c r="C308" s="182"/>
      <c r="D308" s="182"/>
      <c r="E308" s="183"/>
      <c r="F308" s="184"/>
      <c r="G308" s="66"/>
      <c r="H308" s="182"/>
      <c r="I308" s="182"/>
      <c r="J308" s="182"/>
      <c r="K308" s="182"/>
      <c r="L308" s="182"/>
      <c r="M308" s="182"/>
      <c r="N308" s="182"/>
      <c r="O308" s="182"/>
      <c r="P308" s="182"/>
      <c r="Q308" s="182"/>
      <c r="R308" s="182"/>
      <c r="S308" s="182"/>
      <c r="T308" s="182"/>
      <c r="U308" s="182"/>
      <c r="V308" s="182"/>
      <c r="W308" s="182"/>
      <c r="X308" s="182"/>
      <c r="Y308" s="182"/>
      <c r="Z308" s="182"/>
      <c r="AA308" s="182"/>
      <c r="AB308" s="182"/>
      <c r="AC308" s="182"/>
      <c r="AD308" s="182"/>
      <c r="AE308" s="182"/>
      <c r="AF308" s="182"/>
      <c r="AG308" s="182"/>
      <c r="AH308" s="182"/>
      <c r="AI308" s="182"/>
      <c r="AJ308" s="182"/>
      <c r="AK308" s="182"/>
      <c r="AL308" s="182"/>
      <c r="AM308" s="182"/>
      <c r="AN308" s="182"/>
      <c r="AO308" s="182"/>
      <c r="AP308" s="182"/>
      <c r="AQ308" s="182"/>
      <c r="AR308" s="182"/>
      <c r="AS308" s="182"/>
      <c r="AT308" s="182"/>
      <c r="AU308" s="182"/>
      <c r="AV308" s="182"/>
      <c r="AW308" s="182"/>
      <c r="AX308" s="182"/>
      <c r="AY308" s="182"/>
      <c r="AZ308" s="182"/>
      <c r="BA308" s="182"/>
      <c r="BB308" s="182"/>
      <c r="BC308" s="182"/>
      <c r="BD308" s="182"/>
      <c r="BE308" s="182"/>
      <c r="BF308" s="182"/>
      <c r="BG308" s="182"/>
      <c r="BH308" s="182"/>
      <c r="BI308" s="182"/>
      <c r="BJ308" s="182"/>
      <c r="BK308" s="182"/>
      <c r="BL308" s="182"/>
      <c r="BM308" s="182"/>
      <c r="BN308" s="182"/>
      <c r="BO308" s="182"/>
      <c r="BP308" s="182"/>
      <c r="BQ308" s="182"/>
    </row>
    <row r="309" spans="2:69" s="22" customFormat="1" outlineLevel="1">
      <c r="B309" s="182"/>
      <c r="C309" s="185" t="s">
        <v>156</v>
      </c>
      <c r="D309" s="185"/>
      <c r="E309" s="186"/>
      <c r="F309" s="191" t="str" cm="1">
        <f t="array" ref="F309:BO309">F244:BO244</f>
        <v>[$k]</v>
      </c>
      <c r="G309" s="81">
        <v>145495.79999999993</v>
      </c>
      <c r="H309" s="188">
        <v>80025.396799999988</v>
      </c>
      <c r="I309" s="188">
        <v>75097.910274999987</v>
      </c>
      <c r="J309" s="188">
        <v>100109.6462733333</v>
      </c>
      <c r="K309" s="188">
        <v>100214.1444551515</v>
      </c>
      <c r="L309" s="188">
        <v>100288.92245515149</v>
      </c>
      <c r="M309" s="188">
        <v>100303.61712181817</v>
      </c>
      <c r="N309" s="188">
        <v>100401.92349104893</v>
      </c>
      <c r="O309" s="188">
        <v>100502.63463895889</v>
      </c>
      <c r="P309" s="188">
        <v>100600.43010954712</v>
      </c>
      <c r="Q309" s="188">
        <v>100738.25698454712</v>
      </c>
      <c r="R309" s="188">
        <v>100842.18398454711</v>
      </c>
      <c r="S309" s="188">
        <v>151408.84587682073</v>
      </c>
      <c r="T309" s="188">
        <v>83225.25658726682</v>
      </c>
      <c r="U309" s="188">
        <v>78098.89207163408</v>
      </c>
      <c r="V309" s="188">
        <v>104236.64805315917</v>
      </c>
      <c r="W309" s="188">
        <v>104329.58289315917</v>
      </c>
      <c r="X309" s="188">
        <v>104434.01523690917</v>
      </c>
      <c r="Y309" s="188">
        <v>104537.09103279152</v>
      </c>
      <c r="Z309" s="188">
        <v>104637.42880773199</v>
      </c>
      <c r="AA309" s="188">
        <v>104735.95748409563</v>
      </c>
      <c r="AB309" s="188">
        <v>104796.68340009563</v>
      </c>
      <c r="AC309" s="188">
        <v>104900.17827548024</v>
      </c>
      <c r="AD309" s="188">
        <v>105001.35782405167</v>
      </c>
      <c r="AE309" s="188">
        <v>157502.03673607754</v>
      </c>
      <c r="AF309" s="188">
        <v>86592.597762511941</v>
      </c>
      <c r="AG309" s="188">
        <v>81242.19020515494</v>
      </c>
      <c r="AH309" s="188">
        <v>108455.1402405399</v>
      </c>
      <c r="AI309" s="188">
        <v>108559.95825680321</v>
      </c>
      <c r="AJ309" s="188">
        <v>108648.65272193922</v>
      </c>
      <c r="AK309" s="188">
        <v>108759.51484303012</v>
      </c>
      <c r="AL309" s="188">
        <v>108838.84682323014</v>
      </c>
      <c r="AM309" s="188">
        <v>108901.2051106968</v>
      </c>
      <c r="AN309" s="188">
        <v>109005.49833781373</v>
      </c>
      <c r="AO309" s="188">
        <v>109112.34279463139</v>
      </c>
      <c r="AP309" s="188">
        <v>109216.09400937847</v>
      </c>
      <c r="AQ309" s="188">
        <v>164043.47181159898</v>
      </c>
      <c r="AR309" s="188">
        <v>90205.39825298154</v>
      </c>
      <c r="AS309" s="188">
        <v>84647.094942228869</v>
      </c>
      <c r="AT309" s="188">
        <v>112953.55428674356</v>
      </c>
      <c r="AU309" s="188">
        <v>113059.94702668312</v>
      </c>
      <c r="AV309" s="188">
        <v>113171.12081455089</v>
      </c>
      <c r="AW309" s="188">
        <v>113171.12081455089</v>
      </c>
      <c r="AX309" s="188">
        <v>113281.91308803526</v>
      </c>
      <c r="AY309" s="188">
        <v>113391.26619988686</v>
      </c>
      <c r="AZ309" s="188">
        <v>113497.7145453212</v>
      </c>
      <c r="BA309" s="188">
        <v>113602.24361807539</v>
      </c>
      <c r="BB309" s="188">
        <v>113688.14245045459</v>
      </c>
      <c r="BC309" s="188">
        <v>170696.91024562519</v>
      </c>
      <c r="BD309" s="188">
        <v>93857.951994587565</v>
      </c>
      <c r="BE309" s="188">
        <v>88081.418695387707</v>
      </c>
      <c r="BF309" s="188">
        <v>117536.68157065888</v>
      </c>
      <c r="BG309" s="188">
        <v>117623.85898104624</v>
      </c>
      <c r="BH309" s="188">
        <v>117764.13114403655</v>
      </c>
      <c r="BI309" s="188">
        <v>117875.33257749032</v>
      </c>
      <c r="BJ309" s="188">
        <v>117969.4285355531</v>
      </c>
      <c r="BK309" s="188">
        <v>118087.04215981845</v>
      </c>
      <c r="BL309" s="188">
        <v>118171.20545761262</v>
      </c>
      <c r="BM309" s="188">
        <v>118237.36136478602</v>
      </c>
      <c r="BN309" s="188">
        <v>118348.00604943436</v>
      </c>
      <c r="BO309" s="188">
        <v>177692.03600050835</v>
      </c>
      <c r="BP309" s="359"/>
      <c r="BQ309" s="359"/>
    </row>
    <row r="310" spans="2:69" s="22" customFormat="1" outlineLevel="1">
      <c r="B310" s="182"/>
      <c r="C310" s="182" t="s">
        <v>157</v>
      </c>
      <c r="D310" s="182"/>
      <c r="E310" s="186"/>
      <c r="F310" s="184" t="str" cm="1">
        <f t="array" ref="F310:BO310">F273:BO273</f>
        <v>[$k]</v>
      </c>
      <c r="G310" s="79">
        <v>22017</v>
      </c>
      <c r="H310" s="189">
        <v>12109.641333333337</v>
      </c>
      <c r="I310" s="189">
        <v>11363.603750000002</v>
      </c>
      <c r="J310" s="189">
        <v>15148.381666666668</v>
      </c>
      <c r="K310" s="189">
        <v>15163.22303030303</v>
      </c>
      <c r="L310" s="189">
        <v>15175.926363636365</v>
      </c>
      <c r="M310" s="189">
        <v>15177.986363636364</v>
      </c>
      <c r="N310" s="189">
        <v>15192.818363636365</v>
      </c>
      <c r="O310" s="189">
        <v>15208.026595147618</v>
      </c>
      <c r="P310" s="189">
        <v>15222.264830441736</v>
      </c>
      <c r="Q310" s="189">
        <v>15244.152330441735</v>
      </c>
      <c r="R310" s="189">
        <v>15262.005663775068</v>
      </c>
      <c r="S310" s="189">
        <v>22917.419495662609</v>
      </c>
      <c r="T310" s="189">
        <v>12594.903994950655</v>
      </c>
      <c r="U310" s="189">
        <v>11818.520941694811</v>
      </c>
      <c r="V310" s="189">
        <v>15774.81510461269</v>
      </c>
      <c r="W310" s="189">
        <v>15788.253171279355</v>
      </c>
      <c r="X310" s="189">
        <v>15804.962346279355</v>
      </c>
      <c r="Y310" s="189">
        <v>15820.836133445131</v>
      </c>
      <c r="Z310" s="189">
        <v>15835.619269754654</v>
      </c>
      <c r="AA310" s="189">
        <v>15850.452580663745</v>
      </c>
      <c r="AB310" s="189">
        <v>15857.454520663745</v>
      </c>
      <c r="AC310" s="189">
        <v>15873.653647586823</v>
      </c>
      <c r="AD310" s="189">
        <v>15888.657804729681</v>
      </c>
      <c r="AE310" s="189">
        <v>23832.986707094518</v>
      </c>
      <c r="AF310" s="189">
        <v>13103.61839189726</v>
      </c>
      <c r="AG310" s="189">
        <v>12291.19860440368</v>
      </c>
      <c r="AH310" s="189">
        <v>16408.116013038234</v>
      </c>
      <c r="AI310" s="189">
        <v>16423.414191038235</v>
      </c>
      <c r="AJ310" s="189">
        <v>16436.526915038234</v>
      </c>
      <c r="AK310" s="189">
        <v>16452.272117720055</v>
      </c>
      <c r="AL310" s="189">
        <v>16465.749084053386</v>
      </c>
      <c r="AM310" s="189">
        <v>16474.490900053388</v>
      </c>
      <c r="AN310" s="189">
        <v>16490.226168853387</v>
      </c>
      <c r="AO310" s="189">
        <v>16506.360581663677</v>
      </c>
      <c r="AP310" s="189">
        <v>16521.465925487206</v>
      </c>
      <c r="AQ310" s="189">
        <v>24817.029561355816</v>
      </c>
      <c r="AR310" s="189">
        <v>13648.428627870127</v>
      </c>
      <c r="AS310" s="189">
        <v>12808.739118026744</v>
      </c>
      <c r="AT310" s="189">
        <v>17088.223301563652</v>
      </c>
      <c r="AU310" s="189">
        <v>17103.49806398508</v>
      </c>
      <c r="AV310" s="189">
        <v>17121.307585743314</v>
      </c>
      <c r="AW310" s="189">
        <v>17121.307585743314</v>
      </c>
      <c r="AX310" s="189">
        <v>17139.034349500816</v>
      </c>
      <c r="AY310" s="189">
        <v>17155.874850304986</v>
      </c>
      <c r="AZ310" s="189">
        <v>17171.558279615761</v>
      </c>
      <c r="BA310" s="189">
        <v>17187.294939159216</v>
      </c>
      <c r="BB310" s="189">
        <v>17197.199416687217</v>
      </c>
      <c r="BC310" s="189">
        <v>25821.57760565987</v>
      </c>
      <c r="BD310" s="189">
        <v>14197.769656140279</v>
      </c>
      <c r="BE310" s="189">
        <v>13325.53757930113</v>
      </c>
      <c r="BF310" s="189">
        <v>17782.454002034076</v>
      </c>
      <c r="BG310" s="189">
        <v>17791.728194628478</v>
      </c>
      <c r="BH310" s="189">
        <v>17812.788340311592</v>
      </c>
      <c r="BI310" s="189">
        <v>17829.018177351794</v>
      </c>
      <c r="BJ310" s="189">
        <v>17842.929466243393</v>
      </c>
      <c r="BK310" s="189">
        <v>17859.633551768533</v>
      </c>
      <c r="BL310" s="189">
        <v>17873.931265351566</v>
      </c>
      <c r="BM310" s="189">
        <v>17883.205457945969</v>
      </c>
      <c r="BN310" s="189">
        <v>17899.899004615887</v>
      </c>
      <c r="BO310" s="189">
        <v>26875.524004749484</v>
      </c>
      <c r="BP310" s="189"/>
      <c r="BQ310" s="189"/>
    </row>
    <row r="311" spans="2:69" s="22" customFormat="1" outlineLevel="1">
      <c r="B311" s="182"/>
      <c r="C311" s="183" t="s">
        <v>1254</v>
      </c>
      <c r="D311" s="183"/>
      <c r="E311" s="195"/>
      <c r="F311" s="196" t="str" cm="1">
        <f t="array" ref="F311:BO311">F306:BO306</f>
        <v>[$k]</v>
      </c>
      <c r="G311" s="82">
        <v>9694.9499999999989</v>
      </c>
      <c r="H311" s="197">
        <v>5331.8293333333349</v>
      </c>
      <c r="I311" s="197">
        <v>5003.703950000001</v>
      </c>
      <c r="J311" s="197">
        <v>6670.2085866666666</v>
      </c>
      <c r="K311" s="197">
        <v>6677.0580866666669</v>
      </c>
      <c r="L311" s="197">
        <v>6682.2767533333345</v>
      </c>
      <c r="M311" s="197">
        <v>6683.2518200000004</v>
      </c>
      <c r="N311" s="197">
        <v>6689.7249738461551</v>
      </c>
      <c r="O311" s="197">
        <v>6696.3428066435818</v>
      </c>
      <c r="P311" s="197">
        <v>6703.1468654671116</v>
      </c>
      <c r="Q311" s="197">
        <v>6710.8718654671111</v>
      </c>
      <c r="R311" s="197">
        <v>6717.7385321337779</v>
      </c>
      <c r="S311" s="197">
        <v>10087.546398200668</v>
      </c>
      <c r="T311" s="197">
        <v>5546.3650384782331</v>
      </c>
      <c r="U311" s="197">
        <v>5204.3889725019135</v>
      </c>
      <c r="V311" s="197">
        <v>6946.1102694143165</v>
      </c>
      <c r="W311" s="197">
        <v>6951.697676080983</v>
      </c>
      <c r="X311" s="197">
        <v>6958.7659223309829</v>
      </c>
      <c r="Y311" s="197">
        <v>6965.7372267160099</v>
      </c>
      <c r="Z311" s="197">
        <v>6972.4221596922007</v>
      </c>
      <c r="AA311" s="197">
        <v>6979.2562846012916</v>
      </c>
      <c r="AB311" s="197">
        <v>6984.9214906012921</v>
      </c>
      <c r="AC311" s="197">
        <v>6992.1519321397536</v>
      </c>
      <c r="AD311" s="197">
        <v>6998.5324878540396</v>
      </c>
      <c r="AE311" s="197">
        <v>10497.798731781055</v>
      </c>
      <c r="AF311" s="197">
        <v>5771.3656536983963</v>
      </c>
      <c r="AG311" s="197">
        <v>5416.1462535172459</v>
      </c>
      <c r="AH311" s="197">
        <v>7229.5780935896601</v>
      </c>
      <c r="AI311" s="197">
        <v>7236.8119463296598</v>
      </c>
      <c r="AJ311" s="197">
        <v>7242.7388975776603</v>
      </c>
      <c r="AK311" s="197">
        <v>7250.0055321276604</v>
      </c>
      <c r="AL311" s="197">
        <v>7255.5420155943266</v>
      </c>
      <c r="AM311" s="197">
        <v>7259.6798085009932</v>
      </c>
      <c r="AN311" s="197">
        <v>7266.547177416378</v>
      </c>
      <c r="AO311" s="197">
        <v>7273.5680362311696</v>
      </c>
      <c r="AP311" s="197">
        <v>7280.7864622370516</v>
      </c>
      <c r="AQ311" s="197">
        <v>10933.472872105578</v>
      </c>
      <c r="AR311" s="197">
        <v>6012.1238113966629</v>
      </c>
      <c r="AS311" s="197">
        <v>5642.342524965472</v>
      </c>
      <c r="AT311" s="197">
        <v>7531.8573149862304</v>
      </c>
      <c r="AU311" s="197">
        <v>7538.4656595706601</v>
      </c>
      <c r="AV311" s="197">
        <v>7545.8123631559338</v>
      </c>
      <c r="AW311" s="197">
        <v>7545.8123631559338</v>
      </c>
      <c r="AX311" s="197">
        <v>7553.3110656025583</v>
      </c>
      <c r="AY311" s="197">
        <v>7560.7069224246334</v>
      </c>
      <c r="AZ311" s="197">
        <v>7567.7989678190734</v>
      </c>
      <c r="BA311" s="197">
        <v>7575.0492909351278</v>
      </c>
      <c r="BB311" s="197">
        <v>7583.0629136623274</v>
      </c>
      <c r="BC311" s="197">
        <v>11386.100533635721</v>
      </c>
      <c r="BD311" s="197">
        <v>6260.3423242137605</v>
      </c>
      <c r="BE311" s="197">
        <v>5874.5311098403536</v>
      </c>
      <c r="BF311" s="197">
        <v>7838.7750141093065</v>
      </c>
      <c r="BG311" s="197">
        <v>7846.5421504071164</v>
      </c>
      <c r="BH311" s="197">
        <v>7855.0821360877926</v>
      </c>
      <c r="BI311" s="197">
        <v>7862.7565304596592</v>
      </c>
      <c r="BJ311" s="197">
        <v>7869.0444330386626</v>
      </c>
      <c r="BK311" s="197">
        <v>7876.7536056327572</v>
      </c>
      <c r="BL311" s="197">
        <v>7882.6272609425441</v>
      </c>
      <c r="BM311" s="197">
        <v>7887.0170454372264</v>
      </c>
      <c r="BN311" s="197">
        <v>7894.3026371195583</v>
      </c>
      <c r="BO311" s="197">
        <v>11852.626599354257</v>
      </c>
      <c r="BP311" s="359"/>
      <c r="BQ311" s="359"/>
    </row>
    <row r="312" spans="2:69" s="31" customFormat="1" ht="12.6" customHeight="1" outlineLevel="1">
      <c r="B312" s="190"/>
      <c r="C312" s="83" t="s">
        <v>1172</v>
      </c>
      <c r="D312" s="84"/>
      <c r="E312" s="85"/>
      <c r="F312" s="86" t="s">
        <v>119</v>
      </c>
      <c r="G312" s="178">
        <f>SUM(G309:G311)</f>
        <v>177207.74999999994</v>
      </c>
      <c r="H312" s="174">
        <f>SUM(H309:H311)</f>
        <v>97466.867466666648</v>
      </c>
      <c r="I312" s="174">
        <f t="shared" ref="I312:BO312" si="278">SUM(I309:I311)</f>
        <v>91465.217974999978</v>
      </c>
      <c r="J312" s="174">
        <f t="shared" si="278"/>
        <v>121928.23652666663</v>
      </c>
      <c r="K312" s="174">
        <f t="shared" si="278"/>
        <v>122054.42557212121</v>
      </c>
      <c r="L312" s="174">
        <f t="shared" si="278"/>
        <v>122147.12557212119</v>
      </c>
      <c r="M312" s="174">
        <f t="shared" si="278"/>
        <v>122164.85530545453</v>
      </c>
      <c r="N312" s="174">
        <f t="shared" si="278"/>
        <v>122284.46682853145</v>
      </c>
      <c r="O312" s="174">
        <f t="shared" si="278"/>
        <v>122407.00404075009</v>
      </c>
      <c r="P312" s="174">
        <f t="shared" si="278"/>
        <v>122525.84180545597</v>
      </c>
      <c r="Q312" s="174">
        <f t="shared" si="278"/>
        <v>122693.28118045596</v>
      </c>
      <c r="R312" s="174">
        <f t="shared" si="278"/>
        <v>122821.92818045596</v>
      </c>
      <c r="S312" s="174">
        <f t="shared" si="278"/>
        <v>184413.81177068403</v>
      </c>
      <c r="T312" s="174">
        <f t="shared" si="278"/>
        <v>101366.52562069571</v>
      </c>
      <c r="U312" s="174">
        <f t="shared" si="278"/>
        <v>95121.801985830796</v>
      </c>
      <c r="V312" s="174">
        <f t="shared" si="278"/>
        <v>126957.57342718617</v>
      </c>
      <c r="W312" s="174">
        <f t="shared" si="278"/>
        <v>127069.5337405195</v>
      </c>
      <c r="X312" s="174">
        <f t="shared" si="278"/>
        <v>127197.74350551951</v>
      </c>
      <c r="Y312" s="174">
        <f t="shared" si="278"/>
        <v>127323.66439295266</v>
      </c>
      <c r="Z312" s="174">
        <f t="shared" si="278"/>
        <v>127445.47023717884</v>
      </c>
      <c r="AA312" s="174">
        <f t="shared" si="278"/>
        <v>127565.66634936066</v>
      </c>
      <c r="AB312" s="174">
        <f t="shared" si="278"/>
        <v>127639.05941136066</v>
      </c>
      <c r="AC312" s="174">
        <f t="shared" si="278"/>
        <v>127765.98385520681</v>
      </c>
      <c r="AD312" s="174">
        <f t="shared" si="278"/>
        <v>127888.54811663539</v>
      </c>
      <c r="AE312" s="174">
        <f t="shared" si="278"/>
        <v>191832.82217495309</v>
      </c>
      <c r="AF312" s="174">
        <f t="shared" si="278"/>
        <v>105467.58180810758</v>
      </c>
      <c r="AG312" s="174">
        <f t="shared" si="278"/>
        <v>98949.535063075862</v>
      </c>
      <c r="AH312" s="174">
        <f t="shared" si="278"/>
        <v>132092.83434716778</v>
      </c>
      <c r="AI312" s="174">
        <f t="shared" si="278"/>
        <v>132220.18439417108</v>
      </c>
      <c r="AJ312" s="174">
        <f t="shared" si="278"/>
        <v>132327.91853455512</v>
      </c>
      <c r="AK312" s="174">
        <f t="shared" si="278"/>
        <v>132461.79249287784</v>
      </c>
      <c r="AL312" s="174">
        <f t="shared" si="278"/>
        <v>132560.13792287785</v>
      </c>
      <c r="AM312" s="174">
        <f t="shared" si="278"/>
        <v>132635.37581925117</v>
      </c>
      <c r="AN312" s="174">
        <f t="shared" si="278"/>
        <v>132762.27168408351</v>
      </c>
      <c r="AO312" s="174">
        <f t="shared" si="278"/>
        <v>132892.27141252626</v>
      </c>
      <c r="AP312" s="174">
        <f t="shared" si="278"/>
        <v>133018.34639710272</v>
      </c>
      <c r="AQ312" s="174">
        <f t="shared" si="278"/>
        <v>199793.97424506038</v>
      </c>
      <c r="AR312" s="174">
        <f t="shared" si="278"/>
        <v>109865.95069224834</v>
      </c>
      <c r="AS312" s="174">
        <f t="shared" si="278"/>
        <v>103098.17658522108</v>
      </c>
      <c r="AT312" s="174">
        <f t="shared" si="278"/>
        <v>137573.63490329345</v>
      </c>
      <c r="AU312" s="174">
        <f t="shared" si="278"/>
        <v>137701.91075023887</v>
      </c>
      <c r="AV312" s="174">
        <f t="shared" si="278"/>
        <v>137838.24076345013</v>
      </c>
      <c r="AW312" s="174">
        <f t="shared" si="278"/>
        <v>137838.24076345013</v>
      </c>
      <c r="AX312" s="174">
        <f t="shared" si="278"/>
        <v>137974.25850313864</v>
      </c>
      <c r="AY312" s="174">
        <f t="shared" si="278"/>
        <v>138107.84797261647</v>
      </c>
      <c r="AZ312" s="174">
        <f t="shared" si="278"/>
        <v>138237.07179275603</v>
      </c>
      <c r="BA312" s="174">
        <f t="shared" si="278"/>
        <v>138364.58784816973</v>
      </c>
      <c r="BB312" s="174">
        <f t="shared" si="278"/>
        <v>138468.40478080412</v>
      </c>
      <c r="BC312" s="174">
        <f t="shared" si="278"/>
        <v>207904.58838492079</v>
      </c>
      <c r="BD312" s="174">
        <f t="shared" si="278"/>
        <v>114316.06397494162</v>
      </c>
      <c r="BE312" s="174">
        <f t="shared" si="278"/>
        <v>107281.48738452919</v>
      </c>
      <c r="BF312" s="174">
        <f t="shared" si="278"/>
        <v>143157.91058680226</v>
      </c>
      <c r="BG312" s="174">
        <f t="shared" si="278"/>
        <v>143262.12932608186</v>
      </c>
      <c r="BH312" s="174">
        <f t="shared" si="278"/>
        <v>143432.00162043594</v>
      </c>
      <c r="BI312" s="174">
        <f t="shared" si="278"/>
        <v>143567.10728530175</v>
      </c>
      <c r="BJ312" s="174">
        <f t="shared" si="278"/>
        <v>143681.40243483515</v>
      </c>
      <c r="BK312" s="174">
        <f t="shared" si="278"/>
        <v>143823.42931721974</v>
      </c>
      <c r="BL312" s="174">
        <f t="shared" si="278"/>
        <v>143927.76398390671</v>
      </c>
      <c r="BM312" s="174">
        <f t="shared" si="278"/>
        <v>144007.5838681692</v>
      </c>
      <c r="BN312" s="174">
        <f t="shared" si="278"/>
        <v>144142.20769116981</v>
      </c>
      <c r="BO312" s="174">
        <f t="shared" si="278"/>
        <v>216420.1866046121</v>
      </c>
      <c r="BP312" s="360"/>
      <c r="BQ312" s="360"/>
    </row>
    <row r="313" spans="2:69" s="22" customFormat="1" outlineLevel="1">
      <c r="E313" s="28"/>
      <c r="F313" s="29"/>
      <c r="G313" s="66"/>
    </row>
    <row r="314" spans="2:69" s="23" customFormat="1" ht="13.7" customHeight="1">
      <c r="B314" s="57" t="s">
        <v>1255</v>
      </c>
      <c r="C314" s="58"/>
      <c r="D314" s="58"/>
      <c r="E314" s="59"/>
      <c r="F314" s="60"/>
      <c r="G314" s="58"/>
      <c r="H314" s="58"/>
      <c r="I314" s="58"/>
      <c r="J314" s="58"/>
      <c r="K314" s="58"/>
      <c r="L314" s="58"/>
      <c r="M314" s="58"/>
      <c r="N314" s="58"/>
      <c r="O314" s="58"/>
      <c r="P314" s="58"/>
      <c r="Q314" s="58"/>
      <c r="R314" s="58"/>
      <c r="S314" s="58"/>
      <c r="T314" s="58"/>
      <c r="U314" s="58"/>
      <c r="V314" s="58"/>
      <c r="W314" s="58"/>
      <c r="X314" s="58"/>
      <c r="Y314" s="58"/>
      <c r="Z314" s="58"/>
      <c r="AA314" s="58"/>
      <c r="AB314" s="58"/>
      <c r="AC314" s="58"/>
      <c r="AD314" s="58"/>
      <c r="AE314" s="58"/>
      <c r="AF314" s="58"/>
      <c r="AG314" s="58"/>
      <c r="AH314" s="58"/>
      <c r="AI314" s="58"/>
      <c r="AJ314" s="58"/>
      <c r="AK314" s="58"/>
      <c r="AL314" s="58"/>
      <c r="AM314" s="58"/>
      <c r="AN314" s="58"/>
      <c r="AO314" s="58"/>
      <c r="AP314" s="58"/>
      <c r="AQ314" s="58"/>
      <c r="AR314" s="58"/>
      <c r="AS314" s="58"/>
      <c r="AT314" s="58"/>
      <c r="AU314" s="58"/>
      <c r="AV314" s="58"/>
      <c r="AW314" s="58"/>
      <c r="AX314" s="58"/>
      <c r="AY314" s="58"/>
      <c r="AZ314" s="58"/>
      <c r="BA314" s="58"/>
      <c r="BB314" s="58"/>
      <c r="BC314" s="58"/>
      <c r="BD314" s="58"/>
      <c r="BE314" s="58"/>
      <c r="BF314" s="58"/>
      <c r="BG314" s="58"/>
      <c r="BH314" s="58"/>
      <c r="BI314" s="58"/>
      <c r="BJ314" s="58"/>
      <c r="BK314" s="58"/>
      <c r="BL314" s="58"/>
      <c r="BM314" s="58"/>
      <c r="BN314" s="58"/>
      <c r="BO314" s="58"/>
      <c r="BP314" s="356"/>
      <c r="BQ314" s="356"/>
    </row>
    <row r="315" spans="2:69" s="22" customFormat="1" outlineLevel="1">
      <c r="E315" s="28"/>
      <c r="F315" s="29"/>
      <c r="G315" s="66"/>
    </row>
    <row r="316" spans="2:69" s="22" customFormat="1" outlineLevel="1">
      <c r="B316" s="32" t="s">
        <v>1256</v>
      </c>
      <c r="E316" s="28"/>
      <c r="F316" s="29"/>
      <c r="G316" s="66"/>
    </row>
    <row r="317" spans="2:69" s="22" customFormat="1" outlineLevel="1">
      <c r="B317" s="69" t="s">
        <v>1257</v>
      </c>
      <c r="D317" s="175">
        <f>Assumptions!D15</f>
        <v>0.1</v>
      </c>
      <c r="E317" s="147"/>
      <c r="F317" s="29"/>
      <c r="G317" s="66"/>
    </row>
    <row r="318" spans="2:69" s="22" customFormat="1" outlineLevel="1">
      <c r="B318" s="69" t="s">
        <v>1258</v>
      </c>
      <c r="D318" s="175">
        <f>Assumptions!D16</f>
        <v>0.7</v>
      </c>
      <c r="E318" s="147"/>
      <c r="F318" s="29"/>
      <c r="G318" s="66"/>
    </row>
    <row r="319" spans="2:69" s="22" customFormat="1" outlineLevel="1">
      <c r="E319" s="28"/>
      <c r="F319" s="29"/>
      <c r="G319" s="66"/>
    </row>
    <row r="320" spans="2:69" s="22" customFormat="1" ht="12" customHeight="1" outlineLevel="1">
      <c r="B320" s="69" t="s">
        <v>1259</v>
      </c>
      <c r="F320" s="29"/>
      <c r="G320" s="66"/>
    </row>
    <row r="321" spans="2:69" s="22" customFormat="1" outlineLevel="1">
      <c r="B321" s="69"/>
      <c r="C321" s="22" t="s">
        <v>156</v>
      </c>
      <c r="E321" s="28"/>
      <c r="F321" s="29" t="s">
        <v>119</v>
      </c>
      <c r="G321" s="177" cm="1">
        <f t="array" ref="G321:BO321">G309:BO309*(1-D317)</f>
        <v>130946.21999999994</v>
      </c>
      <c r="H321" s="148">
        <v>72022.857119999986</v>
      </c>
      <c r="I321" s="148">
        <v>67588.119247499984</v>
      </c>
      <c r="J321" s="148">
        <v>90098.681645999968</v>
      </c>
      <c r="K321" s="148">
        <v>90192.730009636347</v>
      </c>
      <c r="L321" s="148">
        <v>90260.030209636345</v>
      </c>
      <c r="M321" s="148">
        <v>90273.25540963636</v>
      </c>
      <c r="N321" s="148">
        <v>90361.731141944038</v>
      </c>
      <c r="O321" s="148">
        <v>90452.371175063003</v>
      </c>
      <c r="P321" s="148">
        <v>90540.3870985924</v>
      </c>
      <c r="Q321" s="148">
        <v>90664.431286092411</v>
      </c>
      <c r="R321" s="148">
        <v>90757.965586092396</v>
      </c>
      <c r="S321" s="148">
        <v>136267.96128913868</v>
      </c>
      <c r="T321" s="148">
        <v>74902.730928540142</v>
      </c>
      <c r="U321" s="148">
        <v>70289.002864470676</v>
      </c>
      <c r="V321" s="148">
        <v>93812.983247843251</v>
      </c>
      <c r="W321" s="148">
        <v>93896.624603843258</v>
      </c>
      <c r="X321" s="148">
        <v>93990.613713218248</v>
      </c>
      <c r="Y321" s="148">
        <v>94083.381929512369</v>
      </c>
      <c r="Z321" s="148">
        <v>94173.685926958802</v>
      </c>
      <c r="AA321" s="148">
        <v>94262.361735686078</v>
      </c>
      <c r="AB321" s="148">
        <v>94317.015060086065</v>
      </c>
      <c r="AC321" s="148">
        <v>94410.160447932212</v>
      </c>
      <c r="AD321" s="148">
        <v>94501.222041646499</v>
      </c>
      <c r="AE321" s="148">
        <v>141751.83306246978</v>
      </c>
      <c r="AF321" s="148">
        <v>77933.337986260754</v>
      </c>
      <c r="AG321" s="148">
        <v>73117.971184639449</v>
      </c>
      <c r="AH321" s="148">
        <v>97609.626216485907</v>
      </c>
      <c r="AI321" s="148">
        <v>97703.962431122884</v>
      </c>
      <c r="AJ321" s="148">
        <v>97783.787449745301</v>
      </c>
      <c r="AK321" s="148">
        <v>97883.563358727115</v>
      </c>
      <c r="AL321" s="148">
        <v>97954.962140907126</v>
      </c>
      <c r="AM321" s="148">
        <v>98011.084599627124</v>
      </c>
      <c r="AN321" s="148">
        <v>98104.948504032349</v>
      </c>
      <c r="AO321" s="148">
        <v>98201.108515168249</v>
      </c>
      <c r="AP321" s="148">
        <v>98294.484608440631</v>
      </c>
      <c r="AQ321" s="148">
        <v>147639.1246304391</v>
      </c>
      <c r="AR321" s="148">
        <v>81184.858427683386</v>
      </c>
      <c r="AS321" s="148">
        <v>76182.385448005982</v>
      </c>
      <c r="AT321" s="148">
        <v>101658.1988580692</v>
      </c>
      <c r="AU321" s="148">
        <v>101753.95232401481</v>
      </c>
      <c r="AV321" s="148">
        <v>101854.0087330958</v>
      </c>
      <c r="AW321" s="148">
        <v>101854.0087330958</v>
      </c>
      <c r="AX321" s="148">
        <v>101953.72177923174</v>
      </c>
      <c r="AY321" s="148">
        <v>102052.13957989817</v>
      </c>
      <c r="AZ321" s="148">
        <v>102147.94309078908</v>
      </c>
      <c r="BA321" s="148">
        <v>102242.01925626786</v>
      </c>
      <c r="BB321" s="148">
        <v>102319.32820540913</v>
      </c>
      <c r="BC321" s="148">
        <v>153627.21922106267</v>
      </c>
      <c r="BD321" s="148">
        <v>84472.156795128816</v>
      </c>
      <c r="BE321" s="148">
        <v>79273.276825848938</v>
      </c>
      <c r="BF321" s="148">
        <v>105783.013413593</v>
      </c>
      <c r="BG321" s="148">
        <v>105861.47308294162</v>
      </c>
      <c r="BH321" s="148">
        <v>105987.7180296329</v>
      </c>
      <c r="BI321" s="148">
        <v>106087.79931974129</v>
      </c>
      <c r="BJ321" s="148">
        <v>106172.4856819978</v>
      </c>
      <c r="BK321" s="148">
        <v>106278.33794383661</v>
      </c>
      <c r="BL321" s="148">
        <v>106354.08491185136</v>
      </c>
      <c r="BM321" s="148">
        <v>106413.62522830741</v>
      </c>
      <c r="BN321" s="148">
        <v>106513.20544449093</v>
      </c>
      <c r="BO321" s="148">
        <v>159922.83240045753</v>
      </c>
      <c r="BP321" s="148"/>
      <c r="BQ321" s="148"/>
    </row>
    <row r="322" spans="2:69" s="22" customFormat="1" outlineLevel="1">
      <c r="B322" s="69"/>
      <c r="C322" s="22" t="s">
        <v>157</v>
      </c>
      <c r="E322" s="28"/>
      <c r="F322" s="29" t="s">
        <v>119</v>
      </c>
      <c r="G322" s="92" cm="1">
        <f t="array" ref="G322:BO322">G310:BO310*(1-D318)</f>
        <v>6605.1000000000013</v>
      </c>
      <c r="H322" s="148">
        <v>3632.8924000000015</v>
      </c>
      <c r="I322" s="148">
        <v>3409.0811250000011</v>
      </c>
      <c r="J322" s="148">
        <v>4544.5145000000011</v>
      </c>
      <c r="K322" s="148">
        <v>4548.9669090909101</v>
      </c>
      <c r="L322" s="148">
        <v>4552.7779090909098</v>
      </c>
      <c r="M322" s="148">
        <v>4553.3959090909102</v>
      </c>
      <c r="N322" s="148">
        <v>4557.8455090909101</v>
      </c>
      <c r="O322" s="148">
        <v>4562.4079785442864</v>
      </c>
      <c r="P322" s="148">
        <v>4566.6794491325218</v>
      </c>
      <c r="Q322" s="148">
        <v>4573.2456991325216</v>
      </c>
      <c r="R322" s="148">
        <v>4578.6016991325214</v>
      </c>
      <c r="S322" s="148">
        <v>6875.2258486987839</v>
      </c>
      <c r="T322" s="148">
        <v>3778.471198485197</v>
      </c>
      <c r="U322" s="148">
        <v>3545.5562825084439</v>
      </c>
      <c r="V322" s="148">
        <v>4732.4445313838078</v>
      </c>
      <c r="W322" s="148">
        <v>4736.4759513838071</v>
      </c>
      <c r="X322" s="148">
        <v>4741.4887038838069</v>
      </c>
      <c r="Y322" s="148">
        <v>4746.25084003354</v>
      </c>
      <c r="Z322" s="148">
        <v>4750.6857809263965</v>
      </c>
      <c r="AA322" s="148">
        <v>4755.1357741991242</v>
      </c>
      <c r="AB322" s="148">
        <v>4757.2363561991242</v>
      </c>
      <c r="AC322" s="148">
        <v>4762.0960942760476</v>
      </c>
      <c r="AD322" s="148">
        <v>4766.5973414189048</v>
      </c>
      <c r="AE322" s="148">
        <v>7149.8960121283562</v>
      </c>
      <c r="AF322" s="148">
        <v>3931.0855175691786</v>
      </c>
      <c r="AG322" s="148">
        <v>3687.3595813211045</v>
      </c>
      <c r="AH322" s="148">
        <v>4922.4348039114711</v>
      </c>
      <c r="AI322" s="148">
        <v>4927.024257311471</v>
      </c>
      <c r="AJ322" s="148">
        <v>4930.9580745114708</v>
      </c>
      <c r="AK322" s="148">
        <v>4935.6816353160175</v>
      </c>
      <c r="AL322" s="148">
        <v>4939.7247252160169</v>
      </c>
      <c r="AM322" s="148">
        <v>4942.3472700160173</v>
      </c>
      <c r="AN322" s="148">
        <v>4947.0678506560171</v>
      </c>
      <c r="AO322" s="148">
        <v>4951.9081744991036</v>
      </c>
      <c r="AP322" s="148">
        <v>4956.4397776461628</v>
      </c>
      <c r="AQ322" s="148">
        <v>7445.1088684067454</v>
      </c>
      <c r="AR322" s="148">
        <v>4094.5285883610391</v>
      </c>
      <c r="AS322" s="148">
        <v>3842.6217354080236</v>
      </c>
      <c r="AT322" s="148">
        <v>5126.4669904690963</v>
      </c>
      <c r="AU322" s="148">
        <v>5131.0494191955249</v>
      </c>
      <c r="AV322" s="148">
        <v>5136.3922757229948</v>
      </c>
      <c r="AW322" s="148">
        <v>5136.3922757229948</v>
      </c>
      <c r="AX322" s="148">
        <v>5141.7103048502458</v>
      </c>
      <c r="AY322" s="148">
        <v>5146.762455091497</v>
      </c>
      <c r="AZ322" s="148">
        <v>5151.4674838847295</v>
      </c>
      <c r="BA322" s="148">
        <v>5156.1884817477658</v>
      </c>
      <c r="BB322" s="148">
        <v>5159.1598250061661</v>
      </c>
      <c r="BC322" s="148">
        <v>7746.4732816979622</v>
      </c>
      <c r="BD322" s="148">
        <v>4259.3308968420843</v>
      </c>
      <c r="BE322" s="148">
        <v>3997.6612737903397</v>
      </c>
      <c r="BF322" s="148">
        <v>5334.736200610223</v>
      </c>
      <c r="BG322" s="148">
        <v>5337.5184583885439</v>
      </c>
      <c r="BH322" s="148">
        <v>5343.836502093478</v>
      </c>
      <c r="BI322" s="148">
        <v>5348.705453205539</v>
      </c>
      <c r="BJ322" s="148">
        <v>5352.8788398730185</v>
      </c>
      <c r="BK322" s="148">
        <v>5357.8900655305606</v>
      </c>
      <c r="BL322" s="148">
        <v>5362.1793796054708</v>
      </c>
      <c r="BM322" s="148">
        <v>5364.9616373837916</v>
      </c>
      <c r="BN322" s="148">
        <v>5369.9697013847672</v>
      </c>
      <c r="BO322" s="148">
        <v>8062.6572014248468</v>
      </c>
      <c r="BP322" s="148"/>
      <c r="BQ322" s="148"/>
    </row>
    <row r="323" spans="2:69" s="31" customFormat="1" ht="12" customHeight="1" outlineLevel="1">
      <c r="C323" s="70" t="s">
        <v>1174</v>
      </c>
      <c r="D323" s="70"/>
      <c r="E323" s="71"/>
      <c r="F323" s="80" t="s">
        <v>119</v>
      </c>
      <c r="G323" s="168">
        <f>SUM(G321:G322)</f>
        <v>137551.31999999995</v>
      </c>
      <c r="H323" s="169">
        <f>SUM(H321:H322)</f>
        <v>75655.749519999983</v>
      </c>
      <c r="I323" s="169">
        <f t="shared" ref="I323:BO323" si="279">SUM(I321:I322)</f>
        <v>70997.200372499981</v>
      </c>
      <c r="J323" s="169">
        <f t="shared" si="279"/>
        <v>94643.196145999973</v>
      </c>
      <c r="K323" s="169">
        <f t="shared" si="279"/>
        <v>94741.696918727263</v>
      </c>
      <c r="L323" s="169">
        <f t="shared" si="279"/>
        <v>94812.808118727262</v>
      </c>
      <c r="M323" s="169">
        <f t="shared" si="279"/>
        <v>94826.651318727265</v>
      </c>
      <c r="N323" s="169">
        <f t="shared" si="279"/>
        <v>94919.576651034949</v>
      </c>
      <c r="O323" s="169">
        <f t="shared" si="279"/>
        <v>95014.779153607291</v>
      </c>
      <c r="P323" s="169">
        <f t="shared" si="279"/>
        <v>95107.066547724928</v>
      </c>
      <c r="Q323" s="169">
        <f t="shared" si="279"/>
        <v>95237.676985224927</v>
      </c>
      <c r="R323" s="169">
        <f t="shared" si="279"/>
        <v>95336.567285224912</v>
      </c>
      <c r="S323" s="169">
        <f t="shared" si="279"/>
        <v>143143.18713783746</v>
      </c>
      <c r="T323" s="169">
        <f t="shared" si="279"/>
        <v>78681.202127025346</v>
      </c>
      <c r="U323" s="169">
        <f t="shared" si="279"/>
        <v>73834.559146979125</v>
      </c>
      <c r="V323" s="169">
        <f t="shared" si="279"/>
        <v>98545.427779227059</v>
      </c>
      <c r="W323" s="169">
        <f t="shared" si="279"/>
        <v>98633.100555227065</v>
      </c>
      <c r="X323" s="169">
        <f t="shared" si="279"/>
        <v>98732.102417102054</v>
      </c>
      <c r="Y323" s="169">
        <f t="shared" si="279"/>
        <v>98829.632769545904</v>
      </c>
      <c r="Z323" s="169">
        <f t="shared" si="279"/>
        <v>98924.371707885206</v>
      </c>
      <c r="AA323" s="169">
        <f t="shared" si="279"/>
        <v>99017.497509885201</v>
      </c>
      <c r="AB323" s="169">
        <f t="shared" si="279"/>
        <v>99074.251416285188</v>
      </c>
      <c r="AC323" s="169">
        <f t="shared" si="279"/>
        <v>99172.256542208255</v>
      </c>
      <c r="AD323" s="169">
        <f t="shared" si="279"/>
        <v>99267.819383065405</v>
      </c>
      <c r="AE323" s="169">
        <f t="shared" si="279"/>
        <v>148901.72907459814</v>
      </c>
      <c r="AF323" s="169">
        <f t="shared" si="279"/>
        <v>81864.423503829938</v>
      </c>
      <c r="AG323" s="169">
        <f t="shared" si="279"/>
        <v>76805.330765960549</v>
      </c>
      <c r="AH323" s="169">
        <f t="shared" si="279"/>
        <v>102532.06102039738</v>
      </c>
      <c r="AI323" s="169">
        <f t="shared" si="279"/>
        <v>102630.98668843435</v>
      </c>
      <c r="AJ323" s="169">
        <f t="shared" si="279"/>
        <v>102714.74552425677</v>
      </c>
      <c r="AK323" s="169">
        <f t="shared" si="279"/>
        <v>102819.24499404314</v>
      </c>
      <c r="AL323" s="169">
        <f t="shared" si="279"/>
        <v>102894.68686612314</v>
      </c>
      <c r="AM323" s="169">
        <f t="shared" si="279"/>
        <v>102953.43186964314</v>
      </c>
      <c r="AN323" s="169">
        <f t="shared" si="279"/>
        <v>103052.01635468837</v>
      </c>
      <c r="AO323" s="169">
        <f t="shared" si="279"/>
        <v>103153.01668966735</v>
      </c>
      <c r="AP323" s="169">
        <f t="shared" si="279"/>
        <v>103250.92438608679</v>
      </c>
      <c r="AQ323" s="169">
        <f t="shared" si="279"/>
        <v>155084.23349884583</v>
      </c>
      <c r="AR323" s="169">
        <f t="shared" si="279"/>
        <v>85279.38701604442</v>
      </c>
      <c r="AS323" s="169">
        <f t="shared" si="279"/>
        <v>80025.007183414011</v>
      </c>
      <c r="AT323" s="169">
        <f t="shared" si="279"/>
        <v>106784.66584853829</v>
      </c>
      <c r="AU323" s="169">
        <f t="shared" si="279"/>
        <v>106885.00174321033</v>
      </c>
      <c r="AV323" s="169">
        <f t="shared" si="279"/>
        <v>106990.40100881879</v>
      </c>
      <c r="AW323" s="169">
        <f t="shared" si="279"/>
        <v>106990.40100881879</v>
      </c>
      <c r="AX323" s="169">
        <f t="shared" si="279"/>
        <v>107095.43208408199</v>
      </c>
      <c r="AY323" s="169">
        <f t="shared" si="279"/>
        <v>107198.90203498966</v>
      </c>
      <c r="AZ323" s="169">
        <f t="shared" si="279"/>
        <v>107299.41057467381</v>
      </c>
      <c r="BA323" s="169">
        <f t="shared" si="279"/>
        <v>107398.20773801563</v>
      </c>
      <c r="BB323" s="169">
        <f t="shared" si="279"/>
        <v>107478.48803041529</v>
      </c>
      <c r="BC323" s="169">
        <f t="shared" si="279"/>
        <v>161373.69250276062</v>
      </c>
      <c r="BD323" s="169">
        <f t="shared" si="279"/>
        <v>88731.487691970906</v>
      </c>
      <c r="BE323" s="169">
        <f t="shared" si="279"/>
        <v>83270.938099639272</v>
      </c>
      <c r="BF323" s="169">
        <f t="shared" si="279"/>
        <v>111117.74961420322</v>
      </c>
      <c r="BG323" s="169">
        <f t="shared" si="279"/>
        <v>111198.99154133016</v>
      </c>
      <c r="BH323" s="169">
        <f t="shared" si="279"/>
        <v>111331.55453172637</v>
      </c>
      <c r="BI323" s="169">
        <f t="shared" si="279"/>
        <v>111436.50477294682</v>
      </c>
      <c r="BJ323" s="169">
        <f t="shared" si="279"/>
        <v>111525.36452187083</v>
      </c>
      <c r="BK323" s="169">
        <f t="shared" si="279"/>
        <v>111636.22800936717</v>
      </c>
      <c r="BL323" s="169">
        <f t="shared" si="279"/>
        <v>111716.26429145683</v>
      </c>
      <c r="BM323" s="169">
        <f t="shared" si="279"/>
        <v>111778.58686569121</v>
      </c>
      <c r="BN323" s="169">
        <f t="shared" si="279"/>
        <v>111883.17514587569</v>
      </c>
      <c r="BO323" s="169">
        <f t="shared" si="279"/>
        <v>167985.48960188238</v>
      </c>
      <c r="BP323" s="358"/>
      <c r="BQ323" s="358"/>
    </row>
    <row r="324" spans="2:69" s="22" customFormat="1" outlineLevel="1">
      <c r="E324" s="28"/>
      <c r="F324" s="29"/>
      <c r="G324" s="66"/>
    </row>
    <row r="325" spans="2:69" s="22" customFormat="1" outlineLevel="1">
      <c r="B325" s="32" t="s">
        <v>1260</v>
      </c>
      <c r="E325" s="28"/>
      <c r="F325" s="29"/>
      <c r="G325" s="66"/>
    </row>
    <row r="326" spans="2:69" s="22" customFormat="1" outlineLevel="1">
      <c r="B326" s="69" t="s">
        <v>1261</v>
      </c>
      <c r="D326" s="170">
        <f>Assumptions!D34</f>
        <v>15</v>
      </c>
      <c r="E326" s="171" t="s">
        <v>1262</v>
      </c>
      <c r="F326" s="29" t="s">
        <v>1248</v>
      </c>
      <c r="G326" s="92" cm="1">
        <f t="array" ref="G326:BO326">D326*_xlfn.ANCHORARRAY(G118)</f>
        <v>15</v>
      </c>
      <c r="H326" s="141">
        <v>15.450000000000001</v>
      </c>
      <c r="I326" s="141">
        <v>15.450000000000001</v>
      </c>
      <c r="J326" s="141">
        <v>15.450000000000001</v>
      </c>
      <c r="K326" s="141">
        <v>15.450000000000001</v>
      </c>
      <c r="L326" s="141">
        <v>15.450000000000001</v>
      </c>
      <c r="M326" s="141">
        <v>15.450000000000001</v>
      </c>
      <c r="N326" s="141">
        <v>15.450000000000001</v>
      </c>
      <c r="O326" s="141">
        <v>15.450000000000001</v>
      </c>
      <c r="P326" s="141">
        <v>15.450000000000001</v>
      </c>
      <c r="Q326" s="141">
        <v>15.450000000000001</v>
      </c>
      <c r="R326" s="141">
        <v>15.450000000000001</v>
      </c>
      <c r="S326" s="141">
        <v>15.450000000000001</v>
      </c>
      <c r="T326" s="141">
        <v>15.913499999999999</v>
      </c>
      <c r="U326" s="141">
        <v>15.913499999999999</v>
      </c>
      <c r="V326" s="141">
        <v>15.913499999999999</v>
      </c>
      <c r="W326" s="141">
        <v>15.913499999999999</v>
      </c>
      <c r="X326" s="141">
        <v>15.913499999999999</v>
      </c>
      <c r="Y326" s="141">
        <v>15.913499999999999</v>
      </c>
      <c r="Z326" s="141">
        <v>15.913499999999999</v>
      </c>
      <c r="AA326" s="141">
        <v>15.913499999999999</v>
      </c>
      <c r="AB326" s="141">
        <v>15.913499999999999</v>
      </c>
      <c r="AC326" s="141">
        <v>15.913499999999999</v>
      </c>
      <c r="AD326" s="141">
        <v>15.913499999999999</v>
      </c>
      <c r="AE326" s="141">
        <v>15.913499999999999</v>
      </c>
      <c r="AF326" s="141">
        <v>16.390905</v>
      </c>
      <c r="AG326" s="141">
        <v>16.390905</v>
      </c>
      <c r="AH326" s="141">
        <v>16.390905</v>
      </c>
      <c r="AI326" s="141">
        <v>16.390905</v>
      </c>
      <c r="AJ326" s="141">
        <v>16.390905</v>
      </c>
      <c r="AK326" s="141">
        <v>16.390905</v>
      </c>
      <c r="AL326" s="141">
        <v>16.390905</v>
      </c>
      <c r="AM326" s="141">
        <v>16.390905</v>
      </c>
      <c r="AN326" s="141">
        <v>16.390905</v>
      </c>
      <c r="AO326" s="141">
        <v>16.390905</v>
      </c>
      <c r="AP326" s="141">
        <v>16.390905</v>
      </c>
      <c r="AQ326" s="141">
        <v>16.390905</v>
      </c>
      <c r="AR326" s="141">
        <v>16.882632149999999</v>
      </c>
      <c r="AS326" s="141">
        <v>16.882632149999999</v>
      </c>
      <c r="AT326" s="141">
        <v>16.882632149999999</v>
      </c>
      <c r="AU326" s="141">
        <v>16.882632149999999</v>
      </c>
      <c r="AV326" s="141">
        <v>16.882632149999999</v>
      </c>
      <c r="AW326" s="141">
        <v>16.882632149999999</v>
      </c>
      <c r="AX326" s="141">
        <v>16.882632149999999</v>
      </c>
      <c r="AY326" s="141">
        <v>16.882632149999999</v>
      </c>
      <c r="AZ326" s="141">
        <v>16.882632149999999</v>
      </c>
      <c r="BA326" s="141">
        <v>16.882632149999999</v>
      </c>
      <c r="BB326" s="141">
        <v>16.882632149999999</v>
      </c>
      <c r="BC326" s="141">
        <v>16.882632149999999</v>
      </c>
      <c r="BD326" s="141">
        <v>17.389111114499997</v>
      </c>
      <c r="BE326" s="141">
        <v>17.389111114499997</v>
      </c>
      <c r="BF326" s="141">
        <v>17.389111114499997</v>
      </c>
      <c r="BG326" s="141">
        <v>17.389111114499997</v>
      </c>
      <c r="BH326" s="141">
        <v>17.389111114499997</v>
      </c>
      <c r="BI326" s="141">
        <v>17.389111114499997</v>
      </c>
      <c r="BJ326" s="141">
        <v>17.389111114499997</v>
      </c>
      <c r="BK326" s="141">
        <v>17.389111114499997</v>
      </c>
      <c r="BL326" s="141">
        <v>17.389111114499997</v>
      </c>
      <c r="BM326" s="141">
        <v>17.389111114499997</v>
      </c>
      <c r="BN326" s="141">
        <v>17.389111114499997</v>
      </c>
      <c r="BO326" s="141">
        <v>17.389111114499997</v>
      </c>
      <c r="BP326" s="141"/>
      <c r="BQ326" s="141"/>
    </row>
    <row r="327" spans="2:69" s="22" customFormat="1" outlineLevel="1">
      <c r="B327" s="69"/>
      <c r="D327" s="146"/>
      <c r="E327" s="147"/>
      <c r="F327" s="29"/>
      <c r="G327" s="92"/>
      <c r="H327" s="141"/>
      <c r="I327" s="141"/>
      <c r="J327" s="141"/>
      <c r="K327" s="141"/>
      <c r="L327" s="141"/>
      <c r="M327" s="141"/>
      <c r="N327" s="141"/>
      <c r="O327" s="141"/>
      <c r="P327" s="141"/>
      <c r="Q327" s="141"/>
      <c r="R327" s="141"/>
      <c r="S327" s="141"/>
      <c r="T327" s="141"/>
      <c r="U327" s="141"/>
      <c r="V327" s="141"/>
      <c r="W327" s="141"/>
      <c r="X327" s="141"/>
      <c r="Y327" s="141"/>
      <c r="Z327" s="141"/>
      <c r="AA327" s="141"/>
      <c r="AB327" s="141"/>
      <c r="AC327" s="141"/>
      <c r="AD327" s="141"/>
      <c r="AE327" s="141"/>
      <c r="AF327" s="141"/>
      <c r="AG327" s="141"/>
      <c r="AH327" s="141"/>
      <c r="AI327" s="141"/>
      <c r="AJ327" s="141"/>
      <c r="AK327" s="141"/>
      <c r="AL327" s="141"/>
      <c r="AM327" s="141"/>
      <c r="AN327" s="141"/>
      <c r="AO327" s="141"/>
      <c r="AP327" s="141"/>
      <c r="AQ327" s="141"/>
      <c r="AR327" s="141"/>
      <c r="AS327" s="141"/>
      <c r="AT327" s="141"/>
      <c r="AU327" s="141"/>
      <c r="AV327" s="141"/>
      <c r="AW327" s="141"/>
      <c r="AX327" s="141"/>
      <c r="AY327" s="141"/>
      <c r="AZ327" s="141"/>
      <c r="BA327" s="141"/>
      <c r="BB327" s="141"/>
      <c r="BC327" s="141"/>
      <c r="BD327" s="141"/>
      <c r="BE327" s="141"/>
      <c r="BF327" s="141"/>
      <c r="BG327" s="141"/>
      <c r="BH327" s="141"/>
      <c r="BI327" s="141"/>
      <c r="BJ327" s="141"/>
      <c r="BK327" s="141"/>
      <c r="BL327" s="141"/>
      <c r="BM327" s="141"/>
      <c r="BN327" s="141"/>
      <c r="BO327" s="141"/>
      <c r="BP327" s="141"/>
      <c r="BQ327" s="141"/>
    </row>
    <row r="328" spans="2:69" s="22" customFormat="1" outlineLevel="1">
      <c r="B328" s="69" t="s">
        <v>1263</v>
      </c>
      <c r="D328" s="176">
        <f>Assumptions!D40</f>
        <v>3</v>
      </c>
      <c r="E328" s="171" t="s">
        <v>1264</v>
      </c>
      <c r="F328" s="29"/>
      <c r="G328" s="92"/>
      <c r="H328" s="141"/>
      <c r="I328" s="141"/>
      <c r="J328" s="141"/>
      <c r="K328" s="141"/>
      <c r="L328" s="141"/>
      <c r="M328" s="141"/>
      <c r="N328" s="141"/>
      <c r="O328" s="141"/>
      <c r="P328" s="141"/>
      <c r="Q328" s="141"/>
      <c r="R328" s="141"/>
      <c r="S328" s="141"/>
      <c r="T328" s="141"/>
      <c r="U328" s="141"/>
      <c r="V328" s="141"/>
      <c r="W328" s="141"/>
      <c r="X328" s="141"/>
      <c r="Y328" s="141"/>
      <c r="Z328" s="141"/>
      <c r="AA328" s="141"/>
      <c r="AB328" s="141"/>
      <c r="AC328" s="141"/>
      <c r="AD328" s="141"/>
      <c r="AE328" s="141"/>
      <c r="AF328" s="141"/>
      <c r="AG328" s="141"/>
      <c r="AH328" s="141"/>
      <c r="AI328" s="141"/>
      <c r="AJ328" s="141"/>
      <c r="AK328" s="141"/>
      <c r="AL328" s="141"/>
      <c r="AM328" s="141"/>
      <c r="AN328" s="141"/>
      <c r="AO328" s="141"/>
      <c r="AP328" s="141"/>
      <c r="AQ328" s="141"/>
      <c r="AR328" s="141"/>
      <c r="AS328" s="141"/>
      <c r="AT328" s="141"/>
      <c r="AU328" s="141"/>
      <c r="AV328" s="141"/>
      <c r="AW328" s="141"/>
      <c r="AX328" s="141"/>
      <c r="AY328" s="141"/>
      <c r="AZ328" s="141"/>
      <c r="BA328" s="141"/>
      <c r="BB328" s="141"/>
      <c r="BC328" s="141"/>
      <c r="BD328" s="141"/>
      <c r="BE328" s="141"/>
      <c r="BF328" s="141"/>
      <c r="BG328" s="141"/>
      <c r="BH328" s="141"/>
      <c r="BI328" s="141"/>
      <c r="BJ328" s="141"/>
      <c r="BK328" s="141"/>
      <c r="BL328" s="141"/>
      <c r="BM328" s="141"/>
      <c r="BN328" s="141"/>
      <c r="BO328" s="141"/>
      <c r="BP328" s="141"/>
      <c r="BQ328" s="141"/>
    </row>
    <row r="329" spans="2:69" s="22" customFormat="1" outlineLevel="1">
      <c r="E329" s="28"/>
      <c r="F329" s="29"/>
      <c r="G329" s="66"/>
    </row>
    <row r="330" spans="2:69" s="22" customFormat="1" outlineLevel="1">
      <c r="B330" s="69" t="s">
        <v>1265</v>
      </c>
      <c r="E330" s="28"/>
      <c r="F330" s="29"/>
      <c r="G330" s="66"/>
    </row>
    <row r="331" spans="2:69" s="22" customFormat="1" outlineLevel="1">
      <c r="C331" s="22" t="str" cm="1">
        <f t="array" ref="C331:C356">_xlfn._xlws.SORT(_xlfn.UNIQUE('Existing Stores'!D9:D1008),,1)</f>
        <v>Axisbyte</v>
      </c>
      <c r="D331" s="142">
        <f>SUMIFS('Existing Stores'!$I$9:$I$1008,'Existing Stores'!$D$9:$D$1008,Model!C331)</f>
        <v>26</v>
      </c>
      <c r="E331" s="65" t="s">
        <v>1266</v>
      </c>
      <c r="F331" s="29" t="s">
        <v>1267</v>
      </c>
      <c r="G331" s="153" cm="1">
        <f t="array" ref="G331:BO356">D331:D356+(G127:BO152-_xlfn.ANCHORARRAY(G127))*D328</f>
        <v>26</v>
      </c>
      <c r="H331" s="140">
        <v>29</v>
      </c>
      <c r="I331" s="140">
        <v>29</v>
      </c>
      <c r="J331" s="140">
        <v>29</v>
      </c>
      <c r="K331" s="140">
        <v>29</v>
      </c>
      <c r="L331" s="140">
        <v>29</v>
      </c>
      <c r="M331" s="140">
        <v>29</v>
      </c>
      <c r="N331" s="140">
        <v>29</v>
      </c>
      <c r="O331" s="140">
        <v>29</v>
      </c>
      <c r="P331" s="140">
        <v>29</v>
      </c>
      <c r="Q331" s="140">
        <v>29</v>
      </c>
      <c r="R331" s="140">
        <v>29</v>
      </c>
      <c r="S331" s="140">
        <v>29</v>
      </c>
      <c r="T331" s="140">
        <v>29</v>
      </c>
      <c r="U331" s="140">
        <v>29</v>
      </c>
      <c r="V331" s="140">
        <v>29</v>
      </c>
      <c r="W331" s="140">
        <v>29</v>
      </c>
      <c r="X331" s="140">
        <v>29</v>
      </c>
      <c r="Y331" s="140">
        <v>29</v>
      </c>
      <c r="Z331" s="140">
        <v>29</v>
      </c>
      <c r="AA331" s="140">
        <v>29</v>
      </c>
      <c r="AB331" s="140">
        <v>29</v>
      </c>
      <c r="AC331" s="140">
        <v>29</v>
      </c>
      <c r="AD331" s="140">
        <v>29</v>
      </c>
      <c r="AE331" s="140">
        <v>29</v>
      </c>
      <c r="AF331" s="140">
        <v>29</v>
      </c>
      <c r="AG331" s="140">
        <v>29</v>
      </c>
      <c r="AH331" s="140">
        <v>32</v>
      </c>
      <c r="AI331" s="140">
        <v>32</v>
      </c>
      <c r="AJ331" s="140">
        <v>32</v>
      </c>
      <c r="AK331" s="140">
        <v>32</v>
      </c>
      <c r="AL331" s="140">
        <v>32</v>
      </c>
      <c r="AM331" s="140">
        <v>32</v>
      </c>
      <c r="AN331" s="140">
        <v>32</v>
      </c>
      <c r="AO331" s="140">
        <v>32</v>
      </c>
      <c r="AP331" s="140">
        <v>32</v>
      </c>
      <c r="AQ331" s="140">
        <v>32</v>
      </c>
      <c r="AR331" s="140">
        <v>32</v>
      </c>
      <c r="AS331" s="140">
        <v>32</v>
      </c>
      <c r="AT331" s="140">
        <v>32</v>
      </c>
      <c r="AU331" s="140">
        <v>32</v>
      </c>
      <c r="AV331" s="140">
        <v>32</v>
      </c>
      <c r="AW331" s="140">
        <v>32</v>
      </c>
      <c r="AX331" s="140">
        <v>32</v>
      </c>
      <c r="AY331" s="140">
        <v>32</v>
      </c>
      <c r="AZ331" s="140">
        <v>32</v>
      </c>
      <c r="BA331" s="140">
        <v>32</v>
      </c>
      <c r="BB331" s="140">
        <v>32</v>
      </c>
      <c r="BC331" s="140">
        <v>32</v>
      </c>
      <c r="BD331" s="140">
        <v>32</v>
      </c>
      <c r="BE331" s="140">
        <v>32</v>
      </c>
      <c r="BF331" s="140">
        <v>32</v>
      </c>
      <c r="BG331" s="140">
        <v>32</v>
      </c>
      <c r="BH331" s="140">
        <v>35</v>
      </c>
      <c r="BI331" s="140">
        <v>35</v>
      </c>
      <c r="BJ331" s="140">
        <v>35</v>
      </c>
      <c r="BK331" s="140">
        <v>35</v>
      </c>
      <c r="BL331" s="140">
        <v>35</v>
      </c>
      <c r="BM331" s="140">
        <v>35</v>
      </c>
      <c r="BN331" s="140">
        <v>35</v>
      </c>
      <c r="BO331" s="140">
        <v>35</v>
      </c>
      <c r="BP331" s="140"/>
      <c r="BQ331" s="140"/>
    </row>
    <row r="332" spans="2:69" s="22" customFormat="1" outlineLevel="1">
      <c r="C332" s="22" t="str">
        <v>Bootwell</v>
      </c>
      <c r="D332" s="143">
        <f>SUMIFS('Existing Stores'!$I$9:$I$1008,'Existing Stores'!$D$9:$D$1008,Model!C332)</f>
        <v>106</v>
      </c>
      <c r="E332" s="67" t="s">
        <v>1268</v>
      </c>
      <c r="F332" s="29" t="s">
        <v>1267</v>
      </c>
      <c r="G332" s="153">
        <v>106</v>
      </c>
      <c r="H332" s="140">
        <v>106</v>
      </c>
      <c r="I332" s="140">
        <v>109</v>
      </c>
      <c r="J332" s="140">
        <v>109</v>
      </c>
      <c r="K332" s="140">
        <v>109</v>
      </c>
      <c r="L332" s="140">
        <v>109</v>
      </c>
      <c r="M332" s="140">
        <v>109</v>
      </c>
      <c r="N332" s="140">
        <v>109</v>
      </c>
      <c r="O332" s="140">
        <v>109</v>
      </c>
      <c r="P332" s="140">
        <v>109</v>
      </c>
      <c r="Q332" s="140">
        <v>109</v>
      </c>
      <c r="R332" s="140">
        <v>109</v>
      </c>
      <c r="S332" s="140">
        <v>109</v>
      </c>
      <c r="T332" s="140">
        <v>109</v>
      </c>
      <c r="U332" s="140">
        <v>109</v>
      </c>
      <c r="V332" s="140">
        <v>109</v>
      </c>
      <c r="W332" s="140">
        <v>109</v>
      </c>
      <c r="X332" s="140">
        <v>109</v>
      </c>
      <c r="Y332" s="140">
        <v>109</v>
      </c>
      <c r="Z332" s="140">
        <v>109</v>
      </c>
      <c r="AA332" s="140">
        <v>109</v>
      </c>
      <c r="AB332" s="140">
        <v>109</v>
      </c>
      <c r="AC332" s="140">
        <v>109</v>
      </c>
      <c r="AD332" s="140">
        <v>109</v>
      </c>
      <c r="AE332" s="140">
        <v>109</v>
      </c>
      <c r="AF332" s="140">
        <v>109</v>
      </c>
      <c r="AG332" s="140">
        <v>109</v>
      </c>
      <c r="AH332" s="140">
        <v>109</v>
      </c>
      <c r="AI332" s="140">
        <v>112</v>
      </c>
      <c r="AJ332" s="140">
        <v>112</v>
      </c>
      <c r="AK332" s="140">
        <v>112</v>
      </c>
      <c r="AL332" s="140">
        <v>112</v>
      </c>
      <c r="AM332" s="140">
        <v>112</v>
      </c>
      <c r="AN332" s="140">
        <v>112</v>
      </c>
      <c r="AO332" s="140">
        <v>112</v>
      </c>
      <c r="AP332" s="140">
        <v>112</v>
      </c>
      <c r="AQ332" s="140">
        <v>112</v>
      </c>
      <c r="AR332" s="140">
        <v>112</v>
      </c>
      <c r="AS332" s="140">
        <v>112</v>
      </c>
      <c r="AT332" s="140">
        <v>112</v>
      </c>
      <c r="AU332" s="140">
        <v>112</v>
      </c>
      <c r="AV332" s="140">
        <v>112</v>
      </c>
      <c r="AW332" s="140">
        <v>112</v>
      </c>
      <c r="AX332" s="140">
        <v>112</v>
      </c>
      <c r="AY332" s="140">
        <v>112</v>
      </c>
      <c r="AZ332" s="140">
        <v>112</v>
      </c>
      <c r="BA332" s="140">
        <v>112</v>
      </c>
      <c r="BB332" s="140">
        <v>112</v>
      </c>
      <c r="BC332" s="140">
        <v>112</v>
      </c>
      <c r="BD332" s="140">
        <v>112</v>
      </c>
      <c r="BE332" s="140">
        <v>112</v>
      </c>
      <c r="BF332" s="140">
        <v>112</v>
      </c>
      <c r="BG332" s="140">
        <v>112</v>
      </c>
      <c r="BH332" s="140">
        <v>112</v>
      </c>
      <c r="BI332" s="140">
        <v>115</v>
      </c>
      <c r="BJ332" s="140">
        <v>115</v>
      </c>
      <c r="BK332" s="140">
        <v>115</v>
      </c>
      <c r="BL332" s="140">
        <v>115</v>
      </c>
      <c r="BM332" s="140">
        <v>115</v>
      </c>
      <c r="BN332" s="140">
        <v>115</v>
      </c>
      <c r="BO332" s="140">
        <v>115</v>
      </c>
      <c r="BP332" s="140"/>
      <c r="BQ332" s="140"/>
    </row>
    <row r="333" spans="2:69" s="22" customFormat="1" outlineLevel="1">
      <c r="C333" s="22" t="str">
        <v>Cacheford</v>
      </c>
      <c r="D333" s="143">
        <f>SUMIFS('Existing Stores'!$I$9:$I$1008,'Existing Stores'!$D$9:$D$1008,Model!C333)</f>
        <v>18</v>
      </c>
      <c r="E333" s="67" t="s">
        <v>1268</v>
      </c>
      <c r="F333" s="29" t="s">
        <v>1267</v>
      </c>
      <c r="G333" s="153">
        <v>18</v>
      </c>
      <c r="H333" s="140">
        <v>18</v>
      </c>
      <c r="I333" s="140">
        <v>18</v>
      </c>
      <c r="J333" s="140">
        <v>21</v>
      </c>
      <c r="K333" s="140">
        <v>21</v>
      </c>
      <c r="L333" s="140">
        <v>21</v>
      </c>
      <c r="M333" s="140">
        <v>21</v>
      </c>
      <c r="N333" s="140">
        <v>21</v>
      </c>
      <c r="O333" s="140">
        <v>21</v>
      </c>
      <c r="P333" s="140">
        <v>21</v>
      </c>
      <c r="Q333" s="140">
        <v>21</v>
      </c>
      <c r="R333" s="140">
        <v>21</v>
      </c>
      <c r="S333" s="140">
        <v>21</v>
      </c>
      <c r="T333" s="140">
        <v>21</v>
      </c>
      <c r="U333" s="140">
        <v>21</v>
      </c>
      <c r="V333" s="140">
        <v>21</v>
      </c>
      <c r="W333" s="140">
        <v>21</v>
      </c>
      <c r="X333" s="140">
        <v>21</v>
      </c>
      <c r="Y333" s="140">
        <v>21</v>
      </c>
      <c r="Z333" s="140">
        <v>21</v>
      </c>
      <c r="AA333" s="140">
        <v>21</v>
      </c>
      <c r="AB333" s="140">
        <v>21</v>
      </c>
      <c r="AC333" s="140">
        <v>21</v>
      </c>
      <c r="AD333" s="140">
        <v>21</v>
      </c>
      <c r="AE333" s="140">
        <v>21</v>
      </c>
      <c r="AF333" s="140">
        <v>21</v>
      </c>
      <c r="AG333" s="140">
        <v>21</v>
      </c>
      <c r="AH333" s="140">
        <v>21</v>
      </c>
      <c r="AI333" s="140">
        <v>21</v>
      </c>
      <c r="AJ333" s="140">
        <v>24</v>
      </c>
      <c r="AK333" s="140">
        <v>24</v>
      </c>
      <c r="AL333" s="140">
        <v>24</v>
      </c>
      <c r="AM333" s="140">
        <v>24</v>
      </c>
      <c r="AN333" s="140">
        <v>24</v>
      </c>
      <c r="AO333" s="140">
        <v>24</v>
      </c>
      <c r="AP333" s="140">
        <v>24</v>
      </c>
      <c r="AQ333" s="140">
        <v>24</v>
      </c>
      <c r="AR333" s="140">
        <v>24</v>
      </c>
      <c r="AS333" s="140">
        <v>24</v>
      </c>
      <c r="AT333" s="140">
        <v>24</v>
      </c>
      <c r="AU333" s="140">
        <v>24</v>
      </c>
      <c r="AV333" s="140">
        <v>24</v>
      </c>
      <c r="AW333" s="140">
        <v>24</v>
      </c>
      <c r="AX333" s="140">
        <v>24</v>
      </c>
      <c r="AY333" s="140">
        <v>24</v>
      </c>
      <c r="AZ333" s="140">
        <v>24</v>
      </c>
      <c r="BA333" s="140">
        <v>24</v>
      </c>
      <c r="BB333" s="140">
        <v>24</v>
      </c>
      <c r="BC333" s="140">
        <v>24</v>
      </c>
      <c r="BD333" s="140">
        <v>24</v>
      </c>
      <c r="BE333" s="140">
        <v>24</v>
      </c>
      <c r="BF333" s="140">
        <v>24</v>
      </c>
      <c r="BG333" s="140">
        <v>24</v>
      </c>
      <c r="BH333" s="140">
        <v>24</v>
      </c>
      <c r="BI333" s="140">
        <v>24</v>
      </c>
      <c r="BJ333" s="140">
        <v>27</v>
      </c>
      <c r="BK333" s="140">
        <v>27</v>
      </c>
      <c r="BL333" s="140">
        <v>27</v>
      </c>
      <c r="BM333" s="140">
        <v>27</v>
      </c>
      <c r="BN333" s="140">
        <v>27</v>
      </c>
      <c r="BO333" s="140">
        <v>27</v>
      </c>
      <c r="BP333" s="140"/>
      <c r="BQ333" s="140"/>
    </row>
    <row r="334" spans="2:69" s="22" customFormat="1" outlineLevel="1">
      <c r="C334" s="22" t="str">
        <v>Datahaven</v>
      </c>
      <c r="D334" s="143">
        <f>SUMIFS('Existing Stores'!$I$9:$I$1008,'Existing Stores'!$D$9:$D$1008,Model!C334)</f>
        <v>79</v>
      </c>
      <c r="E334" s="67" t="s">
        <v>1268</v>
      </c>
      <c r="F334" s="29" t="s">
        <v>1267</v>
      </c>
      <c r="G334" s="153">
        <v>79</v>
      </c>
      <c r="H334" s="140">
        <v>79</v>
      </c>
      <c r="I334" s="140">
        <v>79</v>
      </c>
      <c r="J334" s="140">
        <v>79</v>
      </c>
      <c r="K334" s="140">
        <v>82</v>
      </c>
      <c r="L334" s="140">
        <v>82</v>
      </c>
      <c r="M334" s="140">
        <v>82</v>
      </c>
      <c r="N334" s="140">
        <v>82</v>
      </c>
      <c r="O334" s="140">
        <v>82</v>
      </c>
      <c r="P334" s="140">
        <v>82</v>
      </c>
      <c r="Q334" s="140">
        <v>82</v>
      </c>
      <c r="R334" s="140">
        <v>82</v>
      </c>
      <c r="S334" s="140">
        <v>82</v>
      </c>
      <c r="T334" s="140">
        <v>82</v>
      </c>
      <c r="U334" s="140">
        <v>82</v>
      </c>
      <c r="V334" s="140">
        <v>82</v>
      </c>
      <c r="W334" s="140">
        <v>82</v>
      </c>
      <c r="X334" s="140">
        <v>82</v>
      </c>
      <c r="Y334" s="140">
        <v>82</v>
      </c>
      <c r="Z334" s="140">
        <v>82</v>
      </c>
      <c r="AA334" s="140">
        <v>82</v>
      </c>
      <c r="AB334" s="140">
        <v>82</v>
      </c>
      <c r="AC334" s="140">
        <v>82</v>
      </c>
      <c r="AD334" s="140">
        <v>82</v>
      </c>
      <c r="AE334" s="140">
        <v>82</v>
      </c>
      <c r="AF334" s="140">
        <v>82</v>
      </c>
      <c r="AG334" s="140">
        <v>82</v>
      </c>
      <c r="AH334" s="140">
        <v>82</v>
      </c>
      <c r="AI334" s="140">
        <v>82</v>
      </c>
      <c r="AJ334" s="140">
        <v>82</v>
      </c>
      <c r="AK334" s="140">
        <v>85</v>
      </c>
      <c r="AL334" s="140">
        <v>85</v>
      </c>
      <c r="AM334" s="140">
        <v>85</v>
      </c>
      <c r="AN334" s="140">
        <v>85</v>
      </c>
      <c r="AO334" s="140">
        <v>85</v>
      </c>
      <c r="AP334" s="140">
        <v>85</v>
      </c>
      <c r="AQ334" s="140">
        <v>85</v>
      </c>
      <c r="AR334" s="140">
        <v>85</v>
      </c>
      <c r="AS334" s="140">
        <v>85</v>
      </c>
      <c r="AT334" s="140">
        <v>85</v>
      </c>
      <c r="AU334" s="140">
        <v>85</v>
      </c>
      <c r="AV334" s="140">
        <v>85</v>
      </c>
      <c r="AW334" s="140">
        <v>85</v>
      </c>
      <c r="AX334" s="140">
        <v>85</v>
      </c>
      <c r="AY334" s="140">
        <v>85</v>
      </c>
      <c r="AZ334" s="140">
        <v>85</v>
      </c>
      <c r="BA334" s="140">
        <v>85</v>
      </c>
      <c r="BB334" s="140">
        <v>85</v>
      </c>
      <c r="BC334" s="140">
        <v>85</v>
      </c>
      <c r="BD334" s="140">
        <v>85</v>
      </c>
      <c r="BE334" s="140">
        <v>85</v>
      </c>
      <c r="BF334" s="140">
        <v>85</v>
      </c>
      <c r="BG334" s="140">
        <v>85</v>
      </c>
      <c r="BH334" s="140">
        <v>85</v>
      </c>
      <c r="BI334" s="140">
        <v>85</v>
      </c>
      <c r="BJ334" s="140">
        <v>85</v>
      </c>
      <c r="BK334" s="140">
        <v>88</v>
      </c>
      <c r="BL334" s="140">
        <v>88</v>
      </c>
      <c r="BM334" s="140">
        <v>88</v>
      </c>
      <c r="BN334" s="140">
        <v>88</v>
      </c>
      <c r="BO334" s="140">
        <v>88</v>
      </c>
      <c r="BP334" s="140"/>
      <c r="BQ334" s="140"/>
    </row>
    <row r="335" spans="2:69" s="22" customFormat="1" outlineLevel="1">
      <c r="C335" s="22" t="str">
        <v>Etherport</v>
      </c>
      <c r="D335" s="143">
        <f>SUMIFS('Existing Stores'!$I$9:$I$1008,'Existing Stores'!$D$9:$D$1008,Model!C335)</f>
        <v>9</v>
      </c>
      <c r="E335" s="67" t="s">
        <v>1268</v>
      </c>
      <c r="F335" s="29" t="s">
        <v>1267</v>
      </c>
      <c r="G335" s="153">
        <v>9</v>
      </c>
      <c r="H335" s="140">
        <v>9</v>
      </c>
      <c r="I335" s="140">
        <v>9</v>
      </c>
      <c r="J335" s="140">
        <v>9</v>
      </c>
      <c r="K335" s="140">
        <v>9</v>
      </c>
      <c r="L335" s="140">
        <v>12</v>
      </c>
      <c r="M335" s="140">
        <v>12</v>
      </c>
      <c r="N335" s="140">
        <v>12</v>
      </c>
      <c r="O335" s="140">
        <v>12</v>
      </c>
      <c r="P335" s="140">
        <v>12</v>
      </c>
      <c r="Q335" s="140">
        <v>12</v>
      </c>
      <c r="R335" s="140">
        <v>12</v>
      </c>
      <c r="S335" s="140">
        <v>12</v>
      </c>
      <c r="T335" s="140">
        <v>12</v>
      </c>
      <c r="U335" s="140">
        <v>12</v>
      </c>
      <c r="V335" s="140">
        <v>12</v>
      </c>
      <c r="W335" s="140">
        <v>12</v>
      </c>
      <c r="X335" s="140">
        <v>12</v>
      </c>
      <c r="Y335" s="140">
        <v>12</v>
      </c>
      <c r="Z335" s="140">
        <v>12</v>
      </c>
      <c r="AA335" s="140">
        <v>12</v>
      </c>
      <c r="AB335" s="140">
        <v>12</v>
      </c>
      <c r="AC335" s="140">
        <v>12</v>
      </c>
      <c r="AD335" s="140">
        <v>12</v>
      </c>
      <c r="AE335" s="140">
        <v>12</v>
      </c>
      <c r="AF335" s="140">
        <v>12</v>
      </c>
      <c r="AG335" s="140">
        <v>12</v>
      </c>
      <c r="AH335" s="140">
        <v>12</v>
      </c>
      <c r="AI335" s="140">
        <v>12</v>
      </c>
      <c r="AJ335" s="140">
        <v>12</v>
      </c>
      <c r="AK335" s="140">
        <v>12</v>
      </c>
      <c r="AL335" s="140">
        <v>15</v>
      </c>
      <c r="AM335" s="140">
        <v>15</v>
      </c>
      <c r="AN335" s="140">
        <v>15</v>
      </c>
      <c r="AO335" s="140">
        <v>15</v>
      </c>
      <c r="AP335" s="140">
        <v>15</v>
      </c>
      <c r="AQ335" s="140">
        <v>15</v>
      </c>
      <c r="AR335" s="140">
        <v>15</v>
      </c>
      <c r="AS335" s="140">
        <v>15</v>
      </c>
      <c r="AT335" s="140">
        <v>15</v>
      </c>
      <c r="AU335" s="140">
        <v>15</v>
      </c>
      <c r="AV335" s="140">
        <v>15</v>
      </c>
      <c r="AW335" s="140">
        <v>15</v>
      </c>
      <c r="AX335" s="140">
        <v>15</v>
      </c>
      <c r="AY335" s="140">
        <v>15</v>
      </c>
      <c r="AZ335" s="140">
        <v>15</v>
      </c>
      <c r="BA335" s="140">
        <v>15</v>
      </c>
      <c r="BB335" s="140">
        <v>15</v>
      </c>
      <c r="BC335" s="140">
        <v>15</v>
      </c>
      <c r="BD335" s="140">
        <v>15</v>
      </c>
      <c r="BE335" s="140">
        <v>15</v>
      </c>
      <c r="BF335" s="140">
        <v>15</v>
      </c>
      <c r="BG335" s="140">
        <v>15</v>
      </c>
      <c r="BH335" s="140">
        <v>15</v>
      </c>
      <c r="BI335" s="140">
        <v>15</v>
      </c>
      <c r="BJ335" s="140">
        <v>15</v>
      </c>
      <c r="BK335" s="140">
        <v>15</v>
      </c>
      <c r="BL335" s="140">
        <v>18</v>
      </c>
      <c r="BM335" s="140">
        <v>18</v>
      </c>
      <c r="BN335" s="140">
        <v>18</v>
      </c>
      <c r="BO335" s="140">
        <v>18</v>
      </c>
      <c r="BP335" s="140"/>
      <c r="BQ335" s="140"/>
    </row>
    <row r="336" spans="2:69" s="22" customFormat="1" outlineLevel="1">
      <c r="C336" s="22" t="str">
        <v>Fiberfall</v>
      </c>
      <c r="D336" s="145">
        <f>SUMIFS('Existing Stores'!$I$9:$I$1008,'Existing Stores'!$D$9:$D$1008,Model!C336)</f>
        <v>9</v>
      </c>
      <c r="E336" s="67" t="s">
        <v>1268</v>
      </c>
      <c r="F336" s="29" t="s">
        <v>1267</v>
      </c>
      <c r="G336" s="153">
        <v>9</v>
      </c>
      <c r="H336" s="140">
        <v>9</v>
      </c>
      <c r="I336" s="140">
        <v>9</v>
      </c>
      <c r="J336" s="140">
        <v>9</v>
      </c>
      <c r="K336" s="140">
        <v>9</v>
      </c>
      <c r="L336" s="140">
        <v>9</v>
      </c>
      <c r="M336" s="140">
        <v>12</v>
      </c>
      <c r="N336" s="140">
        <v>12</v>
      </c>
      <c r="O336" s="140">
        <v>12</v>
      </c>
      <c r="P336" s="140">
        <v>12</v>
      </c>
      <c r="Q336" s="140">
        <v>12</v>
      </c>
      <c r="R336" s="140">
        <v>12</v>
      </c>
      <c r="S336" s="140">
        <v>12</v>
      </c>
      <c r="T336" s="140">
        <v>12</v>
      </c>
      <c r="U336" s="140">
        <v>12</v>
      </c>
      <c r="V336" s="140">
        <v>12</v>
      </c>
      <c r="W336" s="140">
        <v>12</v>
      </c>
      <c r="X336" s="140">
        <v>12</v>
      </c>
      <c r="Y336" s="140">
        <v>12</v>
      </c>
      <c r="Z336" s="140">
        <v>12</v>
      </c>
      <c r="AA336" s="140">
        <v>12</v>
      </c>
      <c r="AB336" s="140">
        <v>12</v>
      </c>
      <c r="AC336" s="140">
        <v>12</v>
      </c>
      <c r="AD336" s="140">
        <v>12</v>
      </c>
      <c r="AE336" s="140">
        <v>12</v>
      </c>
      <c r="AF336" s="140">
        <v>12</v>
      </c>
      <c r="AG336" s="140">
        <v>12</v>
      </c>
      <c r="AH336" s="140">
        <v>12</v>
      </c>
      <c r="AI336" s="140">
        <v>12</v>
      </c>
      <c r="AJ336" s="140">
        <v>12</v>
      </c>
      <c r="AK336" s="140">
        <v>12</v>
      </c>
      <c r="AL336" s="140">
        <v>12</v>
      </c>
      <c r="AM336" s="140">
        <v>15</v>
      </c>
      <c r="AN336" s="140">
        <v>15</v>
      </c>
      <c r="AO336" s="140">
        <v>15</v>
      </c>
      <c r="AP336" s="140">
        <v>15</v>
      </c>
      <c r="AQ336" s="140">
        <v>15</v>
      </c>
      <c r="AR336" s="140">
        <v>15</v>
      </c>
      <c r="AS336" s="140">
        <v>15</v>
      </c>
      <c r="AT336" s="140">
        <v>15</v>
      </c>
      <c r="AU336" s="140">
        <v>15</v>
      </c>
      <c r="AV336" s="140">
        <v>15</v>
      </c>
      <c r="AW336" s="140">
        <v>15</v>
      </c>
      <c r="AX336" s="140">
        <v>15</v>
      </c>
      <c r="AY336" s="140">
        <v>15</v>
      </c>
      <c r="AZ336" s="140">
        <v>15</v>
      </c>
      <c r="BA336" s="140">
        <v>15</v>
      </c>
      <c r="BB336" s="140">
        <v>15</v>
      </c>
      <c r="BC336" s="140">
        <v>15</v>
      </c>
      <c r="BD336" s="140">
        <v>15</v>
      </c>
      <c r="BE336" s="140">
        <v>15</v>
      </c>
      <c r="BF336" s="140">
        <v>15</v>
      </c>
      <c r="BG336" s="140">
        <v>15</v>
      </c>
      <c r="BH336" s="140">
        <v>15</v>
      </c>
      <c r="BI336" s="140">
        <v>15</v>
      </c>
      <c r="BJ336" s="140">
        <v>15</v>
      </c>
      <c r="BK336" s="140">
        <v>15</v>
      </c>
      <c r="BL336" s="140">
        <v>15</v>
      </c>
      <c r="BM336" s="140">
        <v>18</v>
      </c>
      <c r="BN336" s="140">
        <v>18</v>
      </c>
      <c r="BO336" s="140">
        <v>18</v>
      </c>
      <c r="BP336" s="140"/>
      <c r="BQ336" s="140"/>
    </row>
    <row r="337" spans="3:69" s="22" customFormat="1" outlineLevel="1">
      <c r="C337" s="22" t="str">
        <v>Gigatown</v>
      </c>
      <c r="D337" s="143">
        <f>SUMIFS('Existing Stores'!$I$9:$I$1008,'Existing Stores'!$D$9:$D$1008,Model!C337)</f>
        <v>228</v>
      </c>
      <c r="E337" s="67" t="s">
        <v>1268</v>
      </c>
      <c r="F337" s="29" t="s">
        <v>1267</v>
      </c>
      <c r="G337" s="153">
        <v>228</v>
      </c>
      <c r="H337" s="140">
        <v>228</v>
      </c>
      <c r="I337" s="140">
        <v>228</v>
      </c>
      <c r="J337" s="140">
        <v>228</v>
      </c>
      <c r="K337" s="140">
        <v>228</v>
      </c>
      <c r="L337" s="140">
        <v>228</v>
      </c>
      <c r="M337" s="140">
        <v>228</v>
      </c>
      <c r="N337" s="140">
        <v>231</v>
      </c>
      <c r="O337" s="140">
        <v>231</v>
      </c>
      <c r="P337" s="140">
        <v>231</v>
      </c>
      <c r="Q337" s="140">
        <v>231</v>
      </c>
      <c r="R337" s="140">
        <v>231</v>
      </c>
      <c r="S337" s="140">
        <v>231</v>
      </c>
      <c r="T337" s="140">
        <v>231</v>
      </c>
      <c r="U337" s="140">
        <v>231</v>
      </c>
      <c r="V337" s="140">
        <v>231</v>
      </c>
      <c r="W337" s="140">
        <v>231</v>
      </c>
      <c r="X337" s="140">
        <v>231</v>
      </c>
      <c r="Y337" s="140">
        <v>231</v>
      </c>
      <c r="Z337" s="140">
        <v>231</v>
      </c>
      <c r="AA337" s="140">
        <v>231</v>
      </c>
      <c r="AB337" s="140">
        <v>231</v>
      </c>
      <c r="AC337" s="140">
        <v>231</v>
      </c>
      <c r="AD337" s="140">
        <v>231</v>
      </c>
      <c r="AE337" s="140">
        <v>231</v>
      </c>
      <c r="AF337" s="140">
        <v>231</v>
      </c>
      <c r="AG337" s="140">
        <v>231</v>
      </c>
      <c r="AH337" s="140">
        <v>231</v>
      </c>
      <c r="AI337" s="140">
        <v>231</v>
      </c>
      <c r="AJ337" s="140">
        <v>231</v>
      </c>
      <c r="AK337" s="140">
        <v>231</v>
      </c>
      <c r="AL337" s="140">
        <v>231</v>
      </c>
      <c r="AM337" s="140">
        <v>231</v>
      </c>
      <c r="AN337" s="140">
        <v>234</v>
      </c>
      <c r="AO337" s="140">
        <v>234</v>
      </c>
      <c r="AP337" s="140">
        <v>234</v>
      </c>
      <c r="AQ337" s="140">
        <v>234</v>
      </c>
      <c r="AR337" s="140">
        <v>234</v>
      </c>
      <c r="AS337" s="140">
        <v>234</v>
      </c>
      <c r="AT337" s="140">
        <v>234</v>
      </c>
      <c r="AU337" s="140">
        <v>234</v>
      </c>
      <c r="AV337" s="140">
        <v>234</v>
      </c>
      <c r="AW337" s="140">
        <v>234</v>
      </c>
      <c r="AX337" s="140">
        <v>234</v>
      </c>
      <c r="AY337" s="140">
        <v>234</v>
      </c>
      <c r="AZ337" s="140">
        <v>234</v>
      </c>
      <c r="BA337" s="140">
        <v>234</v>
      </c>
      <c r="BB337" s="140">
        <v>234</v>
      </c>
      <c r="BC337" s="140">
        <v>234</v>
      </c>
      <c r="BD337" s="140">
        <v>234</v>
      </c>
      <c r="BE337" s="140">
        <v>234</v>
      </c>
      <c r="BF337" s="140">
        <v>234</v>
      </c>
      <c r="BG337" s="140">
        <v>234</v>
      </c>
      <c r="BH337" s="140">
        <v>234</v>
      </c>
      <c r="BI337" s="140">
        <v>234</v>
      </c>
      <c r="BJ337" s="140">
        <v>234</v>
      </c>
      <c r="BK337" s="140">
        <v>234</v>
      </c>
      <c r="BL337" s="140">
        <v>234</v>
      </c>
      <c r="BM337" s="140">
        <v>234</v>
      </c>
      <c r="BN337" s="140">
        <v>237</v>
      </c>
      <c r="BO337" s="140">
        <v>237</v>
      </c>
      <c r="BP337" s="140"/>
      <c r="BQ337" s="140"/>
    </row>
    <row r="338" spans="3:69" s="22" customFormat="1" outlineLevel="1">
      <c r="C338" s="22" t="str">
        <v>Hexavale</v>
      </c>
      <c r="D338" s="143">
        <f>SUMIFS('Existing Stores'!$I$9:$I$1008,'Existing Stores'!$D$9:$D$1008,Model!C338)</f>
        <v>1104</v>
      </c>
      <c r="E338" s="67" t="s">
        <v>1268</v>
      </c>
      <c r="F338" s="29" t="s">
        <v>1267</v>
      </c>
      <c r="G338" s="153">
        <v>1104</v>
      </c>
      <c r="H338" s="140">
        <v>1104</v>
      </c>
      <c r="I338" s="140">
        <v>1104</v>
      </c>
      <c r="J338" s="140">
        <v>1104</v>
      </c>
      <c r="K338" s="140">
        <v>1104</v>
      </c>
      <c r="L338" s="140">
        <v>1104</v>
      </c>
      <c r="M338" s="140">
        <v>1104</v>
      </c>
      <c r="N338" s="140">
        <v>1104</v>
      </c>
      <c r="O338" s="140">
        <v>1107</v>
      </c>
      <c r="P338" s="140">
        <v>1107</v>
      </c>
      <c r="Q338" s="140">
        <v>1107</v>
      </c>
      <c r="R338" s="140">
        <v>1107</v>
      </c>
      <c r="S338" s="140">
        <v>1107</v>
      </c>
      <c r="T338" s="140">
        <v>1107</v>
      </c>
      <c r="U338" s="140">
        <v>1107</v>
      </c>
      <c r="V338" s="140">
        <v>1107</v>
      </c>
      <c r="W338" s="140">
        <v>1107</v>
      </c>
      <c r="X338" s="140">
        <v>1107</v>
      </c>
      <c r="Y338" s="140">
        <v>1107</v>
      </c>
      <c r="Z338" s="140">
        <v>1107</v>
      </c>
      <c r="AA338" s="140">
        <v>1107</v>
      </c>
      <c r="AB338" s="140">
        <v>1107</v>
      </c>
      <c r="AC338" s="140">
        <v>1107</v>
      </c>
      <c r="AD338" s="140">
        <v>1107</v>
      </c>
      <c r="AE338" s="140">
        <v>1107</v>
      </c>
      <c r="AF338" s="140">
        <v>1107</v>
      </c>
      <c r="AG338" s="140">
        <v>1107</v>
      </c>
      <c r="AH338" s="140">
        <v>1107</v>
      </c>
      <c r="AI338" s="140">
        <v>1107</v>
      </c>
      <c r="AJ338" s="140">
        <v>1107</v>
      </c>
      <c r="AK338" s="140">
        <v>1107</v>
      </c>
      <c r="AL338" s="140">
        <v>1107</v>
      </c>
      <c r="AM338" s="140">
        <v>1107</v>
      </c>
      <c r="AN338" s="140">
        <v>1107</v>
      </c>
      <c r="AO338" s="140">
        <v>1110</v>
      </c>
      <c r="AP338" s="140">
        <v>1110</v>
      </c>
      <c r="AQ338" s="140">
        <v>1110</v>
      </c>
      <c r="AR338" s="140">
        <v>1110</v>
      </c>
      <c r="AS338" s="140">
        <v>1110</v>
      </c>
      <c r="AT338" s="140">
        <v>1110</v>
      </c>
      <c r="AU338" s="140">
        <v>1110</v>
      </c>
      <c r="AV338" s="140">
        <v>1110</v>
      </c>
      <c r="AW338" s="140">
        <v>1110</v>
      </c>
      <c r="AX338" s="140">
        <v>1110</v>
      </c>
      <c r="AY338" s="140">
        <v>1110</v>
      </c>
      <c r="AZ338" s="140">
        <v>1110</v>
      </c>
      <c r="BA338" s="140">
        <v>1110</v>
      </c>
      <c r="BB338" s="140">
        <v>1110</v>
      </c>
      <c r="BC338" s="140">
        <v>1110</v>
      </c>
      <c r="BD338" s="140">
        <v>1110</v>
      </c>
      <c r="BE338" s="140">
        <v>1110</v>
      </c>
      <c r="BF338" s="140">
        <v>1110</v>
      </c>
      <c r="BG338" s="140">
        <v>1110</v>
      </c>
      <c r="BH338" s="140">
        <v>1110</v>
      </c>
      <c r="BI338" s="140">
        <v>1110</v>
      </c>
      <c r="BJ338" s="140">
        <v>1110</v>
      </c>
      <c r="BK338" s="140">
        <v>1110</v>
      </c>
      <c r="BL338" s="140">
        <v>1110</v>
      </c>
      <c r="BM338" s="140">
        <v>1110</v>
      </c>
      <c r="BN338" s="140">
        <v>1110</v>
      </c>
      <c r="BO338" s="140">
        <v>1113</v>
      </c>
      <c r="BP338" s="140"/>
      <c r="BQ338" s="140"/>
    </row>
    <row r="339" spans="3:69" s="22" customFormat="1" outlineLevel="1">
      <c r="C339" s="22" t="str">
        <v>Input City</v>
      </c>
      <c r="D339" s="143">
        <f>SUMIFS('Existing Stores'!$I$9:$I$1008,'Existing Stores'!$D$9:$D$1008,Model!C339)</f>
        <v>60</v>
      </c>
      <c r="E339" s="67" t="s">
        <v>1268</v>
      </c>
      <c r="F339" s="29" t="s">
        <v>1267</v>
      </c>
      <c r="G339" s="153">
        <v>60</v>
      </c>
      <c r="H339" s="140">
        <v>60</v>
      </c>
      <c r="I339" s="140">
        <v>60</v>
      </c>
      <c r="J339" s="140">
        <v>60</v>
      </c>
      <c r="K339" s="140">
        <v>60</v>
      </c>
      <c r="L339" s="140">
        <v>60</v>
      </c>
      <c r="M339" s="140">
        <v>60</v>
      </c>
      <c r="N339" s="140">
        <v>60</v>
      </c>
      <c r="O339" s="140">
        <v>60</v>
      </c>
      <c r="P339" s="140">
        <v>63</v>
      </c>
      <c r="Q339" s="140">
        <v>63</v>
      </c>
      <c r="R339" s="140">
        <v>63</v>
      </c>
      <c r="S339" s="140">
        <v>63</v>
      </c>
      <c r="T339" s="140">
        <v>63</v>
      </c>
      <c r="U339" s="140">
        <v>63</v>
      </c>
      <c r="V339" s="140">
        <v>63</v>
      </c>
      <c r="W339" s="140">
        <v>63</v>
      </c>
      <c r="X339" s="140">
        <v>63</v>
      </c>
      <c r="Y339" s="140">
        <v>63</v>
      </c>
      <c r="Z339" s="140">
        <v>63</v>
      </c>
      <c r="AA339" s="140">
        <v>63</v>
      </c>
      <c r="AB339" s="140">
        <v>63</v>
      </c>
      <c r="AC339" s="140">
        <v>63</v>
      </c>
      <c r="AD339" s="140">
        <v>63</v>
      </c>
      <c r="AE339" s="140">
        <v>63</v>
      </c>
      <c r="AF339" s="140">
        <v>63</v>
      </c>
      <c r="AG339" s="140">
        <v>63</v>
      </c>
      <c r="AH339" s="140">
        <v>63</v>
      </c>
      <c r="AI339" s="140">
        <v>63</v>
      </c>
      <c r="AJ339" s="140">
        <v>63</v>
      </c>
      <c r="AK339" s="140">
        <v>63</v>
      </c>
      <c r="AL339" s="140">
        <v>63</v>
      </c>
      <c r="AM339" s="140">
        <v>63</v>
      </c>
      <c r="AN339" s="140">
        <v>63</v>
      </c>
      <c r="AO339" s="140">
        <v>63</v>
      </c>
      <c r="AP339" s="140">
        <v>66</v>
      </c>
      <c r="AQ339" s="140">
        <v>66</v>
      </c>
      <c r="AR339" s="140">
        <v>66</v>
      </c>
      <c r="AS339" s="140">
        <v>66</v>
      </c>
      <c r="AT339" s="140">
        <v>66</v>
      </c>
      <c r="AU339" s="140">
        <v>66</v>
      </c>
      <c r="AV339" s="140">
        <v>66</v>
      </c>
      <c r="AW339" s="140">
        <v>66</v>
      </c>
      <c r="AX339" s="140">
        <v>66</v>
      </c>
      <c r="AY339" s="140">
        <v>66</v>
      </c>
      <c r="AZ339" s="140">
        <v>66</v>
      </c>
      <c r="BA339" s="140">
        <v>66</v>
      </c>
      <c r="BB339" s="140">
        <v>66</v>
      </c>
      <c r="BC339" s="140">
        <v>66</v>
      </c>
      <c r="BD339" s="140">
        <v>66</v>
      </c>
      <c r="BE339" s="140">
        <v>66</v>
      </c>
      <c r="BF339" s="140">
        <v>66</v>
      </c>
      <c r="BG339" s="140">
        <v>66</v>
      </c>
      <c r="BH339" s="140">
        <v>66</v>
      </c>
      <c r="BI339" s="140">
        <v>66</v>
      </c>
      <c r="BJ339" s="140">
        <v>66</v>
      </c>
      <c r="BK339" s="140">
        <v>66</v>
      </c>
      <c r="BL339" s="140">
        <v>66</v>
      </c>
      <c r="BM339" s="140">
        <v>66</v>
      </c>
      <c r="BN339" s="140">
        <v>66</v>
      </c>
      <c r="BO339" s="140">
        <v>66</v>
      </c>
      <c r="BP339" s="140"/>
      <c r="BQ339" s="140"/>
    </row>
    <row r="340" spans="3:69" s="22" customFormat="1" outlineLevel="1">
      <c r="C340" s="22" t="str">
        <v>Junction Core</v>
      </c>
      <c r="D340" s="143">
        <f>SUMIFS('Existing Stores'!$I$9:$I$1008,'Existing Stores'!$D$9:$D$1008,Model!C340)</f>
        <v>36</v>
      </c>
      <c r="E340" s="67" t="s">
        <v>1268</v>
      </c>
      <c r="F340" s="29" t="s">
        <v>1267</v>
      </c>
      <c r="G340" s="153">
        <v>36</v>
      </c>
      <c r="H340" s="140">
        <v>36</v>
      </c>
      <c r="I340" s="140">
        <v>36</v>
      </c>
      <c r="J340" s="140">
        <v>36</v>
      </c>
      <c r="K340" s="140">
        <v>36</v>
      </c>
      <c r="L340" s="140">
        <v>36</v>
      </c>
      <c r="M340" s="140">
        <v>36</v>
      </c>
      <c r="N340" s="140">
        <v>36</v>
      </c>
      <c r="O340" s="140">
        <v>36</v>
      </c>
      <c r="P340" s="140">
        <v>36</v>
      </c>
      <c r="Q340" s="140">
        <v>39</v>
      </c>
      <c r="R340" s="140">
        <v>39</v>
      </c>
      <c r="S340" s="140">
        <v>39</v>
      </c>
      <c r="T340" s="140">
        <v>39</v>
      </c>
      <c r="U340" s="140">
        <v>39</v>
      </c>
      <c r="V340" s="140">
        <v>39</v>
      </c>
      <c r="W340" s="140">
        <v>39</v>
      </c>
      <c r="X340" s="140">
        <v>39</v>
      </c>
      <c r="Y340" s="140">
        <v>39</v>
      </c>
      <c r="Z340" s="140">
        <v>39</v>
      </c>
      <c r="AA340" s="140">
        <v>39</v>
      </c>
      <c r="AB340" s="140">
        <v>39</v>
      </c>
      <c r="AC340" s="140">
        <v>39</v>
      </c>
      <c r="AD340" s="140">
        <v>39</v>
      </c>
      <c r="AE340" s="140">
        <v>39</v>
      </c>
      <c r="AF340" s="140">
        <v>39</v>
      </c>
      <c r="AG340" s="140">
        <v>39</v>
      </c>
      <c r="AH340" s="140">
        <v>39</v>
      </c>
      <c r="AI340" s="140">
        <v>39</v>
      </c>
      <c r="AJ340" s="140">
        <v>39</v>
      </c>
      <c r="AK340" s="140">
        <v>39</v>
      </c>
      <c r="AL340" s="140">
        <v>39</v>
      </c>
      <c r="AM340" s="140">
        <v>39</v>
      </c>
      <c r="AN340" s="140">
        <v>39</v>
      </c>
      <c r="AO340" s="140">
        <v>39</v>
      </c>
      <c r="AP340" s="140">
        <v>39</v>
      </c>
      <c r="AQ340" s="140">
        <v>42</v>
      </c>
      <c r="AR340" s="140">
        <v>42</v>
      </c>
      <c r="AS340" s="140">
        <v>42</v>
      </c>
      <c r="AT340" s="140">
        <v>42</v>
      </c>
      <c r="AU340" s="140">
        <v>42</v>
      </c>
      <c r="AV340" s="140">
        <v>42</v>
      </c>
      <c r="AW340" s="140">
        <v>42</v>
      </c>
      <c r="AX340" s="140">
        <v>42</v>
      </c>
      <c r="AY340" s="140">
        <v>42</v>
      </c>
      <c r="AZ340" s="140">
        <v>42</v>
      </c>
      <c r="BA340" s="140">
        <v>42</v>
      </c>
      <c r="BB340" s="140">
        <v>42</v>
      </c>
      <c r="BC340" s="140">
        <v>42</v>
      </c>
      <c r="BD340" s="140">
        <v>42</v>
      </c>
      <c r="BE340" s="140">
        <v>42</v>
      </c>
      <c r="BF340" s="140">
        <v>42</v>
      </c>
      <c r="BG340" s="140">
        <v>42</v>
      </c>
      <c r="BH340" s="140">
        <v>42</v>
      </c>
      <c r="BI340" s="140">
        <v>42</v>
      </c>
      <c r="BJ340" s="140">
        <v>42</v>
      </c>
      <c r="BK340" s="140">
        <v>42</v>
      </c>
      <c r="BL340" s="140">
        <v>42</v>
      </c>
      <c r="BM340" s="140">
        <v>42</v>
      </c>
      <c r="BN340" s="140">
        <v>42</v>
      </c>
      <c r="BO340" s="140">
        <v>42</v>
      </c>
      <c r="BP340" s="140"/>
      <c r="BQ340" s="140"/>
    </row>
    <row r="341" spans="3:69" s="22" customFormat="1" outlineLevel="1">
      <c r="C341" s="22" t="str">
        <v>Kernel Heights</v>
      </c>
      <c r="D341" s="143">
        <f>SUMIFS('Existing Stores'!$I$9:$I$1008,'Existing Stores'!$D$9:$D$1008,Model!C341)</f>
        <v>11</v>
      </c>
      <c r="E341" s="67" t="s">
        <v>1268</v>
      </c>
      <c r="F341" s="29" t="s">
        <v>1267</v>
      </c>
      <c r="G341" s="153">
        <v>11</v>
      </c>
      <c r="H341" s="140">
        <v>11</v>
      </c>
      <c r="I341" s="140">
        <v>11</v>
      </c>
      <c r="J341" s="140">
        <v>11</v>
      </c>
      <c r="K341" s="140">
        <v>11</v>
      </c>
      <c r="L341" s="140">
        <v>11</v>
      </c>
      <c r="M341" s="140">
        <v>11</v>
      </c>
      <c r="N341" s="140">
        <v>11</v>
      </c>
      <c r="O341" s="140">
        <v>11</v>
      </c>
      <c r="P341" s="140">
        <v>11</v>
      </c>
      <c r="Q341" s="140">
        <v>11</v>
      </c>
      <c r="R341" s="140">
        <v>14</v>
      </c>
      <c r="S341" s="140">
        <v>14</v>
      </c>
      <c r="T341" s="140">
        <v>14</v>
      </c>
      <c r="U341" s="140">
        <v>14</v>
      </c>
      <c r="V341" s="140">
        <v>14</v>
      </c>
      <c r="W341" s="140">
        <v>14</v>
      </c>
      <c r="X341" s="140">
        <v>14</v>
      </c>
      <c r="Y341" s="140">
        <v>14</v>
      </c>
      <c r="Z341" s="140">
        <v>14</v>
      </c>
      <c r="AA341" s="140">
        <v>14</v>
      </c>
      <c r="AB341" s="140">
        <v>14</v>
      </c>
      <c r="AC341" s="140">
        <v>14</v>
      </c>
      <c r="AD341" s="140">
        <v>14</v>
      </c>
      <c r="AE341" s="140">
        <v>14</v>
      </c>
      <c r="AF341" s="140">
        <v>14</v>
      </c>
      <c r="AG341" s="140">
        <v>14</v>
      </c>
      <c r="AH341" s="140">
        <v>14</v>
      </c>
      <c r="AI341" s="140">
        <v>14</v>
      </c>
      <c r="AJ341" s="140">
        <v>14</v>
      </c>
      <c r="AK341" s="140">
        <v>14</v>
      </c>
      <c r="AL341" s="140">
        <v>14</v>
      </c>
      <c r="AM341" s="140">
        <v>14</v>
      </c>
      <c r="AN341" s="140">
        <v>14</v>
      </c>
      <c r="AO341" s="140">
        <v>14</v>
      </c>
      <c r="AP341" s="140">
        <v>14</v>
      </c>
      <c r="AQ341" s="140">
        <v>14</v>
      </c>
      <c r="AR341" s="140">
        <v>17</v>
      </c>
      <c r="AS341" s="140">
        <v>17</v>
      </c>
      <c r="AT341" s="140">
        <v>17</v>
      </c>
      <c r="AU341" s="140">
        <v>17</v>
      </c>
      <c r="AV341" s="140">
        <v>17</v>
      </c>
      <c r="AW341" s="140">
        <v>17</v>
      </c>
      <c r="AX341" s="140">
        <v>17</v>
      </c>
      <c r="AY341" s="140">
        <v>17</v>
      </c>
      <c r="AZ341" s="140">
        <v>17</v>
      </c>
      <c r="BA341" s="140">
        <v>17</v>
      </c>
      <c r="BB341" s="140">
        <v>17</v>
      </c>
      <c r="BC341" s="140">
        <v>17</v>
      </c>
      <c r="BD341" s="140">
        <v>17</v>
      </c>
      <c r="BE341" s="140">
        <v>17</v>
      </c>
      <c r="BF341" s="140">
        <v>17</v>
      </c>
      <c r="BG341" s="140">
        <v>17</v>
      </c>
      <c r="BH341" s="140">
        <v>17</v>
      </c>
      <c r="BI341" s="140">
        <v>17</v>
      </c>
      <c r="BJ341" s="140">
        <v>17</v>
      </c>
      <c r="BK341" s="140">
        <v>17</v>
      </c>
      <c r="BL341" s="140">
        <v>17</v>
      </c>
      <c r="BM341" s="140">
        <v>17</v>
      </c>
      <c r="BN341" s="140">
        <v>17</v>
      </c>
      <c r="BO341" s="140">
        <v>17</v>
      </c>
      <c r="BP341" s="140"/>
      <c r="BQ341" s="140"/>
    </row>
    <row r="342" spans="3:69" s="22" customFormat="1" outlineLevel="1">
      <c r="C342" s="22" t="str">
        <v>Logicridge</v>
      </c>
      <c r="D342" s="145">
        <f>SUMIFS('Existing Stores'!$I$9:$I$1008,'Existing Stores'!$D$9:$D$1008,Model!C342)</f>
        <v>17</v>
      </c>
      <c r="E342" s="67" t="s">
        <v>1268</v>
      </c>
      <c r="F342" s="29" t="s">
        <v>1267</v>
      </c>
      <c r="G342" s="153">
        <v>17</v>
      </c>
      <c r="H342" s="140">
        <v>17</v>
      </c>
      <c r="I342" s="140">
        <v>17</v>
      </c>
      <c r="J342" s="140">
        <v>17</v>
      </c>
      <c r="K342" s="140">
        <v>17</v>
      </c>
      <c r="L342" s="140">
        <v>17</v>
      </c>
      <c r="M342" s="140">
        <v>17</v>
      </c>
      <c r="N342" s="140">
        <v>17</v>
      </c>
      <c r="O342" s="140">
        <v>17</v>
      </c>
      <c r="P342" s="140">
        <v>17</v>
      </c>
      <c r="Q342" s="140">
        <v>17</v>
      </c>
      <c r="R342" s="140">
        <v>17</v>
      </c>
      <c r="S342" s="140">
        <v>20</v>
      </c>
      <c r="T342" s="140">
        <v>20</v>
      </c>
      <c r="U342" s="140">
        <v>20</v>
      </c>
      <c r="V342" s="140">
        <v>20</v>
      </c>
      <c r="W342" s="140">
        <v>20</v>
      </c>
      <c r="X342" s="140">
        <v>20</v>
      </c>
      <c r="Y342" s="140">
        <v>20</v>
      </c>
      <c r="Z342" s="140">
        <v>20</v>
      </c>
      <c r="AA342" s="140">
        <v>20</v>
      </c>
      <c r="AB342" s="140">
        <v>20</v>
      </c>
      <c r="AC342" s="140">
        <v>20</v>
      </c>
      <c r="AD342" s="140">
        <v>20</v>
      </c>
      <c r="AE342" s="140">
        <v>20</v>
      </c>
      <c r="AF342" s="140">
        <v>20</v>
      </c>
      <c r="AG342" s="140">
        <v>20</v>
      </c>
      <c r="AH342" s="140">
        <v>20</v>
      </c>
      <c r="AI342" s="140">
        <v>20</v>
      </c>
      <c r="AJ342" s="140">
        <v>20</v>
      </c>
      <c r="AK342" s="140">
        <v>20</v>
      </c>
      <c r="AL342" s="140">
        <v>20</v>
      </c>
      <c r="AM342" s="140">
        <v>20</v>
      </c>
      <c r="AN342" s="140">
        <v>20</v>
      </c>
      <c r="AO342" s="140">
        <v>20</v>
      </c>
      <c r="AP342" s="140">
        <v>20</v>
      </c>
      <c r="AQ342" s="140">
        <v>20</v>
      </c>
      <c r="AR342" s="140">
        <v>20</v>
      </c>
      <c r="AS342" s="140">
        <v>23</v>
      </c>
      <c r="AT342" s="140">
        <v>23</v>
      </c>
      <c r="AU342" s="140">
        <v>23</v>
      </c>
      <c r="AV342" s="140">
        <v>23</v>
      </c>
      <c r="AW342" s="140">
        <v>23</v>
      </c>
      <c r="AX342" s="140">
        <v>23</v>
      </c>
      <c r="AY342" s="140">
        <v>23</v>
      </c>
      <c r="AZ342" s="140">
        <v>23</v>
      </c>
      <c r="BA342" s="140">
        <v>23</v>
      </c>
      <c r="BB342" s="140">
        <v>23</v>
      </c>
      <c r="BC342" s="140">
        <v>23</v>
      </c>
      <c r="BD342" s="140">
        <v>23</v>
      </c>
      <c r="BE342" s="140">
        <v>23</v>
      </c>
      <c r="BF342" s="140">
        <v>23</v>
      </c>
      <c r="BG342" s="140">
        <v>23</v>
      </c>
      <c r="BH342" s="140">
        <v>23</v>
      </c>
      <c r="BI342" s="140">
        <v>23</v>
      </c>
      <c r="BJ342" s="140">
        <v>23</v>
      </c>
      <c r="BK342" s="140">
        <v>23</v>
      </c>
      <c r="BL342" s="140">
        <v>23</v>
      </c>
      <c r="BM342" s="140">
        <v>23</v>
      </c>
      <c r="BN342" s="140">
        <v>23</v>
      </c>
      <c r="BO342" s="140">
        <v>23</v>
      </c>
      <c r="BP342" s="140"/>
      <c r="BQ342" s="140"/>
    </row>
    <row r="343" spans="3:69" s="22" customFormat="1" outlineLevel="1">
      <c r="C343" s="22" t="str">
        <v>Megahub</v>
      </c>
      <c r="D343" s="143">
        <f>SUMIFS('Existing Stores'!$I$9:$I$1008,'Existing Stores'!$D$9:$D$1008,Model!C343)</f>
        <v>4</v>
      </c>
      <c r="E343" s="67" t="s">
        <v>1268</v>
      </c>
      <c r="F343" s="29" t="s">
        <v>1267</v>
      </c>
      <c r="G343" s="153">
        <v>4</v>
      </c>
      <c r="H343" s="140">
        <v>4</v>
      </c>
      <c r="I343" s="140">
        <v>4</v>
      </c>
      <c r="J343" s="140">
        <v>4</v>
      </c>
      <c r="K343" s="140">
        <v>4</v>
      </c>
      <c r="L343" s="140">
        <v>4</v>
      </c>
      <c r="M343" s="140">
        <v>4</v>
      </c>
      <c r="N343" s="140">
        <v>4</v>
      </c>
      <c r="O343" s="140">
        <v>4</v>
      </c>
      <c r="P343" s="140">
        <v>4</v>
      </c>
      <c r="Q343" s="140">
        <v>4</v>
      </c>
      <c r="R343" s="140">
        <v>4</v>
      </c>
      <c r="S343" s="140">
        <v>4</v>
      </c>
      <c r="T343" s="140">
        <v>7</v>
      </c>
      <c r="U343" s="140">
        <v>7</v>
      </c>
      <c r="V343" s="140">
        <v>7</v>
      </c>
      <c r="W343" s="140">
        <v>7</v>
      </c>
      <c r="X343" s="140">
        <v>7</v>
      </c>
      <c r="Y343" s="140">
        <v>7</v>
      </c>
      <c r="Z343" s="140">
        <v>7</v>
      </c>
      <c r="AA343" s="140">
        <v>7</v>
      </c>
      <c r="AB343" s="140">
        <v>7</v>
      </c>
      <c r="AC343" s="140">
        <v>7</v>
      </c>
      <c r="AD343" s="140">
        <v>7</v>
      </c>
      <c r="AE343" s="140">
        <v>7</v>
      </c>
      <c r="AF343" s="140">
        <v>7</v>
      </c>
      <c r="AG343" s="140">
        <v>7</v>
      </c>
      <c r="AH343" s="140">
        <v>7</v>
      </c>
      <c r="AI343" s="140">
        <v>7</v>
      </c>
      <c r="AJ343" s="140">
        <v>7</v>
      </c>
      <c r="AK343" s="140">
        <v>7</v>
      </c>
      <c r="AL343" s="140">
        <v>7</v>
      </c>
      <c r="AM343" s="140">
        <v>7</v>
      </c>
      <c r="AN343" s="140">
        <v>7</v>
      </c>
      <c r="AO343" s="140">
        <v>7</v>
      </c>
      <c r="AP343" s="140">
        <v>7</v>
      </c>
      <c r="AQ343" s="140">
        <v>7</v>
      </c>
      <c r="AR343" s="140">
        <v>7</v>
      </c>
      <c r="AS343" s="140">
        <v>7</v>
      </c>
      <c r="AT343" s="140">
        <v>10</v>
      </c>
      <c r="AU343" s="140">
        <v>10</v>
      </c>
      <c r="AV343" s="140">
        <v>10</v>
      </c>
      <c r="AW343" s="140">
        <v>10</v>
      </c>
      <c r="AX343" s="140">
        <v>10</v>
      </c>
      <c r="AY343" s="140">
        <v>10</v>
      </c>
      <c r="AZ343" s="140">
        <v>10</v>
      </c>
      <c r="BA343" s="140">
        <v>10</v>
      </c>
      <c r="BB343" s="140">
        <v>10</v>
      </c>
      <c r="BC343" s="140">
        <v>10</v>
      </c>
      <c r="BD343" s="140">
        <v>10</v>
      </c>
      <c r="BE343" s="140">
        <v>10</v>
      </c>
      <c r="BF343" s="140">
        <v>10</v>
      </c>
      <c r="BG343" s="140">
        <v>10</v>
      </c>
      <c r="BH343" s="140">
        <v>10</v>
      </c>
      <c r="BI343" s="140">
        <v>10</v>
      </c>
      <c r="BJ343" s="140">
        <v>10</v>
      </c>
      <c r="BK343" s="140">
        <v>10</v>
      </c>
      <c r="BL343" s="140">
        <v>10</v>
      </c>
      <c r="BM343" s="140">
        <v>10</v>
      </c>
      <c r="BN343" s="140">
        <v>10</v>
      </c>
      <c r="BO343" s="140">
        <v>10</v>
      </c>
      <c r="BP343" s="140"/>
      <c r="BQ343" s="140"/>
    </row>
    <row r="344" spans="3:69" s="22" customFormat="1" outlineLevel="1">
      <c r="C344" s="22" t="str">
        <v>Nodeline</v>
      </c>
      <c r="D344" s="143">
        <f>SUMIFS('Existing Stores'!$I$9:$I$1008,'Existing Stores'!$D$9:$D$1008,Model!C344)</f>
        <v>25</v>
      </c>
      <c r="E344" s="67" t="s">
        <v>1268</v>
      </c>
      <c r="F344" s="29" t="s">
        <v>1267</v>
      </c>
      <c r="G344" s="153">
        <v>25</v>
      </c>
      <c r="H344" s="140">
        <v>25</v>
      </c>
      <c r="I344" s="140">
        <v>25</v>
      </c>
      <c r="J344" s="140">
        <v>25</v>
      </c>
      <c r="K344" s="140">
        <v>25</v>
      </c>
      <c r="L344" s="140">
        <v>25</v>
      </c>
      <c r="M344" s="140">
        <v>25</v>
      </c>
      <c r="N344" s="140">
        <v>25</v>
      </c>
      <c r="O344" s="140">
        <v>25</v>
      </c>
      <c r="P344" s="140">
        <v>25</v>
      </c>
      <c r="Q344" s="140">
        <v>25</v>
      </c>
      <c r="R344" s="140">
        <v>25</v>
      </c>
      <c r="S344" s="140">
        <v>25</v>
      </c>
      <c r="T344" s="140">
        <v>25</v>
      </c>
      <c r="U344" s="140">
        <v>28</v>
      </c>
      <c r="V344" s="140">
        <v>28</v>
      </c>
      <c r="W344" s="140">
        <v>28</v>
      </c>
      <c r="X344" s="140">
        <v>28</v>
      </c>
      <c r="Y344" s="140">
        <v>28</v>
      </c>
      <c r="Z344" s="140">
        <v>28</v>
      </c>
      <c r="AA344" s="140">
        <v>28</v>
      </c>
      <c r="AB344" s="140">
        <v>28</v>
      </c>
      <c r="AC344" s="140">
        <v>28</v>
      </c>
      <c r="AD344" s="140">
        <v>28</v>
      </c>
      <c r="AE344" s="140">
        <v>28</v>
      </c>
      <c r="AF344" s="140">
        <v>28</v>
      </c>
      <c r="AG344" s="140">
        <v>28</v>
      </c>
      <c r="AH344" s="140">
        <v>28</v>
      </c>
      <c r="AI344" s="140">
        <v>28</v>
      </c>
      <c r="AJ344" s="140">
        <v>28</v>
      </c>
      <c r="AK344" s="140">
        <v>28</v>
      </c>
      <c r="AL344" s="140">
        <v>28</v>
      </c>
      <c r="AM344" s="140">
        <v>28</v>
      </c>
      <c r="AN344" s="140">
        <v>28</v>
      </c>
      <c r="AO344" s="140">
        <v>28</v>
      </c>
      <c r="AP344" s="140">
        <v>28</v>
      </c>
      <c r="AQ344" s="140">
        <v>28</v>
      </c>
      <c r="AR344" s="140">
        <v>28</v>
      </c>
      <c r="AS344" s="140">
        <v>28</v>
      </c>
      <c r="AT344" s="140">
        <v>28</v>
      </c>
      <c r="AU344" s="140">
        <v>31</v>
      </c>
      <c r="AV344" s="140">
        <v>31</v>
      </c>
      <c r="AW344" s="140">
        <v>31</v>
      </c>
      <c r="AX344" s="140">
        <v>31</v>
      </c>
      <c r="AY344" s="140">
        <v>31</v>
      </c>
      <c r="AZ344" s="140">
        <v>31</v>
      </c>
      <c r="BA344" s="140">
        <v>31</v>
      </c>
      <c r="BB344" s="140">
        <v>31</v>
      </c>
      <c r="BC344" s="140">
        <v>31</v>
      </c>
      <c r="BD344" s="140">
        <v>31</v>
      </c>
      <c r="BE344" s="140">
        <v>31</v>
      </c>
      <c r="BF344" s="140">
        <v>31</v>
      </c>
      <c r="BG344" s="140">
        <v>31</v>
      </c>
      <c r="BH344" s="140">
        <v>31</v>
      </c>
      <c r="BI344" s="140">
        <v>31</v>
      </c>
      <c r="BJ344" s="140">
        <v>31</v>
      </c>
      <c r="BK344" s="140">
        <v>31</v>
      </c>
      <c r="BL344" s="140">
        <v>31</v>
      </c>
      <c r="BM344" s="140">
        <v>31</v>
      </c>
      <c r="BN344" s="140">
        <v>31</v>
      </c>
      <c r="BO344" s="140">
        <v>31</v>
      </c>
      <c r="BP344" s="140"/>
      <c r="BQ344" s="140"/>
    </row>
    <row r="345" spans="3:69" s="22" customFormat="1" outlineLevel="1">
      <c r="C345" s="22" t="str">
        <v>Overclock Oasis</v>
      </c>
      <c r="D345" s="143">
        <f>SUMIFS('Existing Stores'!$I$9:$I$1008,'Existing Stores'!$D$9:$D$1008,Model!C345)</f>
        <v>181</v>
      </c>
      <c r="E345" s="67" t="s">
        <v>1268</v>
      </c>
      <c r="F345" s="29" t="s">
        <v>1267</v>
      </c>
      <c r="G345" s="153">
        <v>181</v>
      </c>
      <c r="H345" s="140">
        <v>181</v>
      </c>
      <c r="I345" s="140">
        <v>181</v>
      </c>
      <c r="J345" s="140">
        <v>181</v>
      </c>
      <c r="K345" s="140">
        <v>181</v>
      </c>
      <c r="L345" s="140">
        <v>181</v>
      </c>
      <c r="M345" s="140">
        <v>181</v>
      </c>
      <c r="N345" s="140">
        <v>181</v>
      </c>
      <c r="O345" s="140">
        <v>181</v>
      </c>
      <c r="P345" s="140">
        <v>181</v>
      </c>
      <c r="Q345" s="140">
        <v>181</v>
      </c>
      <c r="R345" s="140">
        <v>181</v>
      </c>
      <c r="S345" s="140">
        <v>181</v>
      </c>
      <c r="T345" s="140">
        <v>181</v>
      </c>
      <c r="U345" s="140">
        <v>181</v>
      </c>
      <c r="V345" s="140">
        <v>184</v>
      </c>
      <c r="W345" s="140">
        <v>184</v>
      </c>
      <c r="X345" s="140">
        <v>184</v>
      </c>
      <c r="Y345" s="140">
        <v>184</v>
      </c>
      <c r="Z345" s="140">
        <v>184</v>
      </c>
      <c r="AA345" s="140">
        <v>184</v>
      </c>
      <c r="AB345" s="140">
        <v>184</v>
      </c>
      <c r="AC345" s="140">
        <v>184</v>
      </c>
      <c r="AD345" s="140">
        <v>184</v>
      </c>
      <c r="AE345" s="140">
        <v>184</v>
      </c>
      <c r="AF345" s="140">
        <v>184</v>
      </c>
      <c r="AG345" s="140">
        <v>184</v>
      </c>
      <c r="AH345" s="140">
        <v>184</v>
      </c>
      <c r="AI345" s="140">
        <v>184</v>
      </c>
      <c r="AJ345" s="140">
        <v>184</v>
      </c>
      <c r="AK345" s="140">
        <v>184</v>
      </c>
      <c r="AL345" s="140">
        <v>184</v>
      </c>
      <c r="AM345" s="140">
        <v>184</v>
      </c>
      <c r="AN345" s="140">
        <v>184</v>
      </c>
      <c r="AO345" s="140">
        <v>184</v>
      </c>
      <c r="AP345" s="140">
        <v>184</v>
      </c>
      <c r="AQ345" s="140">
        <v>184</v>
      </c>
      <c r="AR345" s="140">
        <v>184</v>
      </c>
      <c r="AS345" s="140">
        <v>184</v>
      </c>
      <c r="AT345" s="140">
        <v>184</v>
      </c>
      <c r="AU345" s="140">
        <v>184</v>
      </c>
      <c r="AV345" s="140">
        <v>187</v>
      </c>
      <c r="AW345" s="140">
        <v>187</v>
      </c>
      <c r="AX345" s="140">
        <v>187</v>
      </c>
      <c r="AY345" s="140">
        <v>187</v>
      </c>
      <c r="AZ345" s="140">
        <v>187</v>
      </c>
      <c r="BA345" s="140">
        <v>187</v>
      </c>
      <c r="BB345" s="140">
        <v>187</v>
      </c>
      <c r="BC345" s="140">
        <v>187</v>
      </c>
      <c r="BD345" s="140">
        <v>187</v>
      </c>
      <c r="BE345" s="140">
        <v>187</v>
      </c>
      <c r="BF345" s="140">
        <v>187</v>
      </c>
      <c r="BG345" s="140">
        <v>187</v>
      </c>
      <c r="BH345" s="140">
        <v>187</v>
      </c>
      <c r="BI345" s="140">
        <v>187</v>
      </c>
      <c r="BJ345" s="140">
        <v>187</v>
      </c>
      <c r="BK345" s="140">
        <v>187</v>
      </c>
      <c r="BL345" s="140">
        <v>187</v>
      </c>
      <c r="BM345" s="140">
        <v>187</v>
      </c>
      <c r="BN345" s="140">
        <v>187</v>
      </c>
      <c r="BO345" s="140">
        <v>187</v>
      </c>
      <c r="BP345" s="140"/>
      <c r="BQ345" s="140"/>
    </row>
    <row r="346" spans="3:69" s="22" customFormat="1" outlineLevel="1">
      <c r="C346" s="22" t="str">
        <v>Pingborough</v>
      </c>
      <c r="D346" s="143">
        <f>SUMIFS('Existing Stores'!$I$9:$I$1008,'Existing Stores'!$D$9:$D$1008,Model!C346)</f>
        <v>10</v>
      </c>
      <c r="E346" s="67" t="s">
        <v>1268</v>
      </c>
      <c r="F346" s="29" t="s">
        <v>1267</v>
      </c>
      <c r="G346" s="153">
        <v>10</v>
      </c>
      <c r="H346" s="140">
        <v>10</v>
      </c>
      <c r="I346" s="140">
        <v>10</v>
      </c>
      <c r="J346" s="140">
        <v>10</v>
      </c>
      <c r="K346" s="140">
        <v>10</v>
      </c>
      <c r="L346" s="140">
        <v>10</v>
      </c>
      <c r="M346" s="140">
        <v>10</v>
      </c>
      <c r="N346" s="140">
        <v>10</v>
      </c>
      <c r="O346" s="140">
        <v>10</v>
      </c>
      <c r="P346" s="140">
        <v>10</v>
      </c>
      <c r="Q346" s="140">
        <v>10</v>
      </c>
      <c r="R346" s="140">
        <v>10</v>
      </c>
      <c r="S346" s="140">
        <v>10</v>
      </c>
      <c r="T346" s="140">
        <v>10</v>
      </c>
      <c r="U346" s="140">
        <v>10</v>
      </c>
      <c r="V346" s="140">
        <v>10</v>
      </c>
      <c r="W346" s="140">
        <v>13</v>
      </c>
      <c r="X346" s="140">
        <v>13</v>
      </c>
      <c r="Y346" s="140">
        <v>13</v>
      </c>
      <c r="Z346" s="140">
        <v>13</v>
      </c>
      <c r="AA346" s="140">
        <v>13</v>
      </c>
      <c r="AB346" s="140">
        <v>13</v>
      </c>
      <c r="AC346" s="140">
        <v>13</v>
      </c>
      <c r="AD346" s="140">
        <v>13</v>
      </c>
      <c r="AE346" s="140">
        <v>13</v>
      </c>
      <c r="AF346" s="140">
        <v>13</v>
      </c>
      <c r="AG346" s="140">
        <v>13</v>
      </c>
      <c r="AH346" s="140">
        <v>13</v>
      </c>
      <c r="AI346" s="140">
        <v>13</v>
      </c>
      <c r="AJ346" s="140">
        <v>13</v>
      </c>
      <c r="AK346" s="140">
        <v>13</v>
      </c>
      <c r="AL346" s="140">
        <v>13</v>
      </c>
      <c r="AM346" s="140">
        <v>13</v>
      </c>
      <c r="AN346" s="140">
        <v>13</v>
      </c>
      <c r="AO346" s="140">
        <v>13</v>
      </c>
      <c r="AP346" s="140">
        <v>13</v>
      </c>
      <c r="AQ346" s="140">
        <v>13</v>
      </c>
      <c r="AR346" s="140">
        <v>13</v>
      </c>
      <c r="AS346" s="140">
        <v>13</v>
      </c>
      <c r="AT346" s="140">
        <v>13</v>
      </c>
      <c r="AU346" s="140">
        <v>13</v>
      </c>
      <c r="AV346" s="140">
        <v>13</v>
      </c>
      <c r="AW346" s="140">
        <v>16</v>
      </c>
      <c r="AX346" s="140">
        <v>16</v>
      </c>
      <c r="AY346" s="140">
        <v>16</v>
      </c>
      <c r="AZ346" s="140">
        <v>16</v>
      </c>
      <c r="BA346" s="140">
        <v>16</v>
      </c>
      <c r="BB346" s="140">
        <v>16</v>
      </c>
      <c r="BC346" s="140">
        <v>16</v>
      </c>
      <c r="BD346" s="140">
        <v>16</v>
      </c>
      <c r="BE346" s="140">
        <v>16</v>
      </c>
      <c r="BF346" s="140">
        <v>16</v>
      </c>
      <c r="BG346" s="140">
        <v>16</v>
      </c>
      <c r="BH346" s="140">
        <v>16</v>
      </c>
      <c r="BI346" s="140">
        <v>16</v>
      </c>
      <c r="BJ346" s="140">
        <v>16</v>
      </c>
      <c r="BK346" s="140">
        <v>16</v>
      </c>
      <c r="BL346" s="140">
        <v>16</v>
      </c>
      <c r="BM346" s="140">
        <v>16</v>
      </c>
      <c r="BN346" s="140">
        <v>16</v>
      </c>
      <c r="BO346" s="140">
        <v>16</v>
      </c>
      <c r="BP346" s="140"/>
      <c r="BQ346" s="140"/>
    </row>
    <row r="347" spans="3:69" s="22" customFormat="1" outlineLevel="1">
      <c r="C347" s="22" t="str">
        <v>Quantum Quay</v>
      </c>
      <c r="D347" s="143">
        <f>SUMIFS('Existing Stores'!$I$9:$I$1008,'Existing Stores'!$D$9:$D$1008,Model!C347)</f>
        <v>28</v>
      </c>
      <c r="E347" s="67" t="s">
        <v>1268</v>
      </c>
      <c r="F347" s="29" t="s">
        <v>1267</v>
      </c>
      <c r="G347" s="153">
        <v>28</v>
      </c>
      <c r="H347" s="140">
        <v>28</v>
      </c>
      <c r="I347" s="140">
        <v>28</v>
      </c>
      <c r="J347" s="140">
        <v>28</v>
      </c>
      <c r="K347" s="140">
        <v>28</v>
      </c>
      <c r="L347" s="140">
        <v>28</v>
      </c>
      <c r="M347" s="140">
        <v>28</v>
      </c>
      <c r="N347" s="140">
        <v>28</v>
      </c>
      <c r="O347" s="140">
        <v>28</v>
      </c>
      <c r="P347" s="140">
        <v>28</v>
      </c>
      <c r="Q347" s="140">
        <v>28</v>
      </c>
      <c r="R347" s="140">
        <v>28</v>
      </c>
      <c r="S347" s="140">
        <v>28</v>
      </c>
      <c r="T347" s="140">
        <v>28</v>
      </c>
      <c r="U347" s="140">
        <v>28</v>
      </c>
      <c r="V347" s="140">
        <v>28</v>
      </c>
      <c r="W347" s="140">
        <v>28</v>
      </c>
      <c r="X347" s="140">
        <v>31</v>
      </c>
      <c r="Y347" s="140">
        <v>31</v>
      </c>
      <c r="Z347" s="140">
        <v>31</v>
      </c>
      <c r="AA347" s="140">
        <v>31</v>
      </c>
      <c r="AB347" s="140">
        <v>31</v>
      </c>
      <c r="AC347" s="140">
        <v>31</v>
      </c>
      <c r="AD347" s="140">
        <v>31</v>
      </c>
      <c r="AE347" s="140">
        <v>31</v>
      </c>
      <c r="AF347" s="140">
        <v>31</v>
      </c>
      <c r="AG347" s="140">
        <v>31</v>
      </c>
      <c r="AH347" s="140">
        <v>31</v>
      </c>
      <c r="AI347" s="140">
        <v>31</v>
      </c>
      <c r="AJ347" s="140">
        <v>31</v>
      </c>
      <c r="AK347" s="140">
        <v>31</v>
      </c>
      <c r="AL347" s="140">
        <v>31</v>
      </c>
      <c r="AM347" s="140">
        <v>31</v>
      </c>
      <c r="AN347" s="140">
        <v>31</v>
      </c>
      <c r="AO347" s="140">
        <v>31</v>
      </c>
      <c r="AP347" s="140">
        <v>31</v>
      </c>
      <c r="AQ347" s="140">
        <v>31</v>
      </c>
      <c r="AR347" s="140">
        <v>31</v>
      </c>
      <c r="AS347" s="140">
        <v>31</v>
      </c>
      <c r="AT347" s="140">
        <v>31</v>
      </c>
      <c r="AU347" s="140">
        <v>31</v>
      </c>
      <c r="AV347" s="140">
        <v>31</v>
      </c>
      <c r="AW347" s="140">
        <v>31</v>
      </c>
      <c r="AX347" s="140">
        <v>34</v>
      </c>
      <c r="AY347" s="140">
        <v>34</v>
      </c>
      <c r="AZ347" s="140">
        <v>34</v>
      </c>
      <c r="BA347" s="140">
        <v>34</v>
      </c>
      <c r="BB347" s="140">
        <v>34</v>
      </c>
      <c r="BC347" s="140">
        <v>34</v>
      </c>
      <c r="BD347" s="140">
        <v>34</v>
      </c>
      <c r="BE347" s="140">
        <v>34</v>
      </c>
      <c r="BF347" s="140">
        <v>34</v>
      </c>
      <c r="BG347" s="140">
        <v>34</v>
      </c>
      <c r="BH347" s="140">
        <v>34</v>
      </c>
      <c r="BI347" s="140">
        <v>34</v>
      </c>
      <c r="BJ347" s="140">
        <v>34</v>
      </c>
      <c r="BK347" s="140">
        <v>34</v>
      </c>
      <c r="BL347" s="140">
        <v>34</v>
      </c>
      <c r="BM347" s="140">
        <v>34</v>
      </c>
      <c r="BN347" s="140">
        <v>34</v>
      </c>
      <c r="BO347" s="140">
        <v>34</v>
      </c>
      <c r="BP347" s="140"/>
      <c r="BQ347" s="140"/>
    </row>
    <row r="348" spans="3:69" s="22" customFormat="1" outlineLevel="1">
      <c r="C348" s="22" t="str">
        <v>Renderburg</v>
      </c>
      <c r="D348" s="145">
        <f>SUMIFS('Existing Stores'!$I$9:$I$1008,'Existing Stores'!$D$9:$D$1008,Model!C348)</f>
        <v>667</v>
      </c>
      <c r="E348" s="67" t="s">
        <v>1268</v>
      </c>
      <c r="F348" s="29" t="s">
        <v>1267</v>
      </c>
      <c r="G348" s="153">
        <v>667</v>
      </c>
      <c r="H348" s="140">
        <v>667</v>
      </c>
      <c r="I348" s="140">
        <v>667</v>
      </c>
      <c r="J348" s="140">
        <v>667</v>
      </c>
      <c r="K348" s="140">
        <v>667</v>
      </c>
      <c r="L348" s="140">
        <v>667</v>
      </c>
      <c r="M348" s="140">
        <v>667</v>
      </c>
      <c r="N348" s="140">
        <v>667</v>
      </c>
      <c r="O348" s="140">
        <v>667</v>
      </c>
      <c r="P348" s="140">
        <v>667</v>
      </c>
      <c r="Q348" s="140">
        <v>667</v>
      </c>
      <c r="R348" s="140">
        <v>667</v>
      </c>
      <c r="S348" s="140">
        <v>667</v>
      </c>
      <c r="T348" s="140">
        <v>667</v>
      </c>
      <c r="U348" s="140">
        <v>667</v>
      </c>
      <c r="V348" s="140">
        <v>667</v>
      </c>
      <c r="W348" s="140">
        <v>667</v>
      </c>
      <c r="X348" s="140">
        <v>667</v>
      </c>
      <c r="Y348" s="140">
        <v>670</v>
      </c>
      <c r="Z348" s="140">
        <v>670</v>
      </c>
      <c r="AA348" s="140">
        <v>670</v>
      </c>
      <c r="AB348" s="140">
        <v>670</v>
      </c>
      <c r="AC348" s="140">
        <v>670</v>
      </c>
      <c r="AD348" s="140">
        <v>670</v>
      </c>
      <c r="AE348" s="140">
        <v>670</v>
      </c>
      <c r="AF348" s="140">
        <v>670</v>
      </c>
      <c r="AG348" s="140">
        <v>670</v>
      </c>
      <c r="AH348" s="140">
        <v>670</v>
      </c>
      <c r="AI348" s="140">
        <v>670</v>
      </c>
      <c r="AJ348" s="140">
        <v>670</v>
      </c>
      <c r="AK348" s="140">
        <v>670</v>
      </c>
      <c r="AL348" s="140">
        <v>670</v>
      </c>
      <c r="AM348" s="140">
        <v>670</v>
      </c>
      <c r="AN348" s="140">
        <v>670</v>
      </c>
      <c r="AO348" s="140">
        <v>670</v>
      </c>
      <c r="AP348" s="140">
        <v>670</v>
      </c>
      <c r="AQ348" s="140">
        <v>670</v>
      </c>
      <c r="AR348" s="140">
        <v>670</v>
      </c>
      <c r="AS348" s="140">
        <v>670</v>
      </c>
      <c r="AT348" s="140">
        <v>670</v>
      </c>
      <c r="AU348" s="140">
        <v>670</v>
      </c>
      <c r="AV348" s="140">
        <v>670</v>
      </c>
      <c r="AW348" s="140">
        <v>670</v>
      </c>
      <c r="AX348" s="140">
        <v>670</v>
      </c>
      <c r="AY348" s="140">
        <v>673</v>
      </c>
      <c r="AZ348" s="140">
        <v>673</v>
      </c>
      <c r="BA348" s="140">
        <v>673</v>
      </c>
      <c r="BB348" s="140">
        <v>673</v>
      </c>
      <c r="BC348" s="140">
        <v>673</v>
      </c>
      <c r="BD348" s="140">
        <v>673</v>
      </c>
      <c r="BE348" s="140">
        <v>673</v>
      </c>
      <c r="BF348" s="140">
        <v>673</v>
      </c>
      <c r="BG348" s="140">
        <v>673</v>
      </c>
      <c r="BH348" s="140">
        <v>673</v>
      </c>
      <c r="BI348" s="140">
        <v>673</v>
      </c>
      <c r="BJ348" s="140">
        <v>673</v>
      </c>
      <c r="BK348" s="140">
        <v>673</v>
      </c>
      <c r="BL348" s="140">
        <v>673</v>
      </c>
      <c r="BM348" s="140">
        <v>673</v>
      </c>
      <c r="BN348" s="140">
        <v>673</v>
      </c>
      <c r="BO348" s="140">
        <v>673</v>
      </c>
      <c r="BP348" s="140"/>
      <c r="BQ348" s="140"/>
    </row>
    <row r="349" spans="3:69" s="22" customFormat="1" outlineLevel="1">
      <c r="C349" s="22" t="str">
        <v>Socket Springs</v>
      </c>
      <c r="D349" s="143">
        <f>SUMIFS('Existing Stores'!$I$9:$I$1008,'Existing Stores'!$D$9:$D$1008,Model!C349)</f>
        <v>585</v>
      </c>
      <c r="E349" s="67" t="s">
        <v>1268</v>
      </c>
      <c r="F349" s="29" t="s">
        <v>1267</v>
      </c>
      <c r="G349" s="153">
        <v>585</v>
      </c>
      <c r="H349" s="140">
        <v>585</v>
      </c>
      <c r="I349" s="140">
        <v>585</v>
      </c>
      <c r="J349" s="140">
        <v>585</v>
      </c>
      <c r="K349" s="140">
        <v>585</v>
      </c>
      <c r="L349" s="140">
        <v>585</v>
      </c>
      <c r="M349" s="140">
        <v>585</v>
      </c>
      <c r="N349" s="140">
        <v>585</v>
      </c>
      <c r="O349" s="140">
        <v>585</v>
      </c>
      <c r="P349" s="140">
        <v>585</v>
      </c>
      <c r="Q349" s="140">
        <v>585</v>
      </c>
      <c r="R349" s="140">
        <v>585</v>
      </c>
      <c r="S349" s="140">
        <v>585</v>
      </c>
      <c r="T349" s="140">
        <v>585</v>
      </c>
      <c r="U349" s="140">
        <v>585</v>
      </c>
      <c r="V349" s="140">
        <v>585</v>
      </c>
      <c r="W349" s="140">
        <v>585</v>
      </c>
      <c r="X349" s="140">
        <v>585</v>
      </c>
      <c r="Y349" s="140">
        <v>585</v>
      </c>
      <c r="Z349" s="140">
        <v>588</v>
      </c>
      <c r="AA349" s="140">
        <v>588</v>
      </c>
      <c r="AB349" s="140">
        <v>588</v>
      </c>
      <c r="AC349" s="140">
        <v>588</v>
      </c>
      <c r="AD349" s="140">
        <v>588</v>
      </c>
      <c r="AE349" s="140">
        <v>588</v>
      </c>
      <c r="AF349" s="140">
        <v>588</v>
      </c>
      <c r="AG349" s="140">
        <v>588</v>
      </c>
      <c r="AH349" s="140">
        <v>588</v>
      </c>
      <c r="AI349" s="140">
        <v>588</v>
      </c>
      <c r="AJ349" s="140">
        <v>588</v>
      </c>
      <c r="AK349" s="140">
        <v>588</v>
      </c>
      <c r="AL349" s="140">
        <v>588</v>
      </c>
      <c r="AM349" s="140">
        <v>588</v>
      </c>
      <c r="AN349" s="140">
        <v>588</v>
      </c>
      <c r="AO349" s="140">
        <v>588</v>
      </c>
      <c r="AP349" s="140">
        <v>588</v>
      </c>
      <c r="AQ349" s="140">
        <v>588</v>
      </c>
      <c r="AR349" s="140">
        <v>588</v>
      </c>
      <c r="AS349" s="140">
        <v>588</v>
      </c>
      <c r="AT349" s="140">
        <v>588</v>
      </c>
      <c r="AU349" s="140">
        <v>588</v>
      </c>
      <c r="AV349" s="140">
        <v>588</v>
      </c>
      <c r="AW349" s="140">
        <v>588</v>
      </c>
      <c r="AX349" s="140">
        <v>588</v>
      </c>
      <c r="AY349" s="140">
        <v>588</v>
      </c>
      <c r="AZ349" s="140">
        <v>591</v>
      </c>
      <c r="BA349" s="140">
        <v>591</v>
      </c>
      <c r="BB349" s="140">
        <v>591</v>
      </c>
      <c r="BC349" s="140">
        <v>591</v>
      </c>
      <c r="BD349" s="140">
        <v>591</v>
      </c>
      <c r="BE349" s="140">
        <v>591</v>
      </c>
      <c r="BF349" s="140">
        <v>591</v>
      </c>
      <c r="BG349" s="140">
        <v>591</v>
      </c>
      <c r="BH349" s="140">
        <v>591</v>
      </c>
      <c r="BI349" s="140">
        <v>591</v>
      </c>
      <c r="BJ349" s="140">
        <v>591</v>
      </c>
      <c r="BK349" s="140">
        <v>591</v>
      </c>
      <c r="BL349" s="140">
        <v>591</v>
      </c>
      <c r="BM349" s="140">
        <v>591</v>
      </c>
      <c r="BN349" s="140">
        <v>591</v>
      </c>
      <c r="BO349" s="140">
        <v>591</v>
      </c>
      <c r="BP349" s="140"/>
      <c r="BQ349" s="140"/>
    </row>
    <row r="350" spans="3:69" s="22" customFormat="1" outlineLevel="1">
      <c r="C350" s="22" t="str">
        <v>TerraTask</v>
      </c>
      <c r="D350" s="143">
        <f>SUMIFS('Existing Stores'!$I$9:$I$1008,'Existing Stores'!$D$9:$D$1008,Model!C350)</f>
        <v>190</v>
      </c>
      <c r="E350" s="67" t="s">
        <v>1268</v>
      </c>
      <c r="F350" s="29" t="s">
        <v>1267</v>
      </c>
      <c r="G350" s="153">
        <v>190</v>
      </c>
      <c r="H350" s="140">
        <v>190</v>
      </c>
      <c r="I350" s="140">
        <v>190</v>
      </c>
      <c r="J350" s="140">
        <v>190</v>
      </c>
      <c r="K350" s="140">
        <v>190</v>
      </c>
      <c r="L350" s="140">
        <v>190</v>
      </c>
      <c r="M350" s="140">
        <v>190</v>
      </c>
      <c r="N350" s="140">
        <v>190</v>
      </c>
      <c r="O350" s="140">
        <v>190</v>
      </c>
      <c r="P350" s="140">
        <v>190</v>
      </c>
      <c r="Q350" s="140">
        <v>190</v>
      </c>
      <c r="R350" s="140">
        <v>190</v>
      </c>
      <c r="S350" s="140">
        <v>190</v>
      </c>
      <c r="T350" s="140">
        <v>190</v>
      </c>
      <c r="U350" s="140">
        <v>190</v>
      </c>
      <c r="V350" s="140">
        <v>190</v>
      </c>
      <c r="W350" s="140">
        <v>190</v>
      </c>
      <c r="X350" s="140">
        <v>190</v>
      </c>
      <c r="Y350" s="140">
        <v>190</v>
      </c>
      <c r="Z350" s="140">
        <v>190</v>
      </c>
      <c r="AA350" s="140">
        <v>193</v>
      </c>
      <c r="AB350" s="140">
        <v>193</v>
      </c>
      <c r="AC350" s="140">
        <v>193</v>
      </c>
      <c r="AD350" s="140">
        <v>193</v>
      </c>
      <c r="AE350" s="140">
        <v>193</v>
      </c>
      <c r="AF350" s="140">
        <v>193</v>
      </c>
      <c r="AG350" s="140">
        <v>193</v>
      </c>
      <c r="AH350" s="140">
        <v>193</v>
      </c>
      <c r="AI350" s="140">
        <v>193</v>
      </c>
      <c r="AJ350" s="140">
        <v>193</v>
      </c>
      <c r="AK350" s="140">
        <v>193</v>
      </c>
      <c r="AL350" s="140">
        <v>193</v>
      </c>
      <c r="AM350" s="140">
        <v>193</v>
      </c>
      <c r="AN350" s="140">
        <v>193</v>
      </c>
      <c r="AO350" s="140">
        <v>193</v>
      </c>
      <c r="AP350" s="140">
        <v>193</v>
      </c>
      <c r="AQ350" s="140">
        <v>193</v>
      </c>
      <c r="AR350" s="140">
        <v>193</v>
      </c>
      <c r="AS350" s="140">
        <v>193</v>
      </c>
      <c r="AT350" s="140">
        <v>193</v>
      </c>
      <c r="AU350" s="140">
        <v>193</v>
      </c>
      <c r="AV350" s="140">
        <v>193</v>
      </c>
      <c r="AW350" s="140">
        <v>193</v>
      </c>
      <c r="AX350" s="140">
        <v>193</v>
      </c>
      <c r="AY350" s="140">
        <v>193</v>
      </c>
      <c r="AZ350" s="140">
        <v>193</v>
      </c>
      <c r="BA350" s="140">
        <v>196</v>
      </c>
      <c r="BB350" s="140">
        <v>196</v>
      </c>
      <c r="BC350" s="140">
        <v>196</v>
      </c>
      <c r="BD350" s="140">
        <v>196</v>
      </c>
      <c r="BE350" s="140">
        <v>196</v>
      </c>
      <c r="BF350" s="140">
        <v>196</v>
      </c>
      <c r="BG350" s="140">
        <v>196</v>
      </c>
      <c r="BH350" s="140">
        <v>196</v>
      </c>
      <c r="BI350" s="140">
        <v>196</v>
      </c>
      <c r="BJ350" s="140">
        <v>196</v>
      </c>
      <c r="BK350" s="140">
        <v>196</v>
      </c>
      <c r="BL350" s="140">
        <v>196</v>
      </c>
      <c r="BM350" s="140">
        <v>196</v>
      </c>
      <c r="BN350" s="140">
        <v>196</v>
      </c>
      <c r="BO350" s="140">
        <v>196</v>
      </c>
      <c r="BP350" s="140"/>
      <c r="BQ350" s="140"/>
    </row>
    <row r="351" spans="3:69" s="22" customFormat="1" outlineLevel="1">
      <c r="C351" s="22" t="str">
        <v>Uploadia</v>
      </c>
      <c r="D351" s="143">
        <f>SUMIFS('Existing Stores'!$I$9:$I$1008,'Existing Stores'!$D$9:$D$1008,Model!C351)</f>
        <v>3</v>
      </c>
      <c r="E351" s="67" t="s">
        <v>1268</v>
      </c>
      <c r="F351" s="29" t="s">
        <v>1267</v>
      </c>
      <c r="G351" s="153">
        <v>3</v>
      </c>
      <c r="H351" s="140">
        <v>3</v>
      </c>
      <c r="I351" s="140">
        <v>3</v>
      </c>
      <c r="J351" s="140">
        <v>3</v>
      </c>
      <c r="K351" s="140">
        <v>3</v>
      </c>
      <c r="L351" s="140">
        <v>3</v>
      </c>
      <c r="M351" s="140">
        <v>3</v>
      </c>
      <c r="N351" s="140">
        <v>3</v>
      </c>
      <c r="O351" s="140">
        <v>3</v>
      </c>
      <c r="P351" s="140">
        <v>3</v>
      </c>
      <c r="Q351" s="140">
        <v>3</v>
      </c>
      <c r="R351" s="140">
        <v>3</v>
      </c>
      <c r="S351" s="140">
        <v>3</v>
      </c>
      <c r="T351" s="140">
        <v>3</v>
      </c>
      <c r="U351" s="140">
        <v>3</v>
      </c>
      <c r="V351" s="140">
        <v>3</v>
      </c>
      <c r="W351" s="140">
        <v>3</v>
      </c>
      <c r="X351" s="140">
        <v>3</v>
      </c>
      <c r="Y351" s="140">
        <v>3</v>
      </c>
      <c r="Z351" s="140">
        <v>3</v>
      </c>
      <c r="AA351" s="140">
        <v>3</v>
      </c>
      <c r="AB351" s="140">
        <v>6</v>
      </c>
      <c r="AC351" s="140">
        <v>6</v>
      </c>
      <c r="AD351" s="140">
        <v>6</v>
      </c>
      <c r="AE351" s="140">
        <v>6</v>
      </c>
      <c r="AF351" s="140">
        <v>6</v>
      </c>
      <c r="AG351" s="140">
        <v>6</v>
      </c>
      <c r="AH351" s="140">
        <v>6</v>
      </c>
      <c r="AI351" s="140">
        <v>6</v>
      </c>
      <c r="AJ351" s="140">
        <v>6</v>
      </c>
      <c r="AK351" s="140">
        <v>6</v>
      </c>
      <c r="AL351" s="140">
        <v>6</v>
      </c>
      <c r="AM351" s="140">
        <v>6</v>
      </c>
      <c r="AN351" s="140">
        <v>6</v>
      </c>
      <c r="AO351" s="140">
        <v>6</v>
      </c>
      <c r="AP351" s="140">
        <v>6</v>
      </c>
      <c r="AQ351" s="140">
        <v>6</v>
      </c>
      <c r="AR351" s="140">
        <v>6</v>
      </c>
      <c r="AS351" s="140">
        <v>6</v>
      </c>
      <c r="AT351" s="140">
        <v>6</v>
      </c>
      <c r="AU351" s="140">
        <v>6</v>
      </c>
      <c r="AV351" s="140">
        <v>6</v>
      </c>
      <c r="AW351" s="140">
        <v>6</v>
      </c>
      <c r="AX351" s="140">
        <v>6</v>
      </c>
      <c r="AY351" s="140">
        <v>6</v>
      </c>
      <c r="AZ351" s="140">
        <v>6</v>
      </c>
      <c r="BA351" s="140">
        <v>6</v>
      </c>
      <c r="BB351" s="140">
        <v>9</v>
      </c>
      <c r="BC351" s="140">
        <v>9</v>
      </c>
      <c r="BD351" s="140">
        <v>9</v>
      </c>
      <c r="BE351" s="140">
        <v>9</v>
      </c>
      <c r="BF351" s="140">
        <v>9</v>
      </c>
      <c r="BG351" s="140">
        <v>9</v>
      </c>
      <c r="BH351" s="140">
        <v>9</v>
      </c>
      <c r="BI351" s="140">
        <v>9</v>
      </c>
      <c r="BJ351" s="140">
        <v>9</v>
      </c>
      <c r="BK351" s="140">
        <v>9</v>
      </c>
      <c r="BL351" s="140">
        <v>9</v>
      </c>
      <c r="BM351" s="140">
        <v>9</v>
      </c>
      <c r="BN351" s="140">
        <v>9</v>
      </c>
      <c r="BO351" s="140">
        <v>9</v>
      </c>
      <c r="BP351" s="140"/>
      <c r="BQ351" s="140"/>
    </row>
    <row r="352" spans="3:69" s="22" customFormat="1" outlineLevel="1">
      <c r="C352" s="22" t="str">
        <v>Vector Valley</v>
      </c>
      <c r="D352" s="143">
        <f>SUMIFS('Existing Stores'!$I$9:$I$1008,'Existing Stores'!$D$9:$D$1008,Model!C352)</f>
        <v>95</v>
      </c>
      <c r="E352" s="67" t="s">
        <v>1268</v>
      </c>
      <c r="F352" s="29" t="s">
        <v>1267</v>
      </c>
      <c r="G352" s="153">
        <v>95</v>
      </c>
      <c r="H352" s="140">
        <v>95</v>
      </c>
      <c r="I352" s="140">
        <v>95</v>
      </c>
      <c r="J352" s="140">
        <v>95</v>
      </c>
      <c r="K352" s="140">
        <v>95</v>
      </c>
      <c r="L352" s="140">
        <v>95</v>
      </c>
      <c r="M352" s="140">
        <v>95</v>
      </c>
      <c r="N352" s="140">
        <v>95</v>
      </c>
      <c r="O352" s="140">
        <v>95</v>
      </c>
      <c r="P352" s="140">
        <v>95</v>
      </c>
      <c r="Q352" s="140">
        <v>95</v>
      </c>
      <c r="R352" s="140">
        <v>95</v>
      </c>
      <c r="S352" s="140">
        <v>95</v>
      </c>
      <c r="T352" s="140">
        <v>95</v>
      </c>
      <c r="U352" s="140">
        <v>95</v>
      </c>
      <c r="V352" s="140">
        <v>95</v>
      </c>
      <c r="W352" s="140">
        <v>95</v>
      </c>
      <c r="X352" s="140">
        <v>95</v>
      </c>
      <c r="Y352" s="140">
        <v>95</v>
      </c>
      <c r="Z352" s="140">
        <v>95</v>
      </c>
      <c r="AA352" s="140">
        <v>95</v>
      </c>
      <c r="AB352" s="140">
        <v>95</v>
      </c>
      <c r="AC352" s="140">
        <v>98</v>
      </c>
      <c r="AD352" s="140">
        <v>98</v>
      </c>
      <c r="AE352" s="140">
        <v>98</v>
      </c>
      <c r="AF352" s="140">
        <v>98</v>
      </c>
      <c r="AG352" s="140">
        <v>98</v>
      </c>
      <c r="AH352" s="140">
        <v>98</v>
      </c>
      <c r="AI352" s="140">
        <v>98</v>
      </c>
      <c r="AJ352" s="140">
        <v>98</v>
      </c>
      <c r="AK352" s="140">
        <v>98</v>
      </c>
      <c r="AL352" s="140">
        <v>98</v>
      </c>
      <c r="AM352" s="140">
        <v>98</v>
      </c>
      <c r="AN352" s="140">
        <v>98</v>
      </c>
      <c r="AO352" s="140">
        <v>98</v>
      </c>
      <c r="AP352" s="140">
        <v>98</v>
      </c>
      <c r="AQ352" s="140">
        <v>98</v>
      </c>
      <c r="AR352" s="140">
        <v>98</v>
      </c>
      <c r="AS352" s="140">
        <v>98</v>
      </c>
      <c r="AT352" s="140">
        <v>98</v>
      </c>
      <c r="AU352" s="140">
        <v>98</v>
      </c>
      <c r="AV352" s="140">
        <v>98</v>
      </c>
      <c r="AW352" s="140">
        <v>98</v>
      </c>
      <c r="AX352" s="140">
        <v>98</v>
      </c>
      <c r="AY352" s="140">
        <v>98</v>
      </c>
      <c r="AZ352" s="140">
        <v>98</v>
      </c>
      <c r="BA352" s="140">
        <v>98</v>
      </c>
      <c r="BB352" s="140">
        <v>98</v>
      </c>
      <c r="BC352" s="140">
        <v>101</v>
      </c>
      <c r="BD352" s="140">
        <v>101</v>
      </c>
      <c r="BE352" s="140">
        <v>101</v>
      </c>
      <c r="BF352" s="140">
        <v>101</v>
      </c>
      <c r="BG352" s="140">
        <v>101</v>
      </c>
      <c r="BH352" s="140">
        <v>101</v>
      </c>
      <c r="BI352" s="140">
        <v>101</v>
      </c>
      <c r="BJ352" s="140">
        <v>101</v>
      </c>
      <c r="BK352" s="140">
        <v>101</v>
      </c>
      <c r="BL352" s="140">
        <v>101</v>
      </c>
      <c r="BM352" s="140">
        <v>101</v>
      </c>
      <c r="BN352" s="140">
        <v>101</v>
      </c>
      <c r="BO352" s="140">
        <v>101</v>
      </c>
      <c r="BP352" s="140"/>
      <c r="BQ352" s="140"/>
    </row>
    <row r="353" spans="2:69" s="22" customFormat="1" outlineLevel="1">
      <c r="C353" s="22" t="str">
        <v>Wiredown</v>
      </c>
      <c r="D353" s="143">
        <f>SUMIFS('Existing Stores'!$I$9:$I$1008,'Existing Stores'!$D$9:$D$1008,Model!C353)</f>
        <v>24</v>
      </c>
      <c r="E353" s="67" t="s">
        <v>1268</v>
      </c>
      <c r="F353" s="29" t="s">
        <v>1267</v>
      </c>
      <c r="G353" s="153">
        <v>24</v>
      </c>
      <c r="H353" s="140">
        <v>24</v>
      </c>
      <c r="I353" s="140">
        <v>24</v>
      </c>
      <c r="J353" s="140">
        <v>24</v>
      </c>
      <c r="K353" s="140">
        <v>24</v>
      </c>
      <c r="L353" s="140">
        <v>24</v>
      </c>
      <c r="M353" s="140">
        <v>24</v>
      </c>
      <c r="N353" s="140">
        <v>24</v>
      </c>
      <c r="O353" s="140">
        <v>24</v>
      </c>
      <c r="P353" s="140">
        <v>24</v>
      </c>
      <c r="Q353" s="140">
        <v>24</v>
      </c>
      <c r="R353" s="140">
        <v>24</v>
      </c>
      <c r="S353" s="140">
        <v>24</v>
      </c>
      <c r="T353" s="140">
        <v>24</v>
      </c>
      <c r="U353" s="140">
        <v>24</v>
      </c>
      <c r="V353" s="140">
        <v>24</v>
      </c>
      <c r="W353" s="140">
        <v>24</v>
      </c>
      <c r="X353" s="140">
        <v>24</v>
      </c>
      <c r="Y353" s="140">
        <v>24</v>
      </c>
      <c r="Z353" s="140">
        <v>24</v>
      </c>
      <c r="AA353" s="140">
        <v>24</v>
      </c>
      <c r="AB353" s="140">
        <v>24</v>
      </c>
      <c r="AC353" s="140">
        <v>24</v>
      </c>
      <c r="AD353" s="140">
        <v>27</v>
      </c>
      <c r="AE353" s="140">
        <v>27</v>
      </c>
      <c r="AF353" s="140">
        <v>27</v>
      </c>
      <c r="AG353" s="140">
        <v>27</v>
      </c>
      <c r="AH353" s="140">
        <v>27</v>
      </c>
      <c r="AI353" s="140">
        <v>27</v>
      </c>
      <c r="AJ353" s="140">
        <v>27</v>
      </c>
      <c r="AK353" s="140">
        <v>27</v>
      </c>
      <c r="AL353" s="140">
        <v>27</v>
      </c>
      <c r="AM353" s="140">
        <v>27</v>
      </c>
      <c r="AN353" s="140">
        <v>27</v>
      </c>
      <c r="AO353" s="140">
        <v>27</v>
      </c>
      <c r="AP353" s="140">
        <v>27</v>
      </c>
      <c r="AQ353" s="140">
        <v>27</v>
      </c>
      <c r="AR353" s="140">
        <v>27</v>
      </c>
      <c r="AS353" s="140">
        <v>27</v>
      </c>
      <c r="AT353" s="140">
        <v>27</v>
      </c>
      <c r="AU353" s="140">
        <v>27</v>
      </c>
      <c r="AV353" s="140">
        <v>27</v>
      </c>
      <c r="AW353" s="140">
        <v>27</v>
      </c>
      <c r="AX353" s="140">
        <v>27</v>
      </c>
      <c r="AY353" s="140">
        <v>27</v>
      </c>
      <c r="AZ353" s="140">
        <v>27</v>
      </c>
      <c r="BA353" s="140">
        <v>27</v>
      </c>
      <c r="BB353" s="140">
        <v>27</v>
      </c>
      <c r="BC353" s="140">
        <v>27</v>
      </c>
      <c r="BD353" s="140">
        <v>30</v>
      </c>
      <c r="BE353" s="140">
        <v>30</v>
      </c>
      <c r="BF353" s="140">
        <v>30</v>
      </c>
      <c r="BG353" s="140">
        <v>30</v>
      </c>
      <c r="BH353" s="140">
        <v>30</v>
      </c>
      <c r="BI353" s="140">
        <v>30</v>
      </c>
      <c r="BJ353" s="140">
        <v>30</v>
      </c>
      <c r="BK353" s="140">
        <v>30</v>
      </c>
      <c r="BL353" s="140">
        <v>30</v>
      </c>
      <c r="BM353" s="140">
        <v>30</v>
      </c>
      <c r="BN353" s="140">
        <v>30</v>
      </c>
      <c r="BO353" s="140">
        <v>30</v>
      </c>
      <c r="BP353" s="140"/>
      <c r="BQ353" s="140"/>
    </row>
    <row r="354" spans="2:69" s="22" customFormat="1" outlineLevel="1">
      <c r="C354" s="22" t="str">
        <v>Xenocode City</v>
      </c>
      <c r="D354" s="145">
        <f>SUMIFS('Existing Stores'!$I$9:$I$1008,'Existing Stores'!$D$9:$D$1008,Model!C354)</f>
        <v>17</v>
      </c>
      <c r="E354" s="67" t="s">
        <v>1268</v>
      </c>
      <c r="F354" s="29" t="s">
        <v>1267</v>
      </c>
      <c r="G354" s="153">
        <v>17</v>
      </c>
      <c r="H354" s="140">
        <v>17</v>
      </c>
      <c r="I354" s="140">
        <v>17</v>
      </c>
      <c r="J354" s="140">
        <v>17</v>
      </c>
      <c r="K354" s="140">
        <v>17</v>
      </c>
      <c r="L354" s="140">
        <v>17</v>
      </c>
      <c r="M354" s="140">
        <v>17</v>
      </c>
      <c r="N354" s="140">
        <v>17</v>
      </c>
      <c r="O354" s="140">
        <v>17</v>
      </c>
      <c r="P354" s="140">
        <v>17</v>
      </c>
      <c r="Q354" s="140">
        <v>17</v>
      </c>
      <c r="R354" s="140">
        <v>17</v>
      </c>
      <c r="S354" s="140">
        <v>17</v>
      </c>
      <c r="T354" s="140">
        <v>17</v>
      </c>
      <c r="U354" s="140">
        <v>17</v>
      </c>
      <c r="V354" s="140">
        <v>17</v>
      </c>
      <c r="W354" s="140">
        <v>17</v>
      </c>
      <c r="X354" s="140">
        <v>17</v>
      </c>
      <c r="Y354" s="140">
        <v>17</v>
      </c>
      <c r="Z354" s="140">
        <v>17</v>
      </c>
      <c r="AA354" s="140">
        <v>17</v>
      </c>
      <c r="AB354" s="140">
        <v>17</v>
      </c>
      <c r="AC354" s="140">
        <v>17</v>
      </c>
      <c r="AD354" s="140">
        <v>17</v>
      </c>
      <c r="AE354" s="140">
        <v>20</v>
      </c>
      <c r="AF354" s="140">
        <v>20</v>
      </c>
      <c r="AG354" s="140">
        <v>20</v>
      </c>
      <c r="AH354" s="140">
        <v>20</v>
      </c>
      <c r="AI354" s="140">
        <v>20</v>
      </c>
      <c r="AJ354" s="140">
        <v>20</v>
      </c>
      <c r="AK354" s="140">
        <v>20</v>
      </c>
      <c r="AL354" s="140">
        <v>20</v>
      </c>
      <c r="AM354" s="140">
        <v>20</v>
      </c>
      <c r="AN354" s="140">
        <v>20</v>
      </c>
      <c r="AO354" s="140">
        <v>20</v>
      </c>
      <c r="AP354" s="140">
        <v>20</v>
      </c>
      <c r="AQ354" s="140">
        <v>20</v>
      </c>
      <c r="AR354" s="140">
        <v>20</v>
      </c>
      <c r="AS354" s="140">
        <v>20</v>
      </c>
      <c r="AT354" s="140">
        <v>20</v>
      </c>
      <c r="AU354" s="140">
        <v>20</v>
      </c>
      <c r="AV354" s="140">
        <v>20</v>
      </c>
      <c r="AW354" s="140">
        <v>20</v>
      </c>
      <c r="AX354" s="140">
        <v>20</v>
      </c>
      <c r="AY354" s="140">
        <v>20</v>
      </c>
      <c r="AZ354" s="140">
        <v>20</v>
      </c>
      <c r="BA354" s="140">
        <v>20</v>
      </c>
      <c r="BB354" s="140">
        <v>20</v>
      </c>
      <c r="BC354" s="140">
        <v>20</v>
      </c>
      <c r="BD354" s="140">
        <v>20</v>
      </c>
      <c r="BE354" s="140">
        <v>23</v>
      </c>
      <c r="BF354" s="140">
        <v>23</v>
      </c>
      <c r="BG354" s="140">
        <v>23</v>
      </c>
      <c r="BH354" s="140">
        <v>23</v>
      </c>
      <c r="BI354" s="140">
        <v>23</v>
      </c>
      <c r="BJ354" s="140">
        <v>23</v>
      </c>
      <c r="BK354" s="140">
        <v>23</v>
      </c>
      <c r="BL354" s="140">
        <v>23</v>
      </c>
      <c r="BM354" s="140">
        <v>23</v>
      </c>
      <c r="BN354" s="140">
        <v>23</v>
      </c>
      <c r="BO354" s="140">
        <v>23</v>
      </c>
      <c r="BP354" s="140"/>
      <c r="BQ354" s="140"/>
    </row>
    <row r="355" spans="2:69" s="22" customFormat="1" outlineLevel="1">
      <c r="C355" s="22" t="str">
        <v>Yieldville</v>
      </c>
      <c r="D355" s="143">
        <f>SUMIFS('Existing Stores'!$I$9:$I$1008,'Existing Stores'!$D$9:$D$1008,Model!C355)</f>
        <v>9</v>
      </c>
      <c r="E355" s="67" t="s">
        <v>1268</v>
      </c>
      <c r="F355" s="29" t="s">
        <v>1267</v>
      </c>
      <c r="G355" s="153">
        <v>9</v>
      </c>
      <c r="H355" s="140">
        <v>9</v>
      </c>
      <c r="I355" s="140">
        <v>9</v>
      </c>
      <c r="J355" s="140">
        <v>9</v>
      </c>
      <c r="K355" s="140">
        <v>9</v>
      </c>
      <c r="L355" s="140">
        <v>9</v>
      </c>
      <c r="M355" s="140">
        <v>9</v>
      </c>
      <c r="N355" s="140">
        <v>9</v>
      </c>
      <c r="O355" s="140">
        <v>9</v>
      </c>
      <c r="P355" s="140">
        <v>9</v>
      </c>
      <c r="Q355" s="140">
        <v>9</v>
      </c>
      <c r="R355" s="140">
        <v>9</v>
      </c>
      <c r="S355" s="140">
        <v>9</v>
      </c>
      <c r="T355" s="140">
        <v>9</v>
      </c>
      <c r="U355" s="140">
        <v>9</v>
      </c>
      <c r="V355" s="140">
        <v>9</v>
      </c>
      <c r="W355" s="140">
        <v>9</v>
      </c>
      <c r="X355" s="140">
        <v>9</v>
      </c>
      <c r="Y355" s="140">
        <v>9</v>
      </c>
      <c r="Z355" s="140">
        <v>9</v>
      </c>
      <c r="AA355" s="140">
        <v>9</v>
      </c>
      <c r="AB355" s="140">
        <v>9</v>
      </c>
      <c r="AC355" s="140">
        <v>9</v>
      </c>
      <c r="AD355" s="140">
        <v>9</v>
      </c>
      <c r="AE355" s="140">
        <v>9</v>
      </c>
      <c r="AF355" s="140">
        <v>12</v>
      </c>
      <c r="AG355" s="140">
        <v>12</v>
      </c>
      <c r="AH355" s="140">
        <v>12</v>
      </c>
      <c r="AI355" s="140">
        <v>12</v>
      </c>
      <c r="AJ355" s="140">
        <v>12</v>
      </c>
      <c r="AK355" s="140">
        <v>12</v>
      </c>
      <c r="AL355" s="140">
        <v>12</v>
      </c>
      <c r="AM355" s="140">
        <v>12</v>
      </c>
      <c r="AN355" s="140">
        <v>12</v>
      </c>
      <c r="AO355" s="140">
        <v>12</v>
      </c>
      <c r="AP355" s="140">
        <v>12</v>
      </c>
      <c r="AQ355" s="140">
        <v>12</v>
      </c>
      <c r="AR355" s="140">
        <v>12</v>
      </c>
      <c r="AS355" s="140">
        <v>12</v>
      </c>
      <c r="AT355" s="140">
        <v>12</v>
      </c>
      <c r="AU355" s="140">
        <v>12</v>
      </c>
      <c r="AV355" s="140">
        <v>12</v>
      </c>
      <c r="AW355" s="140">
        <v>12</v>
      </c>
      <c r="AX355" s="140">
        <v>12</v>
      </c>
      <c r="AY355" s="140">
        <v>12</v>
      </c>
      <c r="AZ355" s="140">
        <v>12</v>
      </c>
      <c r="BA355" s="140">
        <v>12</v>
      </c>
      <c r="BB355" s="140">
        <v>12</v>
      </c>
      <c r="BC355" s="140">
        <v>12</v>
      </c>
      <c r="BD355" s="140">
        <v>12</v>
      </c>
      <c r="BE355" s="140">
        <v>12</v>
      </c>
      <c r="BF355" s="140">
        <v>15</v>
      </c>
      <c r="BG355" s="140">
        <v>15</v>
      </c>
      <c r="BH355" s="140">
        <v>15</v>
      </c>
      <c r="BI355" s="140">
        <v>15</v>
      </c>
      <c r="BJ355" s="140">
        <v>15</v>
      </c>
      <c r="BK355" s="140">
        <v>15</v>
      </c>
      <c r="BL355" s="140">
        <v>15</v>
      </c>
      <c r="BM355" s="140">
        <v>15</v>
      </c>
      <c r="BN355" s="140">
        <v>15</v>
      </c>
      <c r="BO355" s="140">
        <v>15</v>
      </c>
      <c r="BP355" s="140"/>
      <c r="BQ355" s="140"/>
    </row>
    <row r="356" spans="2:69" s="22" customFormat="1" outlineLevel="1">
      <c r="C356" s="22" t="str">
        <v>ZeroDay Zone</v>
      </c>
      <c r="D356" s="144">
        <f>SUMIFS('Existing Stores'!$I$9:$I$1008,'Existing Stores'!$D$9:$D$1008,Model!C356)</f>
        <v>3</v>
      </c>
      <c r="E356" s="68" t="s">
        <v>1268</v>
      </c>
      <c r="F356" s="29" t="s">
        <v>1267</v>
      </c>
      <c r="G356" s="153">
        <v>3</v>
      </c>
      <c r="H356" s="140">
        <v>3</v>
      </c>
      <c r="I356" s="140">
        <v>3</v>
      </c>
      <c r="J356" s="140">
        <v>3</v>
      </c>
      <c r="K356" s="140">
        <v>3</v>
      </c>
      <c r="L356" s="140">
        <v>3</v>
      </c>
      <c r="M356" s="140">
        <v>3</v>
      </c>
      <c r="N356" s="140">
        <v>3</v>
      </c>
      <c r="O356" s="140">
        <v>3</v>
      </c>
      <c r="P356" s="140">
        <v>3</v>
      </c>
      <c r="Q356" s="140">
        <v>3</v>
      </c>
      <c r="R356" s="140">
        <v>3</v>
      </c>
      <c r="S356" s="140">
        <v>3</v>
      </c>
      <c r="T356" s="140">
        <v>3</v>
      </c>
      <c r="U356" s="140">
        <v>3</v>
      </c>
      <c r="V356" s="140">
        <v>3</v>
      </c>
      <c r="W356" s="140">
        <v>3</v>
      </c>
      <c r="X356" s="140">
        <v>3</v>
      </c>
      <c r="Y356" s="140">
        <v>3</v>
      </c>
      <c r="Z356" s="140">
        <v>3</v>
      </c>
      <c r="AA356" s="140">
        <v>3</v>
      </c>
      <c r="AB356" s="140">
        <v>3</v>
      </c>
      <c r="AC356" s="140">
        <v>3</v>
      </c>
      <c r="AD356" s="140">
        <v>3</v>
      </c>
      <c r="AE356" s="140">
        <v>3</v>
      </c>
      <c r="AF356" s="140">
        <v>3</v>
      </c>
      <c r="AG356" s="140">
        <v>6</v>
      </c>
      <c r="AH356" s="140">
        <v>6</v>
      </c>
      <c r="AI356" s="140">
        <v>6</v>
      </c>
      <c r="AJ356" s="140">
        <v>6</v>
      </c>
      <c r="AK356" s="140">
        <v>6</v>
      </c>
      <c r="AL356" s="140">
        <v>6</v>
      </c>
      <c r="AM356" s="140">
        <v>6</v>
      </c>
      <c r="AN356" s="140">
        <v>6</v>
      </c>
      <c r="AO356" s="140">
        <v>6</v>
      </c>
      <c r="AP356" s="140">
        <v>6</v>
      </c>
      <c r="AQ356" s="140">
        <v>6</v>
      </c>
      <c r="AR356" s="140">
        <v>6</v>
      </c>
      <c r="AS356" s="140">
        <v>6</v>
      </c>
      <c r="AT356" s="140">
        <v>6</v>
      </c>
      <c r="AU356" s="140">
        <v>6</v>
      </c>
      <c r="AV356" s="140">
        <v>6</v>
      </c>
      <c r="AW356" s="140">
        <v>6</v>
      </c>
      <c r="AX356" s="140">
        <v>6</v>
      </c>
      <c r="AY356" s="140">
        <v>6</v>
      </c>
      <c r="AZ356" s="140">
        <v>6</v>
      </c>
      <c r="BA356" s="140">
        <v>6</v>
      </c>
      <c r="BB356" s="140">
        <v>6</v>
      </c>
      <c r="BC356" s="140">
        <v>6</v>
      </c>
      <c r="BD356" s="140">
        <v>6</v>
      </c>
      <c r="BE356" s="140">
        <v>6</v>
      </c>
      <c r="BF356" s="140">
        <v>6</v>
      </c>
      <c r="BG356" s="140">
        <v>9</v>
      </c>
      <c r="BH356" s="140">
        <v>9</v>
      </c>
      <c r="BI356" s="140">
        <v>9</v>
      </c>
      <c r="BJ356" s="140">
        <v>9</v>
      </c>
      <c r="BK356" s="140">
        <v>9</v>
      </c>
      <c r="BL356" s="140">
        <v>9</v>
      </c>
      <c r="BM356" s="140">
        <v>9</v>
      </c>
      <c r="BN356" s="140">
        <v>9</v>
      </c>
      <c r="BO356" s="140">
        <v>9</v>
      </c>
      <c r="BP356" s="140"/>
      <c r="BQ356" s="140"/>
    </row>
    <row r="357" spans="2:69" s="31" customFormat="1" ht="12" customHeight="1" outlineLevel="1">
      <c r="C357" s="70" t="s">
        <v>1269</v>
      </c>
      <c r="D357" s="70"/>
      <c r="E357" s="71"/>
      <c r="F357" s="80" t="s">
        <v>1267</v>
      </c>
      <c r="G357" s="168">
        <f>SUM(G331:G356)</f>
        <v>3544</v>
      </c>
      <c r="H357" s="169">
        <f>SUM(H331:H356)</f>
        <v>3547</v>
      </c>
      <c r="I357" s="169">
        <f t="shared" ref="I357" si="280">SUM(I331:I356)</f>
        <v>3550</v>
      </c>
      <c r="J357" s="169">
        <f t="shared" ref="J357" si="281">SUM(J331:J356)</f>
        <v>3553</v>
      </c>
      <c r="K357" s="169">
        <f t="shared" ref="K357" si="282">SUM(K331:K356)</f>
        <v>3556</v>
      </c>
      <c r="L357" s="169">
        <f t="shared" ref="L357" si="283">SUM(L331:L356)</f>
        <v>3559</v>
      </c>
      <c r="M357" s="169">
        <f t="shared" ref="M357" si="284">SUM(M331:M356)</f>
        <v>3562</v>
      </c>
      <c r="N357" s="169">
        <f t="shared" ref="N357" si="285">SUM(N331:N356)</f>
        <v>3565</v>
      </c>
      <c r="O357" s="169">
        <f t="shared" ref="O357" si="286">SUM(O331:O356)</f>
        <v>3568</v>
      </c>
      <c r="P357" s="169">
        <f t="shared" ref="P357" si="287">SUM(P331:P356)</f>
        <v>3571</v>
      </c>
      <c r="Q357" s="169">
        <f t="shared" ref="Q357" si="288">SUM(Q331:Q356)</f>
        <v>3574</v>
      </c>
      <c r="R357" s="169">
        <f t="shared" ref="R357" si="289">SUM(R331:R356)</f>
        <v>3577</v>
      </c>
      <c r="S357" s="169">
        <f t="shared" ref="S357" si="290">SUM(S331:S356)</f>
        <v>3580</v>
      </c>
      <c r="T357" s="169">
        <f t="shared" ref="T357" si="291">SUM(T331:T356)</f>
        <v>3583</v>
      </c>
      <c r="U357" s="169">
        <f t="shared" ref="U357" si="292">SUM(U331:U356)</f>
        <v>3586</v>
      </c>
      <c r="V357" s="169">
        <f t="shared" ref="V357" si="293">SUM(V331:V356)</f>
        <v>3589</v>
      </c>
      <c r="W357" s="169">
        <f t="shared" ref="W357" si="294">SUM(W331:W356)</f>
        <v>3592</v>
      </c>
      <c r="X357" s="169">
        <f t="shared" ref="X357" si="295">SUM(X331:X356)</f>
        <v>3595</v>
      </c>
      <c r="Y357" s="169">
        <f t="shared" ref="Y357" si="296">SUM(Y331:Y356)</f>
        <v>3598</v>
      </c>
      <c r="Z357" s="169">
        <f t="shared" ref="Z357" si="297">SUM(Z331:Z356)</f>
        <v>3601</v>
      </c>
      <c r="AA357" s="169">
        <f t="shared" ref="AA357" si="298">SUM(AA331:AA356)</f>
        <v>3604</v>
      </c>
      <c r="AB357" s="169">
        <f t="shared" ref="AB357" si="299">SUM(AB331:AB356)</f>
        <v>3607</v>
      </c>
      <c r="AC357" s="169">
        <f t="shared" ref="AC357" si="300">SUM(AC331:AC356)</f>
        <v>3610</v>
      </c>
      <c r="AD357" s="169">
        <f t="shared" ref="AD357" si="301">SUM(AD331:AD356)</f>
        <v>3613</v>
      </c>
      <c r="AE357" s="169">
        <f t="shared" ref="AE357" si="302">SUM(AE331:AE356)</f>
        <v>3616</v>
      </c>
      <c r="AF357" s="169">
        <f t="shared" ref="AF357" si="303">SUM(AF331:AF356)</f>
        <v>3619</v>
      </c>
      <c r="AG357" s="169">
        <f t="shared" ref="AG357" si="304">SUM(AG331:AG356)</f>
        <v>3622</v>
      </c>
      <c r="AH357" s="169">
        <f t="shared" ref="AH357" si="305">SUM(AH331:AH356)</f>
        <v>3625</v>
      </c>
      <c r="AI357" s="169">
        <f t="shared" ref="AI357" si="306">SUM(AI331:AI356)</f>
        <v>3628</v>
      </c>
      <c r="AJ357" s="169">
        <f t="shared" ref="AJ357" si="307">SUM(AJ331:AJ356)</f>
        <v>3631</v>
      </c>
      <c r="AK357" s="169">
        <f t="shared" ref="AK357" si="308">SUM(AK331:AK356)</f>
        <v>3634</v>
      </c>
      <c r="AL357" s="169">
        <f t="shared" ref="AL357" si="309">SUM(AL331:AL356)</f>
        <v>3637</v>
      </c>
      <c r="AM357" s="169">
        <f t="shared" ref="AM357" si="310">SUM(AM331:AM356)</f>
        <v>3640</v>
      </c>
      <c r="AN357" s="169">
        <f t="shared" ref="AN357" si="311">SUM(AN331:AN356)</f>
        <v>3643</v>
      </c>
      <c r="AO357" s="169">
        <f t="shared" ref="AO357" si="312">SUM(AO331:AO356)</f>
        <v>3646</v>
      </c>
      <c r="AP357" s="169">
        <f t="shared" ref="AP357" si="313">SUM(AP331:AP356)</f>
        <v>3649</v>
      </c>
      <c r="AQ357" s="169">
        <f t="shared" ref="AQ357" si="314">SUM(AQ331:AQ356)</f>
        <v>3652</v>
      </c>
      <c r="AR357" s="169">
        <f t="shared" ref="AR357" si="315">SUM(AR331:AR356)</f>
        <v>3655</v>
      </c>
      <c r="AS357" s="169">
        <f t="shared" ref="AS357" si="316">SUM(AS331:AS356)</f>
        <v>3658</v>
      </c>
      <c r="AT357" s="169">
        <f t="shared" ref="AT357" si="317">SUM(AT331:AT356)</f>
        <v>3661</v>
      </c>
      <c r="AU357" s="169">
        <f t="shared" ref="AU357" si="318">SUM(AU331:AU356)</f>
        <v>3664</v>
      </c>
      <c r="AV357" s="169">
        <f t="shared" ref="AV357" si="319">SUM(AV331:AV356)</f>
        <v>3667</v>
      </c>
      <c r="AW357" s="169">
        <f t="shared" ref="AW357" si="320">SUM(AW331:AW356)</f>
        <v>3670</v>
      </c>
      <c r="AX357" s="169">
        <f t="shared" ref="AX357" si="321">SUM(AX331:AX356)</f>
        <v>3673</v>
      </c>
      <c r="AY357" s="169">
        <f t="shared" ref="AY357" si="322">SUM(AY331:AY356)</f>
        <v>3676</v>
      </c>
      <c r="AZ357" s="169">
        <f t="shared" ref="AZ357" si="323">SUM(AZ331:AZ356)</f>
        <v>3679</v>
      </c>
      <c r="BA357" s="169">
        <f t="shared" ref="BA357" si="324">SUM(BA331:BA356)</f>
        <v>3682</v>
      </c>
      <c r="BB357" s="169">
        <f t="shared" ref="BB357" si="325">SUM(BB331:BB356)</f>
        <v>3685</v>
      </c>
      <c r="BC357" s="169">
        <f t="shared" ref="BC357" si="326">SUM(BC331:BC356)</f>
        <v>3688</v>
      </c>
      <c r="BD357" s="169">
        <f t="shared" ref="BD357" si="327">SUM(BD331:BD356)</f>
        <v>3691</v>
      </c>
      <c r="BE357" s="169">
        <f t="shared" ref="BE357" si="328">SUM(BE331:BE356)</f>
        <v>3694</v>
      </c>
      <c r="BF357" s="169">
        <f t="shared" ref="BF357" si="329">SUM(BF331:BF356)</f>
        <v>3697</v>
      </c>
      <c r="BG357" s="169">
        <f t="shared" ref="BG357" si="330">SUM(BG331:BG356)</f>
        <v>3700</v>
      </c>
      <c r="BH357" s="169">
        <f t="shared" ref="BH357" si="331">SUM(BH331:BH356)</f>
        <v>3703</v>
      </c>
      <c r="BI357" s="169">
        <f t="shared" ref="BI357" si="332">SUM(BI331:BI356)</f>
        <v>3706</v>
      </c>
      <c r="BJ357" s="169">
        <f t="shared" ref="BJ357" si="333">SUM(BJ331:BJ356)</f>
        <v>3709</v>
      </c>
      <c r="BK357" s="169">
        <f t="shared" ref="BK357" si="334">SUM(BK331:BK356)</f>
        <v>3712</v>
      </c>
      <c r="BL357" s="169">
        <f t="shared" ref="BL357" si="335">SUM(BL331:BL356)</f>
        <v>3715</v>
      </c>
      <c r="BM357" s="169">
        <f t="shared" ref="BM357" si="336">SUM(BM331:BM356)</f>
        <v>3718</v>
      </c>
      <c r="BN357" s="169">
        <f t="shared" ref="BN357" si="337">SUM(BN331:BN356)</f>
        <v>3721</v>
      </c>
      <c r="BO357" s="169">
        <f t="shared" ref="BO357" si="338">SUM(BO331:BO356)</f>
        <v>3724</v>
      </c>
      <c r="BP357" s="358"/>
      <c r="BQ357" s="358"/>
    </row>
    <row r="358" spans="2:69" s="22" customFormat="1" outlineLevel="1">
      <c r="E358" s="28"/>
      <c r="F358" s="29"/>
      <c r="G358" s="66"/>
    </row>
    <row r="359" spans="2:69" s="31" customFormat="1" ht="12" customHeight="1" outlineLevel="1">
      <c r="C359" s="70" t="s">
        <v>1270</v>
      </c>
      <c r="D359" s="192">
        <f>Assumptions!D33</f>
        <v>160</v>
      </c>
      <c r="E359" s="193" t="s">
        <v>1271</v>
      </c>
      <c r="F359" s="80" t="s">
        <v>119</v>
      </c>
      <c r="G359" s="168" cm="1">
        <f t="array" ref="G359:BO359">D359*G357:BO357*_xlfn.ANCHORARRAY(G326)/1000</f>
        <v>8505.6</v>
      </c>
      <c r="H359" s="169">
        <v>8768.1839999999993</v>
      </c>
      <c r="I359" s="169">
        <v>8775.6</v>
      </c>
      <c r="J359" s="169">
        <v>8783.0159999999996</v>
      </c>
      <c r="K359" s="169">
        <v>8790.4320000000007</v>
      </c>
      <c r="L359" s="169">
        <v>8797.848</v>
      </c>
      <c r="M359" s="169">
        <v>8805.2639999999992</v>
      </c>
      <c r="N359" s="169">
        <v>8812.68</v>
      </c>
      <c r="O359" s="169">
        <v>8820.0959999999995</v>
      </c>
      <c r="P359" s="169">
        <v>8827.5120000000006</v>
      </c>
      <c r="Q359" s="169">
        <v>8834.9279999999999</v>
      </c>
      <c r="R359" s="169">
        <v>8842.3439999999991</v>
      </c>
      <c r="S359" s="169">
        <v>8849.76</v>
      </c>
      <c r="T359" s="169">
        <v>9122.8912799999998</v>
      </c>
      <c r="U359" s="169">
        <v>9130.5297599999994</v>
      </c>
      <c r="V359" s="169">
        <v>9138.1682400000009</v>
      </c>
      <c r="W359" s="169">
        <v>9145.8067199999987</v>
      </c>
      <c r="X359" s="169">
        <v>9153.4452000000001</v>
      </c>
      <c r="Y359" s="169">
        <v>9161.0836799999997</v>
      </c>
      <c r="Z359" s="169">
        <v>9168.7221599999993</v>
      </c>
      <c r="AA359" s="169">
        <v>9176.360639999999</v>
      </c>
      <c r="AB359" s="169">
        <v>9183.9991199999986</v>
      </c>
      <c r="AC359" s="169">
        <v>9191.6376</v>
      </c>
      <c r="AD359" s="169">
        <v>9199.2760799999996</v>
      </c>
      <c r="AE359" s="169">
        <v>9206.9145599999993</v>
      </c>
      <c r="AF359" s="169">
        <v>9490.9896312000001</v>
      </c>
      <c r="AG359" s="169">
        <v>9498.8572655999997</v>
      </c>
      <c r="AH359" s="169">
        <v>9506.7249000000011</v>
      </c>
      <c r="AI359" s="169">
        <v>9514.5925343999988</v>
      </c>
      <c r="AJ359" s="169">
        <v>9522.4601688000002</v>
      </c>
      <c r="AK359" s="169">
        <v>9530.3278032000017</v>
      </c>
      <c r="AL359" s="169">
        <v>9538.1954375999994</v>
      </c>
      <c r="AM359" s="169">
        <v>9546.0630720000008</v>
      </c>
      <c r="AN359" s="169">
        <v>9553.9307064000004</v>
      </c>
      <c r="AO359" s="169">
        <v>9561.7983408</v>
      </c>
      <c r="AP359" s="169">
        <v>9569.6659751999996</v>
      </c>
      <c r="AQ359" s="169">
        <v>9577.5336095999992</v>
      </c>
      <c r="AR359" s="169">
        <v>9872.9632813200005</v>
      </c>
      <c r="AS359" s="169">
        <v>9881.0669447519995</v>
      </c>
      <c r="AT359" s="169">
        <v>9889.1706081839984</v>
      </c>
      <c r="AU359" s="169">
        <v>9897.2742716159992</v>
      </c>
      <c r="AV359" s="169">
        <v>9905.3779350479999</v>
      </c>
      <c r="AW359" s="169">
        <v>9913.4815984799989</v>
      </c>
      <c r="AX359" s="169">
        <v>9921.5852619119996</v>
      </c>
      <c r="AY359" s="169">
        <v>9929.6889253440004</v>
      </c>
      <c r="AZ359" s="169">
        <v>9937.7925887759993</v>
      </c>
      <c r="BA359" s="169">
        <v>9945.8962522080001</v>
      </c>
      <c r="BB359" s="169">
        <v>9953.9999156400008</v>
      </c>
      <c r="BC359" s="169">
        <v>9962.103579071998</v>
      </c>
      <c r="BD359" s="169">
        <v>10269.313459779118</v>
      </c>
      <c r="BE359" s="169">
        <v>10277.660233114078</v>
      </c>
      <c r="BF359" s="169">
        <v>10286.007006449037</v>
      </c>
      <c r="BG359" s="169">
        <v>10294.353779783998</v>
      </c>
      <c r="BH359" s="169">
        <v>10302.700553118957</v>
      </c>
      <c r="BI359" s="169">
        <v>10311.047326453918</v>
      </c>
      <c r="BJ359" s="169">
        <v>10319.394099788879</v>
      </c>
      <c r="BK359" s="169">
        <v>10327.740873123837</v>
      </c>
      <c r="BL359" s="169">
        <v>10336.087646458798</v>
      </c>
      <c r="BM359" s="169">
        <v>10344.434419793759</v>
      </c>
      <c r="BN359" s="169">
        <v>10352.781193128718</v>
      </c>
      <c r="BO359" s="169">
        <v>10361.127966463677</v>
      </c>
      <c r="BP359" s="358"/>
      <c r="BQ359" s="358"/>
    </row>
    <row r="360" spans="2:69" s="22" customFormat="1" outlineLevel="1">
      <c r="E360" s="28"/>
      <c r="F360" s="29"/>
      <c r="G360" s="66"/>
    </row>
    <row r="361" spans="2:69" s="22" customFormat="1" outlineLevel="1">
      <c r="B361" s="32" t="s">
        <v>1272</v>
      </c>
      <c r="E361" s="28"/>
      <c r="F361" s="29"/>
      <c r="G361" s="66"/>
    </row>
    <row r="362" spans="2:69" s="22" customFormat="1" outlineLevel="1">
      <c r="B362" s="69" t="s">
        <v>1273</v>
      </c>
      <c r="E362" s="28"/>
      <c r="F362" s="29"/>
      <c r="G362" s="66"/>
    </row>
    <row r="363" spans="2:69" s="22" customFormat="1" outlineLevel="1">
      <c r="C363" s="22" t="str" cm="1">
        <f t="array" ref="C363:C388">_xlfn._xlws.SORT(_xlfn.UNIQUE('Existing Stores'!D9:D1008),,1)</f>
        <v>Axisbyte</v>
      </c>
      <c r="D363" s="160">
        <f>AVERAGEIFS('Existing Stores'!$J$9:$J$1008,'Existing Stores'!$D$9:$D$1008,Model!C331)</f>
        <v>3.5591050000000002</v>
      </c>
      <c r="E363" s="65" t="s">
        <v>1274</v>
      </c>
      <c r="F363" s="29" t="s">
        <v>119</v>
      </c>
      <c r="G363" s="167" cm="1">
        <f t="array" ref="G363:BO388">D363:D388*_xlfn.ANCHORARRAY(G118)*G127:BO152</f>
        <v>21.35463</v>
      </c>
      <c r="H363" s="148">
        <v>25.66114705</v>
      </c>
      <c r="I363" s="148">
        <v>25.66114705</v>
      </c>
      <c r="J363" s="148">
        <v>25.66114705</v>
      </c>
      <c r="K363" s="148">
        <v>25.66114705</v>
      </c>
      <c r="L363" s="148">
        <v>25.66114705</v>
      </c>
      <c r="M363" s="148">
        <v>25.66114705</v>
      </c>
      <c r="N363" s="148">
        <v>25.66114705</v>
      </c>
      <c r="O363" s="148">
        <v>25.66114705</v>
      </c>
      <c r="P363" s="148">
        <v>25.66114705</v>
      </c>
      <c r="Q363" s="148">
        <v>25.66114705</v>
      </c>
      <c r="R363" s="148">
        <v>25.66114705</v>
      </c>
      <c r="S363" s="148">
        <v>25.66114705</v>
      </c>
      <c r="T363" s="148">
        <v>26.4309814615</v>
      </c>
      <c r="U363" s="148">
        <v>26.4309814615</v>
      </c>
      <c r="V363" s="148">
        <v>26.4309814615</v>
      </c>
      <c r="W363" s="148">
        <v>26.4309814615</v>
      </c>
      <c r="X363" s="148">
        <v>26.4309814615</v>
      </c>
      <c r="Y363" s="148">
        <v>26.4309814615</v>
      </c>
      <c r="Z363" s="148">
        <v>26.4309814615</v>
      </c>
      <c r="AA363" s="148">
        <v>26.4309814615</v>
      </c>
      <c r="AB363" s="148">
        <v>26.4309814615</v>
      </c>
      <c r="AC363" s="148">
        <v>26.4309814615</v>
      </c>
      <c r="AD363" s="148">
        <v>26.4309814615</v>
      </c>
      <c r="AE363" s="148">
        <v>26.4309814615</v>
      </c>
      <c r="AF363" s="148">
        <v>27.223910905345001</v>
      </c>
      <c r="AG363" s="148">
        <v>27.223910905345001</v>
      </c>
      <c r="AH363" s="148">
        <v>31.113041034680002</v>
      </c>
      <c r="AI363" s="148">
        <v>31.113041034680002</v>
      </c>
      <c r="AJ363" s="148">
        <v>31.113041034680002</v>
      </c>
      <c r="AK363" s="148">
        <v>31.113041034680002</v>
      </c>
      <c r="AL363" s="148">
        <v>31.113041034680002</v>
      </c>
      <c r="AM363" s="148">
        <v>31.113041034680002</v>
      </c>
      <c r="AN363" s="148">
        <v>31.113041034680002</v>
      </c>
      <c r="AO363" s="148">
        <v>31.113041034680002</v>
      </c>
      <c r="AP363" s="148">
        <v>31.113041034680002</v>
      </c>
      <c r="AQ363" s="148">
        <v>31.113041034680002</v>
      </c>
      <c r="AR363" s="148">
        <v>32.046432265720398</v>
      </c>
      <c r="AS363" s="148">
        <v>32.046432265720398</v>
      </c>
      <c r="AT363" s="148">
        <v>32.046432265720398</v>
      </c>
      <c r="AU363" s="148">
        <v>32.046432265720398</v>
      </c>
      <c r="AV363" s="148">
        <v>32.046432265720398</v>
      </c>
      <c r="AW363" s="148">
        <v>32.046432265720398</v>
      </c>
      <c r="AX363" s="148">
        <v>32.046432265720398</v>
      </c>
      <c r="AY363" s="148">
        <v>32.046432265720398</v>
      </c>
      <c r="AZ363" s="148">
        <v>32.046432265720398</v>
      </c>
      <c r="BA363" s="148">
        <v>32.046432265720398</v>
      </c>
      <c r="BB363" s="148">
        <v>32.046432265720398</v>
      </c>
      <c r="BC363" s="148">
        <v>32.046432265720398</v>
      </c>
      <c r="BD363" s="148">
        <v>33.00782523369201</v>
      </c>
      <c r="BE363" s="148">
        <v>33.00782523369201</v>
      </c>
      <c r="BF363" s="148">
        <v>33.00782523369201</v>
      </c>
      <c r="BG363" s="148">
        <v>33.00782523369201</v>
      </c>
      <c r="BH363" s="148">
        <v>37.133803387903512</v>
      </c>
      <c r="BI363" s="148">
        <v>37.133803387903512</v>
      </c>
      <c r="BJ363" s="148">
        <v>37.133803387903512</v>
      </c>
      <c r="BK363" s="148">
        <v>37.133803387903512</v>
      </c>
      <c r="BL363" s="148">
        <v>37.133803387903512</v>
      </c>
      <c r="BM363" s="148">
        <v>37.133803387903512</v>
      </c>
      <c r="BN363" s="148">
        <v>37.133803387903512</v>
      </c>
      <c r="BO363" s="148">
        <v>37.133803387903512</v>
      </c>
      <c r="BP363" s="148"/>
      <c r="BQ363" s="148"/>
    </row>
    <row r="364" spans="2:69" s="22" customFormat="1" outlineLevel="1">
      <c r="C364" s="22" t="str">
        <v>Bootwell</v>
      </c>
      <c r="D364" s="161">
        <f>AVERAGEIFS('Existing Stores'!$J$9:$J$1008,'Existing Stores'!$D$9:$D$1008,Model!C332)</f>
        <v>2.8215566666666665</v>
      </c>
      <c r="E364" s="67" t="s">
        <v>1274</v>
      </c>
      <c r="F364" s="29" t="s">
        <v>119</v>
      </c>
      <c r="G364" s="167">
        <v>84.646699999999996</v>
      </c>
      <c r="H364" s="148">
        <v>87.186100999999994</v>
      </c>
      <c r="I364" s="148">
        <v>90.092304366666667</v>
      </c>
      <c r="J364" s="148">
        <v>90.092304366666667</v>
      </c>
      <c r="K364" s="148">
        <v>90.092304366666667</v>
      </c>
      <c r="L364" s="148">
        <v>90.092304366666667</v>
      </c>
      <c r="M364" s="148">
        <v>90.092304366666667</v>
      </c>
      <c r="N364" s="148">
        <v>90.092304366666667</v>
      </c>
      <c r="O364" s="148">
        <v>90.092304366666667</v>
      </c>
      <c r="P364" s="148">
        <v>90.092304366666667</v>
      </c>
      <c r="Q364" s="148">
        <v>90.092304366666667</v>
      </c>
      <c r="R364" s="148">
        <v>90.092304366666667</v>
      </c>
      <c r="S364" s="148">
        <v>90.092304366666667</v>
      </c>
      <c r="T364" s="148">
        <v>92.795073497666664</v>
      </c>
      <c r="U364" s="148">
        <v>92.795073497666664</v>
      </c>
      <c r="V364" s="148">
        <v>92.795073497666664</v>
      </c>
      <c r="W364" s="148">
        <v>92.795073497666664</v>
      </c>
      <c r="X364" s="148">
        <v>92.795073497666664</v>
      </c>
      <c r="Y364" s="148">
        <v>92.795073497666664</v>
      </c>
      <c r="Z364" s="148">
        <v>92.795073497666664</v>
      </c>
      <c r="AA364" s="148">
        <v>92.795073497666664</v>
      </c>
      <c r="AB364" s="148">
        <v>92.795073497666664</v>
      </c>
      <c r="AC364" s="148">
        <v>92.795073497666664</v>
      </c>
      <c r="AD364" s="148">
        <v>92.795073497666664</v>
      </c>
      <c r="AE364" s="148">
        <v>92.795073497666664</v>
      </c>
      <c r="AF364" s="148">
        <v>95.578925702596663</v>
      </c>
      <c r="AG364" s="148">
        <v>95.578925702596663</v>
      </c>
      <c r="AH364" s="148">
        <v>95.578925702596663</v>
      </c>
      <c r="AI364" s="148">
        <v>98.66211685429333</v>
      </c>
      <c r="AJ364" s="148">
        <v>98.66211685429333</v>
      </c>
      <c r="AK364" s="148">
        <v>98.66211685429333</v>
      </c>
      <c r="AL364" s="148">
        <v>98.66211685429333</v>
      </c>
      <c r="AM364" s="148">
        <v>98.66211685429333</v>
      </c>
      <c r="AN364" s="148">
        <v>98.66211685429333</v>
      </c>
      <c r="AO364" s="148">
        <v>98.66211685429333</v>
      </c>
      <c r="AP364" s="148">
        <v>98.66211685429333</v>
      </c>
      <c r="AQ364" s="148">
        <v>98.66211685429333</v>
      </c>
      <c r="AR364" s="148">
        <v>101.62198035992212</v>
      </c>
      <c r="AS364" s="148">
        <v>101.62198035992212</v>
      </c>
      <c r="AT364" s="148">
        <v>101.62198035992212</v>
      </c>
      <c r="AU364" s="148">
        <v>101.62198035992212</v>
      </c>
      <c r="AV364" s="148">
        <v>101.62198035992212</v>
      </c>
      <c r="AW364" s="148">
        <v>101.62198035992212</v>
      </c>
      <c r="AX364" s="148">
        <v>101.62198035992212</v>
      </c>
      <c r="AY364" s="148">
        <v>101.62198035992212</v>
      </c>
      <c r="AZ364" s="148">
        <v>101.62198035992212</v>
      </c>
      <c r="BA364" s="148">
        <v>101.62198035992212</v>
      </c>
      <c r="BB364" s="148">
        <v>101.62198035992212</v>
      </c>
      <c r="BC364" s="148">
        <v>101.62198035992212</v>
      </c>
      <c r="BD364" s="148">
        <v>104.67063977071977</v>
      </c>
      <c r="BE364" s="148">
        <v>104.67063977071977</v>
      </c>
      <c r="BF364" s="148">
        <v>104.67063977071977</v>
      </c>
      <c r="BG364" s="148">
        <v>104.67063977071977</v>
      </c>
      <c r="BH364" s="148">
        <v>104.67063977071977</v>
      </c>
      <c r="BI364" s="148">
        <v>107.94159726355477</v>
      </c>
      <c r="BJ364" s="148">
        <v>107.94159726355477</v>
      </c>
      <c r="BK364" s="148">
        <v>107.94159726355477</v>
      </c>
      <c r="BL364" s="148">
        <v>107.94159726355477</v>
      </c>
      <c r="BM364" s="148">
        <v>107.94159726355477</v>
      </c>
      <c r="BN364" s="148">
        <v>107.94159726355477</v>
      </c>
      <c r="BO364" s="148">
        <v>107.94159726355477</v>
      </c>
      <c r="BP364" s="148"/>
      <c r="BQ364" s="148"/>
    </row>
    <row r="365" spans="2:69" s="22" customFormat="1" outlineLevel="1">
      <c r="C365" s="22" t="str">
        <v>Cacheford</v>
      </c>
      <c r="D365" s="161">
        <f>AVERAGEIFS('Existing Stores'!$J$9:$J$1008,'Existing Stores'!$D$9:$D$1008,Model!C333)</f>
        <v>3.1200699999999997</v>
      </c>
      <c r="E365" s="67" t="s">
        <v>1274</v>
      </c>
      <c r="F365" s="29" t="s">
        <v>119</v>
      </c>
      <c r="G365" s="167">
        <v>15.600349999999999</v>
      </c>
      <c r="H365" s="148">
        <v>16.068360499999997</v>
      </c>
      <c r="I365" s="148">
        <v>16.068360499999997</v>
      </c>
      <c r="J365" s="148">
        <v>19.282032599999997</v>
      </c>
      <c r="K365" s="148">
        <v>19.282032599999997</v>
      </c>
      <c r="L365" s="148">
        <v>19.282032599999997</v>
      </c>
      <c r="M365" s="148">
        <v>19.282032599999997</v>
      </c>
      <c r="N365" s="148">
        <v>19.282032599999997</v>
      </c>
      <c r="O365" s="148">
        <v>19.282032599999997</v>
      </c>
      <c r="P365" s="148">
        <v>19.282032599999997</v>
      </c>
      <c r="Q365" s="148">
        <v>19.282032599999997</v>
      </c>
      <c r="R365" s="148">
        <v>19.282032599999997</v>
      </c>
      <c r="S365" s="148">
        <v>19.282032599999997</v>
      </c>
      <c r="T365" s="148">
        <v>19.860493577999996</v>
      </c>
      <c r="U365" s="148">
        <v>19.860493577999996</v>
      </c>
      <c r="V365" s="148">
        <v>19.860493577999996</v>
      </c>
      <c r="W365" s="148">
        <v>19.860493577999996</v>
      </c>
      <c r="X365" s="148">
        <v>19.860493577999996</v>
      </c>
      <c r="Y365" s="148">
        <v>19.860493577999996</v>
      </c>
      <c r="Z365" s="148">
        <v>19.860493577999996</v>
      </c>
      <c r="AA365" s="148">
        <v>19.860493577999996</v>
      </c>
      <c r="AB365" s="148">
        <v>19.860493577999996</v>
      </c>
      <c r="AC365" s="148">
        <v>19.860493577999996</v>
      </c>
      <c r="AD365" s="148">
        <v>19.860493577999996</v>
      </c>
      <c r="AE365" s="148">
        <v>19.860493577999996</v>
      </c>
      <c r="AF365" s="148">
        <v>20.456308385339998</v>
      </c>
      <c r="AG365" s="148">
        <v>20.456308385339998</v>
      </c>
      <c r="AH365" s="148">
        <v>20.456308385339998</v>
      </c>
      <c r="AI365" s="148">
        <v>20.456308385339998</v>
      </c>
      <c r="AJ365" s="148">
        <v>23.865693116229998</v>
      </c>
      <c r="AK365" s="148">
        <v>23.865693116229998</v>
      </c>
      <c r="AL365" s="148">
        <v>23.865693116229998</v>
      </c>
      <c r="AM365" s="148">
        <v>23.865693116229998</v>
      </c>
      <c r="AN365" s="148">
        <v>23.865693116229998</v>
      </c>
      <c r="AO365" s="148">
        <v>23.865693116229998</v>
      </c>
      <c r="AP365" s="148">
        <v>23.865693116229998</v>
      </c>
      <c r="AQ365" s="148">
        <v>23.865693116229998</v>
      </c>
      <c r="AR365" s="148">
        <v>24.581663909716895</v>
      </c>
      <c r="AS365" s="148">
        <v>24.581663909716895</v>
      </c>
      <c r="AT365" s="148">
        <v>24.581663909716895</v>
      </c>
      <c r="AU365" s="148">
        <v>24.581663909716895</v>
      </c>
      <c r="AV365" s="148">
        <v>24.581663909716895</v>
      </c>
      <c r="AW365" s="148">
        <v>24.581663909716895</v>
      </c>
      <c r="AX365" s="148">
        <v>24.581663909716895</v>
      </c>
      <c r="AY365" s="148">
        <v>24.581663909716895</v>
      </c>
      <c r="AZ365" s="148">
        <v>24.581663909716895</v>
      </c>
      <c r="BA365" s="148">
        <v>24.581663909716895</v>
      </c>
      <c r="BB365" s="148">
        <v>24.581663909716895</v>
      </c>
      <c r="BC365" s="148">
        <v>24.581663909716895</v>
      </c>
      <c r="BD365" s="148">
        <v>25.319113827008401</v>
      </c>
      <c r="BE365" s="148">
        <v>25.319113827008401</v>
      </c>
      <c r="BF365" s="148">
        <v>25.319113827008401</v>
      </c>
      <c r="BG365" s="148">
        <v>25.319113827008401</v>
      </c>
      <c r="BH365" s="148">
        <v>25.319113827008401</v>
      </c>
      <c r="BI365" s="148">
        <v>25.319113827008401</v>
      </c>
      <c r="BJ365" s="148">
        <v>28.936130088009602</v>
      </c>
      <c r="BK365" s="148">
        <v>28.936130088009602</v>
      </c>
      <c r="BL365" s="148">
        <v>28.936130088009602</v>
      </c>
      <c r="BM365" s="148">
        <v>28.936130088009602</v>
      </c>
      <c r="BN365" s="148">
        <v>28.936130088009602</v>
      </c>
      <c r="BO365" s="148">
        <v>28.936130088009602</v>
      </c>
      <c r="BP365" s="148"/>
      <c r="BQ365" s="148"/>
    </row>
    <row r="366" spans="2:69" s="22" customFormat="1" outlineLevel="1">
      <c r="C366" s="22" t="str">
        <v>Datahaven</v>
      </c>
      <c r="D366" s="161">
        <f>AVERAGEIFS('Existing Stores'!$J$9:$J$1008,'Existing Stores'!$D$9:$D$1008,Model!C334)</f>
        <v>3.157694090909092</v>
      </c>
      <c r="E366" s="67" t="s">
        <v>1274</v>
      </c>
      <c r="F366" s="29" t="s">
        <v>119</v>
      </c>
      <c r="G366" s="167">
        <v>69.469270000000023</v>
      </c>
      <c r="H366" s="148">
        <v>71.553348100000022</v>
      </c>
      <c r="I366" s="148">
        <v>71.553348100000022</v>
      </c>
      <c r="J366" s="148">
        <v>71.553348100000022</v>
      </c>
      <c r="K366" s="148">
        <v>74.805773013636383</v>
      </c>
      <c r="L366" s="148">
        <v>74.805773013636383</v>
      </c>
      <c r="M366" s="148">
        <v>74.805773013636383</v>
      </c>
      <c r="N366" s="148">
        <v>74.805773013636383</v>
      </c>
      <c r="O366" s="148">
        <v>74.805773013636383</v>
      </c>
      <c r="P366" s="148">
        <v>74.805773013636383</v>
      </c>
      <c r="Q366" s="148">
        <v>74.805773013636383</v>
      </c>
      <c r="R366" s="148">
        <v>74.805773013636383</v>
      </c>
      <c r="S366" s="148">
        <v>74.805773013636383</v>
      </c>
      <c r="T366" s="148">
        <v>77.049946204045469</v>
      </c>
      <c r="U366" s="148">
        <v>77.049946204045469</v>
      </c>
      <c r="V366" s="148">
        <v>77.049946204045469</v>
      </c>
      <c r="W366" s="148">
        <v>77.049946204045469</v>
      </c>
      <c r="X366" s="148">
        <v>77.049946204045469</v>
      </c>
      <c r="Y366" s="148">
        <v>77.049946204045469</v>
      </c>
      <c r="Z366" s="148">
        <v>77.049946204045469</v>
      </c>
      <c r="AA366" s="148">
        <v>77.049946204045469</v>
      </c>
      <c r="AB366" s="148">
        <v>77.049946204045469</v>
      </c>
      <c r="AC366" s="148">
        <v>77.049946204045469</v>
      </c>
      <c r="AD366" s="148">
        <v>77.049946204045469</v>
      </c>
      <c r="AE366" s="148">
        <v>77.049946204045469</v>
      </c>
      <c r="AF366" s="148">
        <v>79.36144459016684</v>
      </c>
      <c r="AG366" s="148">
        <v>79.36144459016684</v>
      </c>
      <c r="AH366" s="148">
        <v>79.36144459016684</v>
      </c>
      <c r="AI366" s="148">
        <v>79.36144459016684</v>
      </c>
      <c r="AJ366" s="148">
        <v>79.36144459016684</v>
      </c>
      <c r="AK366" s="148">
        <v>82.811942181043662</v>
      </c>
      <c r="AL366" s="148">
        <v>82.811942181043662</v>
      </c>
      <c r="AM366" s="148">
        <v>82.811942181043662</v>
      </c>
      <c r="AN366" s="148">
        <v>82.811942181043662</v>
      </c>
      <c r="AO366" s="148">
        <v>82.811942181043662</v>
      </c>
      <c r="AP366" s="148">
        <v>82.811942181043662</v>
      </c>
      <c r="AQ366" s="148">
        <v>82.811942181043662</v>
      </c>
      <c r="AR366" s="148">
        <v>85.296300446474973</v>
      </c>
      <c r="AS366" s="148">
        <v>85.296300446474973</v>
      </c>
      <c r="AT366" s="148">
        <v>85.296300446474973</v>
      </c>
      <c r="AU366" s="148">
        <v>85.296300446474973</v>
      </c>
      <c r="AV366" s="148">
        <v>85.296300446474973</v>
      </c>
      <c r="AW366" s="148">
        <v>85.296300446474973</v>
      </c>
      <c r="AX366" s="148">
        <v>85.296300446474973</v>
      </c>
      <c r="AY366" s="148">
        <v>85.296300446474973</v>
      </c>
      <c r="AZ366" s="148">
        <v>85.296300446474973</v>
      </c>
      <c r="BA366" s="148">
        <v>85.296300446474973</v>
      </c>
      <c r="BB366" s="148">
        <v>85.296300446474973</v>
      </c>
      <c r="BC366" s="148">
        <v>85.296300446474973</v>
      </c>
      <c r="BD366" s="148">
        <v>87.855189459869209</v>
      </c>
      <c r="BE366" s="148">
        <v>87.855189459869209</v>
      </c>
      <c r="BF366" s="148">
        <v>87.855189459869209</v>
      </c>
      <c r="BG366" s="148">
        <v>87.855189459869209</v>
      </c>
      <c r="BH366" s="148">
        <v>87.855189459869209</v>
      </c>
      <c r="BI366" s="148">
        <v>87.855189459869209</v>
      </c>
      <c r="BJ366" s="148">
        <v>87.855189459869209</v>
      </c>
      <c r="BK366" s="148">
        <v>91.515822354030433</v>
      </c>
      <c r="BL366" s="148">
        <v>91.515822354030433</v>
      </c>
      <c r="BM366" s="148">
        <v>91.515822354030433</v>
      </c>
      <c r="BN366" s="148">
        <v>91.515822354030433</v>
      </c>
      <c r="BO366" s="148">
        <v>91.515822354030433</v>
      </c>
      <c r="BP366" s="148"/>
      <c r="BQ366" s="148"/>
    </row>
    <row r="367" spans="2:69" s="22" customFormat="1" outlineLevel="1">
      <c r="C367" s="22" t="str">
        <v>Etherport</v>
      </c>
      <c r="D367" s="161">
        <f>AVERAGEIFS('Existing Stores'!$J$9:$J$1008,'Existing Stores'!$D$9:$D$1008,Model!C335)</f>
        <v>2.0551699999999999</v>
      </c>
      <c r="E367" s="67" t="s">
        <v>1274</v>
      </c>
      <c r="F367" s="29" t="s">
        <v>119</v>
      </c>
      <c r="G367" s="167">
        <v>6.1655099999999994</v>
      </c>
      <c r="H367" s="148">
        <v>6.3504752999999994</v>
      </c>
      <c r="I367" s="148">
        <v>6.3504752999999994</v>
      </c>
      <c r="J367" s="148">
        <v>6.3504752999999994</v>
      </c>
      <c r="K367" s="148">
        <v>6.3504752999999994</v>
      </c>
      <c r="L367" s="148">
        <v>8.4673003999999992</v>
      </c>
      <c r="M367" s="148">
        <v>8.4673003999999992</v>
      </c>
      <c r="N367" s="148">
        <v>8.4673003999999992</v>
      </c>
      <c r="O367" s="148">
        <v>8.4673003999999992</v>
      </c>
      <c r="P367" s="148">
        <v>8.4673003999999992</v>
      </c>
      <c r="Q367" s="148">
        <v>8.4673003999999992</v>
      </c>
      <c r="R367" s="148">
        <v>8.4673003999999992</v>
      </c>
      <c r="S367" s="148">
        <v>8.4673003999999992</v>
      </c>
      <c r="T367" s="148">
        <v>8.7213194119999997</v>
      </c>
      <c r="U367" s="148">
        <v>8.7213194119999997</v>
      </c>
      <c r="V367" s="148">
        <v>8.7213194119999997</v>
      </c>
      <c r="W367" s="148">
        <v>8.7213194119999997</v>
      </c>
      <c r="X367" s="148">
        <v>8.7213194119999997</v>
      </c>
      <c r="Y367" s="148">
        <v>8.7213194119999997</v>
      </c>
      <c r="Z367" s="148">
        <v>8.7213194119999997</v>
      </c>
      <c r="AA367" s="148">
        <v>8.7213194119999997</v>
      </c>
      <c r="AB367" s="148">
        <v>8.7213194119999997</v>
      </c>
      <c r="AC367" s="148">
        <v>8.7213194119999997</v>
      </c>
      <c r="AD367" s="148">
        <v>8.7213194119999997</v>
      </c>
      <c r="AE367" s="148">
        <v>8.7213194119999997</v>
      </c>
      <c r="AF367" s="148">
        <v>8.9829589943600006</v>
      </c>
      <c r="AG367" s="148">
        <v>8.9829589943600006</v>
      </c>
      <c r="AH367" s="148">
        <v>8.9829589943600006</v>
      </c>
      <c r="AI367" s="148">
        <v>8.9829589943600006</v>
      </c>
      <c r="AJ367" s="148">
        <v>8.9829589943600006</v>
      </c>
      <c r="AK367" s="148">
        <v>8.9829589943600006</v>
      </c>
      <c r="AL367" s="148">
        <v>11.228698742950002</v>
      </c>
      <c r="AM367" s="148">
        <v>11.228698742950002</v>
      </c>
      <c r="AN367" s="148">
        <v>11.228698742950002</v>
      </c>
      <c r="AO367" s="148">
        <v>11.228698742950002</v>
      </c>
      <c r="AP367" s="148">
        <v>11.228698742950002</v>
      </c>
      <c r="AQ367" s="148">
        <v>11.228698742950002</v>
      </c>
      <c r="AR367" s="148">
        <v>11.565559705238499</v>
      </c>
      <c r="AS367" s="148">
        <v>11.565559705238499</v>
      </c>
      <c r="AT367" s="148">
        <v>11.565559705238499</v>
      </c>
      <c r="AU367" s="148">
        <v>11.565559705238499</v>
      </c>
      <c r="AV367" s="148">
        <v>11.565559705238499</v>
      </c>
      <c r="AW367" s="148">
        <v>11.565559705238499</v>
      </c>
      <c r="AX367" s="148">
        <v>11.565559705238499</v>
      </c>
      <c r="AY367" s="148">
        <v>11.565559705238499</v>
      </c>
      <c r="AZ367" s="148">
        <v>11.565559705238499</v>
      </c>
      <c r="BA367" s="148">
        <v>11.565559705238499</v>
      </c>
      <c r="BB367" s="148">
        <v>11.565559705238499</v>
      </c>
      <c r="BC367" s="148">
        <v>11.565559705238499</v>
      </c>
      <c r="BD367" s="148">
        <v>11.912526496395653</v>
      </c>
      <c r="BE367" s="148">
        <v>11.912526496395653</v>
      </c>
      <c r="BF367" s="148">
        <v>11.912526496395653</v>
      </c>
      <c r="BG367" s="148">
        <v>11.912526496395653</v>
      </c>
      <c r="BH367" s="148">
        <v>11.912526496395653</v>
      </c>
      <c r="BI367" s="148">
        <v>11.912526496395653</v>
      </c>
      <c r="BJ367" s="148">
        <v>11.912526496395653</v>
      </c>
      <c r="BK367" s="148">
        <v>11.912526496395653</v>
      </c>
      <c r="BL367" s="148">
        <v>14.295031795674783</v>
      </c>
      <c r="BM367" s="148">
        <v>14.295031795674783</v>
      </c>
      <c r="BN367" s="148">
        <v>14.295031795674783</v>
      </c>
      <c r="BO367" s="148">
        <v>14.295031795674783</v>
      </c>
      <c r="BP367" s="148"/>
      <c r="BQ367" s="148"/>
    </row>
    <row r="368" spans="2:69" s="22" customFormat="1" outlineLevel="1">
      <c r="C368" s="22" t="str">
        <v>Fiberfall</v>
      </c>
      <c r="D368" s="162">
        <f>AVERAGEIFS('Existing Stores'!$J$9:$J$1008,'Existing Stores'!$D$9:$D$1008,Model!C336)</f>
        <v>1.7221633333333333</v>
      </c>
      <c r="E368" s="67" t="s">
        <v>1274</v>
      </c>
      <c r="F368" s="29" t="s">
        <v>119</v>
      </c>
      <c r="G368" s="167">
        <v>5.1664899999999996</v>
      </c>
      <c r="H368" s="148">
        <v>5.3214847000000001</v>
      </c>
      <c r="I368" s="148">
        <v>5.3214847000000001</v>
      </c>
      <c r="J368" s="148">
        <v>5.3214847000000001</v>
      </c>
      <c r="K368" s="148">
        <v>5.3214847000000001</v>
      </c>
      <c r="L368" s="148">
        <v>5.3214847000000001</v>
      </c>
      <c r="M368" s="148">
        <v>7.0953129333333331</v>
      </c>
      <c r="N368" s="148">
        <v>7.0953129333333331</v>
      </c>
      <c r="O368" s="148">
        <v>7.0953129333333331</v>
      </c>
      <c r="P368" s="148">
        <v>7.0953129333333331</v>
      </c>
      <c r="Q368" s="148">
        <v>7.0953129333333331</v>
      </c>
      <c r="R368" s="148">
        <v>7.0953129333333331</v>
      </c>
      <c r="S368" s="148">
        <v>7.0953129333333331</v>
      </c>
      <c r="T368" s="148">
        <v>7.3081723213333332</v>
      </c>
      <c r="U368" s="148">
        <v>7.3081723213333332</v>
      </c>
      <c r="V368" s="148">
        <v>7.3081723213333332</v>
      </c>
      <c r="W368" s="148">
        <v>7.3081723213333332</v>
      </c>
      <c r="X368" s="148">
        <v>7.3081723213333332</v>
      </c>
      <c r="Y368" s="148">
        <v>7.3081723213333332</v>
      </c>
      <c r="Z368" s="148">
        <v>7.3081723213333332</v>
      </c>
      <c r="AA368" s="148">
        <v>7.3081723213333332</v>
      </c>
      <c r="AB368" s="148">
        <v>7.3081723213333332</v>
      </c>
      <c r="AC368" s="148">
        <v>7.3081723213333332</v>
      </c>
      <c r="AD368" s="148">
        <v>7.3081723213333332</v>
      </c>
      <c r="AE368" s="148">
        <v>7.3081723213333332</v>
      </c>
      <c r="AF368" s="148">
        <v>7.5274174909733329</v>
      </c>
      <c r="AG368" s="148">
        <v>7.5274174909733329</v>
      </c>
      <c r="AH368" s="148">
        <v>7.5274174909733329</v>
      </c>
      <c r="AI368" s="148">
        <v>7.5274174909733329</v>
      </c>
      <c r="AJ368" s="148">
        <v>7.5274174909733329</v>
      </c>
      <c r="AK368" s="148">
        <v>7.5274174909733329</v>
      </c>
      <c r="AL368" s="148">
        <v>7.5274174909733329</v>
      </c>
      <c r="AM368" s="148">
        <v>9.4092718637166666</v>
      </c>
      <c r="AN368" s="148">
        <v>9.4092718637166666</v>
      </c>
      <c r="AO368" s="148">
        <v>9.4092718637166666</v>
      </c>
      <c r="AP368" s="148">
        <v>9.4092718637166666</v>
      </c>
      <c r="AQ368" s="148">
        <v>9.4092718637166666</v>
      </c>
      <c r="AR368" s="148">
        <v>9.6915500196281652</v>
      </c>
      <c r="AS368" s="148">
        <v>9.6915500196281652</v>
      </c>
      <c r="AT368" s="148">
        <v>9.6915500196281652</v>
      </c>
      <c r="AU368" s="148">
        <v>9.6915500196281652</v>
      </c>
      <c r="AV368" s="148">
        <v>9.6915500196281652</v>
      </c>
      <c r="AW368" s="148">
        <v>9.6915500196281652</v>
      </c>
      <c r="AX368" s="148">
        <v>9.6915500196281652</v>
      </c>
      <c r="AY368" s="148">
        <v>9.6915500196281652</v>
      </c>
      <c r="AZ368" s="148">
        <v>9.6915500196281652</v>
      </c>
      <c r="BA368" s="148">
        <v>9.6915500196281652</v>
      </c>
      <c r="BB368" s="148">
        <v>9.6915500196281652</v>
      </c>
      <c r="BC368" s="148">
        <v>9.6915500196281652</v>
      </c>
      <c r="BD368" s="148">
        <v>9.9822965202170106</v>
      </c>
      <c r="BE368" s="148">
        <v>9.9822965202170106</v>
      </c>
      <c r="BF368" s="148">
        <v>9.9822965202170106</v>
      </c>
      <c r="BG368" s="148">
        <v>9.9822965202170106</v>
      </c>
      <c r="BH368" s="148">
        <v>9.9822965202170106</v>
      </c>
      <c r="BI368" s="148">
        <v>9.9822965202170106</v>
      </c>
      <c r="BJ368" s="148">
        <v>9.9822965202170106</v>
      </c>
      <c r="BK368" s="148">
        <v>9.9822965202170106</v>
      </c>
      <c r="BL368" s="148">
        <v>9.9822965202170106</v>
      </c>
      <c r="BM368" s="148">
        <v>11.978755824260412</v>
      </c>
      <c r="BN368" s="148">
        <v>11.978755824260412</v>
      </c>
      <c r="BO368" s="148">
        <v>11.978755824260412</v>
      </c>
      <c r="BP368" s="148"/>
      <c r="BQ368" s="148"/>
    </row>
    <row r="369" spans="3:69" s="22" customFormat="1" outlineLevel="1">
      <c r="C369" s="22" t="str">
        <v>Gigatown</v>
      </c>
      <c r="D369" s="161">
        <f>AVERAGEIFS('Existing Stores'!$J$9:$J$1008,'Existing Stores'!$D$9:$D$1008,Model!C337)</f>
        <v>2.916027999999999</v>
      </c>
      <c r="E369" s="67" t="s">
        <v>1274</v>
      </c>
      <c r="F369" s="29" t="s">
        <v>119</v>
      </c>
      <c r="G369" s="167">
        <v>189.54181999999994</v>
      </c>
      <c r="H369" s="148">
        <v>195.22807459999993</v>
      </c>
      <c r="I369" s="148">
        <v>195.22807459999993</v>
      </c>
      <c r="J369" s="148">
        <v>195.22807459999993</v>
      </c>
      <c r="K369" s="148">
        <v>195.22807459999993</v>
      </c>
      <c r="L369" s="148">
        <v>195.22807459999993</v>
      </c>
      <c r="M369" s="148">
        <v>195.22807459999993</v>
      </c>
      <c r="N369" s="148">
        <v>198.23158343999992</v>
      </c>
      <c r="O369" s="148">
        <v>198.23158343999992</v>
      </c>
      <c r="P369" s="148">
        <v>198.23158343999992</v>
      </c>
      <c r="Q369" s="148">
        <v>198.23158343999992</v>
      </c>
      <c r="R369" s="148">
        <v>198.23158343999992</v>
      </c>
      <c r="S369" s="148">
        <v>198.23158343999992</v>
      </c>
      <c r="T369" s="148">
        <v>204.17853094319992</v>
      </c>
      <c r="U369" s="148">
        <v>204.17853094319992</v>
      </c>
      <c r="V369" s="148">
        <v>204.17853094319992</v>
      </c>
      <c r="W369" s="148">
        <v>204.17853094319992</v>
      </c>
      <c r="X369" s="148">
        <v>204.17853094319992</v>
      </c>
      <c r="Y369" s="148">
        <v>204.17853094319992</v>
      </c>
      <c r="Z369" s="148">
        <v>204.17853094319992</v>
      </c>
      <c r="AA369" s="148">
        <v>204.17853094319992</v>
      </c>
      <c r="AB369" s="148">
        <v>204.17853094319992</v>
      </c>
      <c r="AC369" s="148">
        <v>204.17853094319992</v>
      </c>
      <c r="AD369" s="148">
        <v>204.17853094319992</v>
      </c>
      <c r="AE369" s="148">
        <v>204.17853094319992</v>
      </c>
      <c r="AF369" s="148">
        <v>210.30388687149593</v>
      </c>
      <c r="AG369" s="148">
        <v>210.30388687149593</v>
      </c>
      <c r="AH369" s="148">
        <v>210.30388687149593</v>
      </c>
      <c r="AI369" s="148">
        <v>210.30388687149593</v>
      </c>
      <c r="AJ369" s="148">
        <v>210.30388687149593</v>
      </c>
      <c r="AK369" s="148">
        <v>210.30388687149593</v>
      </c>
      <c r="AL369" s="148">
        <v>210.30388687149593</v>
      </c>
      <c r="AM369" s="148">
        <v>210.30388687149593</v>
      </c>
      <c r="AN369" s="148">
        <v>213.49030939985192</v>
      </c>
      <c r="AO369" s="148">
        <v>213.49030939985192</v>
      </c>
      <c r="AP369" s="148">
        <v>213.49030939985192</v>
      </c>
      <c r="AQ369" s="148">
        <v>213.49030939985192</v>
      </c>
      <c r="AR369" s="148">
        <v>219.89501868184746</v>
      </c>
      <c r="AS369" s="148">
        <v>219.89501868184746</v>
      </c>
      <c r="AT369" s="148">
        <v>219.89501868184746</v>
      </c>
      <c r="AU369" s="148">
        <v>219.89501868184746</v>
      </c>
      <c r="AV369" s="148">
        <v>219.89501868184746</v>
      </c>
      <c r="AW369" s="148">
        <v>219.89501868184746</v>
      </c>
      <c r="AX369" s="148">
        <v>219.89501868184746</v>
      </c>
      <c r="AY369" s="148">
        <v>219.89501868184746</v>
      </c>
      <c r="AZ369" s="148">
        <v>219.89501868184746</v>
      </c>
      <c r="BA369" s="148">
        <v>219.89501868184746</v>
      </c>
      <c r="BB369" s="148">
        <v>219.89501868184746</v>
      </c>
      <c r="BC369" s="148">
        <v>219.89501868184746</v>
      </c>
      <c r="BD369" s="148">
        <v>226.49186924230287</v>
      </c>
      <c r="BE369" s="148">
        <v>226.49186924230287</v>
      </c>
      <c r="BF369" s="148">
        <v>226.49186924230287</v>
      </c>
      <c r="BG369" s="148">
        <v>226.49186924230287</v>
      </c>
      <c r="BH369" s="148">
        <v>226.49186924230287</v>
      </c>
      <c r="BI369" s="148">
        <v>226.49186924230287</v>
      </c>
      <c r="BJ369" s="148">
        <v>226.49186924230287</v>
      </c>
      <c r="BK369" s="148">
        <v>226.49186924230287</v>
      </c>
      <c r="BL369" s="148">
        <v>226.49186924230287</v>
      </c>
      <c r="BM369" s="148">
        <v>226.49186924230287</v>
      </c>
      <c r="BN369" s="148">
        <v>229.87234490263575</v>
      </c>
      <c r="BO369" s="148">
        <v>229.87234490263575</v>
      </c>
      <c r="BP369" s="148"/>
      <c r="BQ369" s="148"/>
    </row>
    <row r="370" spans="3:69" s="22" customFormat="1" outlineLevel="1">
      <c r="C370" s="22" t="str">
        <v>Hexavale</v>
      </c>
      <c r="D370" s="161">
        <f>AVERAGEIFS('Existing Stores'!$J$9:$J$1008,'Existing Stores'!$D$9:$D$1008,Model!C338)</f>
        <v>2.9403966881028953</v>
      </c>
      <c r="E370" s="67" t="s">
        <v>1274</v>
      </c>
      <c r="F370" s="29" t="s">
        <v>119</v>
      </c>
      <c r="G370" s="167">
        <v>914.4633700000004</v>
      </c>
      <c r="H370" s="148">
        <v>941.89727110000047</v>
      </c>
      <c r="I370" s="148">
        <v>941.89727110000047</v>
      </c>
      <c r="J370" s="148">
        <v>941.89727110000047</v>
      </c>
      <c r="K370" s="148">
        <v>941.89727110000047</v>
      </c>
      <c r="L370" s="148">
        <v>941.89727110000047</v>
      </c>
      <c r="M370" s="148">
        <v>941.89727110000047</v>
      </c>
      <c r="N370" s="148">
        <v>941.89727110000047</v>
      </c>
      <c r="O370" s="148">
        <v>944.92587968874648</v>
      </c>
      <c r="P370" s="148">
        <v>944.92587968874648</v>
      </c>
      <c r="Q370" s="148">
        <v>944.92587968874648</v>
      </c>
      <c r="R370" s="148">
        <v>944.92587968874648</v>
      </c>
      <c r="S370" s="148">
        <v>944.92587968874648</v>
      </c>
      <c r="T370" s="148">
        <v>973.27365607940885</v>
      </c>
      <c r="U370" s="148">
        <v>973.27365607940885</v>
      </c>
      <c r="V370" s="148">
        <v>973.27365607940885</v>
      </c>
      <c r="W370" s="148">
        <v>973.27365607940885</v>
      </c>
      <c r="X370" s="148">
        <v>973.27365607940885</v>
      </c>
      <c r="Y370" s="148">
        <v>973.27365607940885</v>
      </c>
      <c r="Z370" s="148">
        <v>973.27365607940885</v>
      </c>
      <c r="AA370" s="148">
        <v>973.27365607940885</v>
      </c>
      <c r="AB370" s="148">
        <v>973.27365607940885</v>
      </c>
      <c r="AC370" s="148">
        <v>973.27365607940885</v>
      </c>
      <c r="AD370" s="148">
        <v>973.27365607940885</v>
      </c>
      <c r="AE370" s="148">
        <v>973.27365607940885</v>
      </c>
      <c r="AF370" s="148">
        <v>1002.4718657617912</v>
      </c>
      <c r="AG370" s="148">
        <v>1002.4718657617912</v>
      </c>
      <c r="AH370" s="148">
        <v>1002.4718657617912</v>
      </c>
      <c r="AI370" s="148">
        <v>1002.4718657617912</v>
      </c>
      <c r="AJ370" s="148">
        <v>1002.4718657617912</v>
      </c>
      <c r="AK370" s="148">
        <v>1002.4718657617912</v>
      </c>
      <c r="AL370" s="148">
        <v>1002.4718657617912</v>
      </c>
      <c r="AM370" s="148">
        <v>1002.4718657617912</v>
      </c>
      <c r="AN370" s="148">
        <v>1002.4718657617912</v>
      </c>
      <c r="AO370" s="148">
        <v>1005.6849166135918</v>
      </c>
      <c r="AP370" s="148">
        <v>1005.6849166135918</v>
      </c>
      <c r="AQ370" s="148">
        <v>1005.6849166135918</v>
      </c>
      <c r="AR370" s="148">
        <v>1035.8554641119993</v>
      </c>
      <c r="AS370" s="148">
        <v>1035.8554641119993</v>
      </c>
      <c r="AT370" s="148">
        <v>1035.8554641119993</v>
      </c>
      <c r="AU370" s="148">
        <v>1035.8554641119993</v>
      </c>
      <c r="AV370" s="148">
        <v>1035.8554641119993</v>
      </c>
      <c r="AW370" s="148">
        <v>1035.8554641119993</v>
      </c>
      <c r="AX370" s="148">
        <v>1035.8554641119993</v>
      </c>
      <c r="AY370" s="148">
        <v>1035.8554641119993</v>
      </c>
      <c r="AZ370" s="148">
        <v>1035.8554641119993</v>
      </c>
      <c r="BA370" s="148">
        <v>1035.8554641119993</v>
      </c>
      <c r="BB370" s="148">
        <v>1035.8554641119993</v>
      </c>
      <c r="BC370" s="148">
        <v>1035.8554641119993</v>
      </c>
      <c r="BD370" s="148">
        <v>1066.9311280353593</v>
      </c>
      <c r="BE370" s="148">
        <v>1066.9311280353593</v>
      </c>
      <c r="BF370" s="148">
        <v>1066.9311280353593</v>
      </c>
      <c r="BG370" s="148">
        <v>1066.9311280353593</v>
      </c>
      <c r="BH370" s="148">
        <v>1066.9311280353593</v>
      </c>
      <c r="BI370" s="148">
        <v>1066.9311280353593</v>
      </c>
      <c r="BJ370" s="148">
        <v>1066.9311280353593</v>
      </c>
      <c r="BK370" s="148">
        <v>1066.9311280353593</v>
      </c>
      <c r="BL370" s="148">
        <v>1066.9311280353593</v>
      </c>
      <c r="BM370" s="148">
        <v>1066.9311280353593</v>
      </c>
      <c r="BN370" s="148">
        <v>1066.9311280353593</v>
      </c>
      <c r="BO370" s="148">
        <v>1070.3398536840346</v>
      </c>
      <c r="BP370" s="148"/>
      <c r="BQ370" s="148"/>
    </row>
    <row r="371" spans="3:69" s="22" customFormat="1" outlineLevel="1">
      <c r="C371" s="22" t="str">
        <v>Input City</v>
      </c>
      <c r="D371" s="161">
        <f>AVERAGEIFS('Existing Stores'!$J$9:$J$1008,'Existing Stores'!$D$9:$D$1008,Model!C339)</f>
        <v>2.8444164705882349</v>
      </c>
      <c r="E371" s="67" t="s">
        <v>1274</v>
      </c>
      <c r="F371" s="29" t="s">
        <v>119</v>
      </c>
      <c r="G371" s="167">
        <v>48.355079999999994</v>
      </c>
      <c r="H371" s="148">
        <v>49.805732399999989</v>
      </c>
      <c r="I371" s="148">
        <v>49.805732399999989</v>
      </c>
      <c r="J371" s="148">
        <v>49.805732399999989</v>
      </c>
      <c r="K371" s="148">
        <v>49.805732399999989</v>
      </c>
      <c r="L371" s="148">
        <v>49.805732399999989</v>
      </c>
      <c r="M371" s="148">
        <v>49.805732399999989</v>
      </c>
      <c r="N371" s="148">
        <v>49.805732399999989</v>
      </c>
      <c r="O371" s="148">
        <v>49.805732399999989</v>
      </c>
      <c r="P371" s="148">
        <v>52.735481364705876</v>
      </c>
      <c r="Q371" s="148">
        <v>52.735481364705876</v>
      </c>
      <c r="R371" s="148">
        <v>52.735481364705876</v>
      </c>
      <c r="S371" s="148">
        <v>52.735481364705876</v>
      </c>
      <c r="T371" s="148">
        <v>54.317545805647043</v>
      </c>
      <c r="U371" s="148">
        <v>54.317545805647043</v>
      </c>
      <c r="V371" s="148">
        <v>54.317545805647043</v>
      </c>
      <c r="W371" s="148">
        <v>54.317545805647043</v>
      </c>
      <c r="X371" s="148">
        <v>54.317545805647043</v>
      </c>
      <c r="Y371" s="148">
        <v>54.317545805647043</v>
      </c>
      <c r="Z371" s="148">
        <v>54.317545805647043</v>
      </c>
      <c r="AA371" s="148">
        <v>54.317545805647043</v>
      </c>
      <c r="AB371" s="148">
        <v>54.317545805647043</v>
      </c>
      <c r="AC371" s="148">
        <v>54.317545805647043</v>
      </c>
      <c r="AD371" s="148">
        <v>54.317545805647043</v>
      </c>
      <c r="AE371" s="148">
        <v>54.317545805647043</v>
      </c>
      <c r="AF371" s="148">
        <v>55.947072179816466</v>
      </c>
      <c r="AG371" s="148">
        <v>55.947072179816466</v>
      </c>
      <c r="AH371" s="148">
        <v>55.947072179816466</v>
      </c>
      <c r="AI371" s="148">
        <v>55.947072179816466</v>
      </c>
      <c r="AJ371" s="148">
        <v>55.947072179816466</v>
      </c>
      <c r="AK371" s="148">
        <v>55.947072179816466</v>
      </c>
      <c r="AL371" s="148">
        <v>55.947072179816466</v>
      </c>
      <c r="AM371" s="148">
        <v>55.947072179816466</v>
      </c>
      <c r="AN371" s="148">
        <v>55.947072179816466</v>
      </c>
      <c r="AO371" s="148">
        <v>55.947072179816466</v>
      </c>
      <c r="AP371" s="148">
        <v>59.055242856472937</v>
      </c>
      <c r="AQ371" s="148">
        <v>59.055242856472937</v>
      </c>
      <c r="AR371" s="148">
        <v>60.826900142167119</v>
      </c>
      <c r="AS371" s="148">
        <v>60.826900142167119</v>
      </c>
      <c r="AT371" s="148">
        <v>60.826900142167119</v>
      </c>
      <c r="AU371" s="148">
        <v>60.826900142167119</v>
      </c>
      <c r="AV371" s="148">
        <v>60.826900142167119</v>
      </c>
      <c r="AW371" s="148">
        <v>60.826900142167119</v>
      </c>
      <c r="AX371" s="148">
        <v>60.826900142167119</v>
      </c>
      <c r="AY371" s="148">
        <v>60.826900142167119</v>
      </c>
      <c r="AZ371" s="148">
        <v>60.826900142167119</v>
      </c>
      <c r="BA371" s="148">
        <v>60.826900142167119</v>
      </c>
      <c r="BB371" s="148">
        <v>60.826900142167119</v>
      </c>
      <c r="BC371" s="148">
        <v>60.826900142167119</v>
      </c>
      <c r="BD371" s="148">
        <v>62.651707146432123</v>
      </c>
      <c r="BE371" s="148">
        <v>62.651707146432123</v>
      </c>
      <c r="BF371" s="148">
        <v>62.651707146432123</v>
      </c>
      <c r="BG371" s="148">
        <v>62.651707146432123</v>
      </c>
      <c r="BH371" s="148">
        <v>62.651707146432123</v>
      </c>
      <c r="BI371" s="148">
        <v>62.651707146432123</v>
      </c>
      <c r="BJ371" s="148">
        <v>62.651707146432123</v>
      </c>
      <c r="BK371" s="148">
        <v>62.651707146432123</v>
      </c>
      <c r="BL371" s="148">
        <v>62.651707146432123</v>
      </c>
      <c r="BM371" s="148">
        <v>62.651707146432123</v>
      </c>
      <c r="BN371" s="148">
        <v>62.651707146432123</v>
      </c>
      <c r="BO371" s="148">
        <v>62.651707146432123</v>
      </c>
      <c r="BP371" s="148"/>
      <c r="BQ371" s="148"/>
    </row>
    <row r="372" spans="3:69" s="22" customFormat="1" outlineLevel="1">
      <c r="C372" s="22" t="str">
        <v>Junction Core</v>
      </c>
      <c r="D372" s="161">
        <f>AVERAGEIFS('Existing Stores'!$J$9:$J$1008,'Existing Stores'!$D$9:$D$1008,Model!C340)</f>
        <v>4.3805862500000003</v>
      </c>
      <c r="E372" s="67" t="s">
        <v>1274</v>
      </c>
      <c r="F372" s="29" t="s">
        <v>119</v>
      </c>
      <c r="G372" s="167">
        <v>35.044690000000003</v>
      </c>
      <c r="H372" s="148">
        <v>36.096030700000007</v>
      </c>
      <c r="I372" s="148">
        <v>36.096030700000007</v>
      </c>
      <c r="J372" s="148">
        <v>36.096030700000007</v>
      </c>
      <c r="K372" s="148">
        <v>36.096030700000007</v>
      </c>
      <c r="L372" s="148">
        <v>36.096030700000007</v>
      </c>
      <c r="M372" s="148">
        <v>36.096030700000007</v>
      </c>
      <c r="N372" s="148">
        <v>36.096030700000007</v>
      </c>
      <c r="O372" s="148">
        <v>36.096030700000007</v>
      </c>
      <c r="P372" s="148">
        <v>36.096030700000007</v>
      </c>
      <c r="Q372" s="148">
        <v>40.608034537500011</v>
      </c>
      <c r="R372" s="148">
        <v>40.608034537500011</v>
      </c>
      <c r="S372" s="148">
        <v>40.608034537500011</v>
      </c>
      <c r="T372" s="148">
        <v>41.826275573625004</v>
      </c>
      <c r="U372" s="148">
        <v>41.826275573625004</v>
      </c>
      <c r="V372" s="148">
        <v>41.826275573625004</v>
      </c>
      <c r="W372" s="148">
        <v>41.826275573625004</v>
      </c>
      <c r="X372" s="148">
        <v>41.826275573625004</v>
      </c>
      <c r="Y372" s="148">
        <v>41.826275573625004</v>
      </c>
      <c r="Z372" s="148">
        <v>41.826275573625004</v>
      </c>
      <c r="AA372" s="148">
        <v>41.826275573625004</v>
      </c>
      <c r="AB372" s="148">
        <v>41.826275573625004</v>
      </c>
      <c r="AC372" s="148">
        <v>41.826275573625004</v>
      </c>
      <c r="AD372" s="148">
        <v>41.826275573625004</v>
      </c>
      <c r="AE372" s="148">
        <v>41.826275573625004</v>
      </c>
      <c r="AF372" s="148">
        <v>43.08106384083375</v>
      </c>
      <c r="AG372" s="148">
        <v>43.08106384083375</v>
      </c>
      <c r="AH372" s="148">
        <v>43.08106384083375</v>
      </c>
      <c r="AI372" s="148">
        <v>43.08106384083375</v>
      </c>
      <c r="AJ372" s="148">
        <v>43.08106384083375</v>
      </c>
      <c r="AK372" s="148">
        <v>43.08106384083375</v>
      </c>
      <c r="AL372" s="148">
        <v>43.08106384083375</v>
      </c>
      <c r="AM372" s="148">
        <v>43.08106384083375</v>
      </c>
      <c r="AN372" s="148">
        <v>43.08106384083375</v>
      </c>
      <c r="AO372" s="148">
        <v>43.08106384083375</v>
      </c>
      <c r="AP372" s="148">
        <v>43.08106384083375</v>
      </c>
      <c r="AQ372" s="148">
        <v>47.8678487120375</v>
      </c>
      <c r="AR372" s="148">
        <v>49.303884173398629</v>
      </c>
      <c r="AS372" s="148">
        <v>49.303884173398629</v>
      </c>
      <c r="AT372" s="148">
        <v>49.303884173398629</v>
      </c>
      <c r="AU372" s="148">
        <v>49.303884173398629</v>
      </c>
      <c r="AV372" s="148">
        <v>49.303884173398629</v>
      </c>
      <c r="AW372" s="148">
        <v>49.303884173398629</v>
      </c>
      <c r="AX372" s="148">
        <v>49.303884173398629</v>
      </c>
      <c r="AY372" s="148">
        <v>49.303884173398629</v>
      </c>
      <c r="AZ372" s="148">
        <v>49.303884173398629</v>
      </c>
      <c r="BA372" s="148">
        <v>49.303884173398629</v>
      </c>
      <c r="BB372" s="148">
        <v>49.303884173398629</v>
      </c>
      <c r="BC372" s="148">
        <v>49.303884173398629</v>
      </c>
      <c r="BD372" s="148">
        <v>50.783000698600574</v>
      </c>
      <c r="BE372" s="148">
        <v>50.783000698600574</v>
      </c>
      <c r="BF372" s="148">
        <v>50.783000698600574</v>
      </c>
      <c r="BG372" s="148">
        <v>50.783000698600574</v>
      </c>
      <c r="BH372" s="148">
        <v>50.783000698600574</v>
      </c>
      <c r="BI372" s="148">
        <v>50.783000698600574</v>
      </c>
      <c r="BJ372" s="148">
        <v>50.783000698600574</v>
      </c>
      <c r="BK372" s="148">
        <v>50.783000698600574</v>
      </c>
      <c r="BL372" s="148">
        <v>50.783000698600574</v>
      </c>
      <c r="BM372" s="148">
        <v>50.783000698600574</v>
      </c>
      <c r="BN372" s="148">
        <v>50.783000698600574</v>
      </c>
      <c r="BO372" s="148">
        <v>50.783000698600574</v>
      </c>
      <c r="BP372" s="148"/>
      <c r="BQ372" s="148"/>
    </row>
    <row r="373" spans="3:69" s="22" customFormat="1" outlineLevel="1">
      <c r="C373" s="22" t="str">
        <v>Kernel Heights</v>
      </c>
      <c r="D373" s="161">
        <f>AVERAGEIFS('Existing Stores'!$J$9:$J$1008,'Existing Stores'!$D$9:$D$1008,Model!C341)</f>
        <v>3.2093600000000002</v>
      </c>
      <c r="E373" s="67" t="s">
        <v>1274</v>
      </c>
      <c r="F373" s="29" t="s">
        <v>119</v>
      </c>
      <c r="G373" s="167">
        <v>9.6280800000000006</v>
      </c>
      <c r="H373" s="148">
        <v>9.9169224000000007</v>
      </c>
      <c r="I373" s="148">
        <v>9.9169224000000007</v>
      </c>
      <c r="J373" s="148">
        <v>9.9169224000000007</v>
      </c>
      <c r="K373" s="148">
        <v>9.9169224000000007</v>
      </c>
      <c r="L373" s="148">
        <v>9.9169224000000007</v>
      </c>
      <c r="M373" s="148">
        <v>9.9169224000000007</v>
      </c>
      <c r="N373" s="148">
        <v>9.9169224000000007</v>
      </c>
      <c r="O373" s="148">
        <v>9.9169224000000007</v>
      </c>
      <c r="P373" s="148">
        <v>9.9169224000000007</v>
      </c>
      <c r="Q373" s="148">
        <v>9.9169224000000007</v>
      </c>
      <c r="R373" s="148">
        <v>13.222563200000002</v>
      </c>
      <c r="S373" s="148">
        <v>13.222563200000002</v>
      </c>
      <c r="T373" s="148">
        <v>13.619240096</v>
      </c>
      <c r="U373" s="148">
        <v>13.619240096</v>
      </c>
      <c r="V373" s="148">
        <v>13.619240096</v>
      </c>
      <c r="W373" s="148">
        <v>13.619240096</v>
      </c>
      <c r="X373" s="148">
        <v>13.619240096</v>
      </c>
      <c r="Y373" s="148">
        <v>13.619240096</v>
      </c>
      <c r="Z373" s="148">
        <v>13.619240096</v>
      </c>
      <c r="AA373" s="148">
        <v>13.619240096</v>
      </c>
      <c r="AB373" s="148">
        <v>13.619240096</v>
      </c>
      <c r="AC373" s="148">
        <v>13.619240096</v>
      </c>
      <c r="AD373" s="148">
        <v>13.619240096</v>
      </c>
      <c r="AE373" s="148">
        <v>13.619240096</v>
      </c>
      <c r="AF373" s="148">
        <v>14.027817298880001</v>
      </c>
      <c r="AG373" s="148">
        <v>14.027817298880001</v>
      </c>
      <c r="AH373" s="148">
        <v>14.027817298880001</v>
      </c>
      <c r="AI373" s="148">
        <v>14.027817298880001</v>
      </c>
      <c r="AJ373" s="148">
        <v>14.027817298880001</v>
      </c>
      <c r="AK373" s="148">
        <v>14.027817298880001</v>
      </c>
      <c r="AL373" s="148">
        <v>14.027817298880001</v>
      </c>
      <c r="AM373" s="148">
        <v>14.027817298880001</v>
      </c>
      <c r="AN373" s="148">
        <v>14.027817298880001</v>
      </c>
      <c r="AO373" s="148">
        <v>14.027817298880001</v>
      </c>
      <c r="AP373" s="148">
        <v>14.027817298880001</v>
      </c>
      <c r="AQ373" s="148">
        <v>14.027817298880001</v>
      </c>
      <c r="AR373" s="148">
        <v>18.060814772307999</v>
      </c>
      <c r="AS373" s="148">
        <v>18.060814772307999</v>
      </c>
      <c r="AT373" s="148">
        <v>18.060814772307999</v>
      </c>
      <c r="AU373" s="148">
        <v>18.060814772307999</v>
      </c>
      <c r="AV373" s="148">
        <v>18.060814772307999</v>
      </c>
      <c r="AW373" s="148">
        <v>18.060814772307999</v>
      </c>
      <c r="AX373" s="148">
        <v>18.060814772307999</v>
      </c>
      <c r="AY373" s="148">
        <v>18.060814772307999</v>
      </c>
      <c r="AZ373" s="148">
        <v>18.060814772307999</v>
      </c>
      <c r="BA373" s="148">
        <v>18.060814772307999</v>
      </c>
      <c r="BB373" s="148">
        <v>18.060814772307999</v>
      </c>
      <c r="BC373" s="148">
        <v>18.060814772307999</v>
      </c>
      <c r="BD373" s="148">
        <v>18.60263921547724</v>
      </c>
      <c r="BE373" s="148">
        <v>18.60263921547724</v>
      </c>
      <c r="BF373" s="148">
        <v>18.60263921547724</v>
      </c>
      <c r="BG373" s="148">
        <v>18.60263921547724</v>
      </c>
      <c r="BH373" s="148">
        <v>18.60263921547724</v>
      </c>
      <c r="BI373" s="148">
        <v>18.60263921547724</v>
      </c>
      <c r="BJ373" s="148">
        <v>18.60263921547724</v>
      </c>
      <c r="BK373" s="148">
        <v>18.60263921547724</v>
      </c>
      <c r="BL373" s="148">
        <v>18.60263921547724</v>
      </c>
      <c r="BM373" s="148">
        <v>18.60263921547724</v>
      </c>
      <c r="BN373" s="148">
        <v>18.60263921547724</v>
      </c>
      <c r="BO373" s="148">
        <v>18.60263921547724</v>
      </c>
      <c r="BP373" s="148"/>
      <c r="BQ373" s="148"/>
    </row>
    <row r="374" spans="3:69" s="22" customFormat="1" outlineLevel="1">
      <c r="C374" s="22" t="str">
        <v>Logicridge</v>
      </c>
      <c r="D374" s="162">
        <f>AVERAGEIFS('Existing Stores'!$J$9:$J$1008,'Existing Stores'!$D$9:$D$1008,Model!C342)</f>
        <v>2.8826320000000001</v>
      </c>
      <c r="E374" s="67" t="s">
        <v>1274</v>
      </c>
      <c r="F374" s="29" t="s">
        <v>119</v>
      </c>
      <c r="G374" s="167">
        <v>14.413160000000001</v>
      </c>
      <c r="H374" s="148">
        <v>14.8455548</v>
      </c>
      <c r="I374" s="148">
        <v>14.8455548</v>
      </c>
      <c r="J374" s="148">
        <v>14.8455548</v>
      </c>
      <c r="K374" s="148">
        <v>14.8455548</v>
      </c>
      <c r="L374" s="148">
        <v>14.8455548</v>
      </c>
      <c r="M374" s="148">
        <v>14.8455548</v>
      </c>
      <c r="N374" s="148">
        <v>14.8455548</v>
      </c>
      <c r="O374" s="148">
        <v>14.8455548</v>
      </c>
      <c r="P374" s="148">
        <v>14.8455548</v>
      </c>
      <c r="Q374" s="148">
        <v>14.8455548</v>
      </c>
      <c r="R374" s="148">
        <v>14.8455548</v>
      </c>
      <c r="S374" s="148">
        <v>17.81466576</v>
      </c>
      <c r="T374" s="148">
        <v>18.349105732800002</v>
      </c>
      <c r="U374" s="148">
        <v>18.349105732800002</v>
      </c>
      <c r="V374" s="148">
        <v>18.349105732800002</v>
      </c>
      <c r="W374" s="148">
        <v>18.349105732800002</v>
      </c>
      <c r="X374" s="148">
        <v>18.349105732800002</v>
      </c>
      <c r="Y374" s="148">
        <v>18.349105732800002</v>
      </c>
      <c r="Z374" s="148">
        <v>18.349105732800002</v>
      </c>
      <c r="AA374" s="148">
        <v>18.349105732800002</v>
      </c>
      <c r="AB374" s="148">
        <v>18.349105732800002</v>
      </c>
      <c r="AC374" s="148">
        <v>18.349105732800002</v>
      </c>
      <c r="AD374" s="148">
        <v>18.349105732800002</v>
      </c>
      <c r="AE374" s="148">
        <v>18.349105732800002</v>
      </c>
      <c r="AF374" s="148">
        <v>18.899578904784001</v>
      </c>
      <c r="AG374" s="148">
        <v>18.899578904784001</v>
      </c>
      <c r="AH374" s="148">
        <v>18.899578904784001</v>
      </c>
      <c r="AI374" s="148">
        <v>18.899578904784001</v>
      </c>
      <c r="AJ374" s="148">
        <v>18.899578904784001</v>
      </c>
      <c r="AK374" s="148">
        <v>18.899578904784001</v>
      </c>
      <c r="AL374" s="148">
        <v>18.899578904784001</v>
      </c>
      <c r="AM374" s="148">
        <v>18.899578904784001</v>
      </c>
      <c r="AN374" s="148">
        <v>18.899578904784001</v>
      </c>
      <c r="AO374" s="148">
        <v>18.899578904784001</v>
      </c>
      <c r="AP374" s="148">
        <v>18.899578904784001</v>
      </c>
      <c r="AQ374" s="148">
        <v>18.899578904784001</v>
      </c>
      <c r="AR374" s="148">
        <v>19.466566271927519</v>
      </c>
      <c r="AS374" s="148">
        <v>22.710993983915436</v>
      </c>
      <c r="AT374" s="148">
        <v>22.710993983915436</v>
      </c>
      <c r="AU374" s="148">
        <v>22.710993983915436</v>
      </c>
      <c r="AV374" s="148">
        <v>22.710993983915436</v>
      </c>
      <c r="AW374" s="148">
        <v>22.710993983915436</v>
      </c>
      <c r="AX374" s="148">
        <v>22.710993983915436</v>
      </c>
      <c r="AY374" s="148">
        <v>22.710993983915436</v>
      </c>
      <c r="AZ374" s="148">
        <v>22.710993983915436</v>
      </c>
      <c r="BA374" s="148">
        <v>22.710993983915436</v>
      </c>
      <c r="BB374" s="148">
        <v>22.710993983915436</v>
      </c>
      <c r="BC374" s="148">
        <v>22.710993983915436</v>
      </c>
      <c r="BD374" s="148">
        <v>23.392323803432902</v>
      </c>
      <c r="BE374" s="148">
        <v>23.392323803432902</v>
      </c>
      <c r="BF374" s="148">
        <v>23.392323803432902</v>
      </c>
      <c r="BG374" s="148">
        <v>23.392323803432902</v>
      </c>
      <c r="BH374" s="148">
        <v>23.392323803432902</v>
      </c>
      <c r="BI374" s="148">
        <v>23.392323803432902</v>
      </c>
      <c r="BJ374" s="148">
        <v>23.392323803432902</v>
      </c>
      <c r="BK374" s="148">
        <v>23.392323803432902</v>
      </c>
      <c r="BL374" s="148">
        <v>23.392323803432902</v>
      </c>
      <c r="BM374" s="148">
        <v>23.392323803432902</v>
      </c>
      <c r="BN374" s="148">
        <v>23.392323803432902</v>
      </c>
      <c r="BO374" s="148">
        <v>23.392323803432902</v>
      </c>
      <c r="BP374" s="148"/>
      <c r="BQ374" s="148"/>
    </row>
    <row r="375" spans="3:69" s="22" customFormat="1" outlineLevel="1">
      <c r="C375" s="22" t="str">
        <v>Megahub</v>
      </c>
      <c r="D375" s="161">
        <f>AVERAGEIFS('Existing Stores'!$J$9:$J$1008,'Existing Stores'!$D$9:$D$1008,Model!C343)</f>
        <v>3.0844799999999997</v>
      </c>
      <c r="E375" s="67" t="s">
        <v>1274</v>
      </c>
      <c r="F375" s="29" t="s">
        <v>119</v>
      </c>
      <c r="G375" s="167">
        <v>3.0844799999999997</v>
      </c>
      <c r="H375" s="148">
        <v>3.1770143999999996</v>
      </c>
      <c r="I375" s="148">
        <v>3.1770143999999996</v>
      </c>
      <c r="J375" s="148">
        <v>3.1770143999999996</v>
      </c>
      <c r="K375" s="148">
        <v>3.1770143999999996</v>
      </c>
      <c r="L375" s="148">
        <v>3.1770143999999996</v>
      </c>
      <c r="M375" s="148">
        <v>3.1770143999999996</v>
      </c>
      <c r="N375" s="148">
        <v>3.1770143999999996</v>
      </c>
      <c r="O375" s="148">
        <v>3.1770143999999996</v>
      </c>
      <c r="P375" s="148">
        <v>3.1770143999999996</v>
      </c>
      <c r="Q375" s="148">
        <v>3.1770143999999996</v>
      </c>
      <c r="R375" s="148">
        <v>3.1770143999999996</v>
      </c>
      <c r="S375" s="148">
        <v>3.1770143999999996</v>
      </c>
      <c r="T375" s="148">
        <v>6.5446496639999987</v>
      </c>
      <c r="U375" s="148">
        <v>6.5446496639999987</v>
      </c>
      <c r="V375" s="148">
        <v>6.5446496639999987</v>
      </c>
      <c r="W375" s="148">
        <v>6.5446496639999987</v>
      </c>
      <c r="X375" s="148">
        <v>6.5446496639999987</v>
      </c>
      <c r="Y375" s="148">
        <v>6.5446496639999987</v>
      </c>
      <c r="Z375" s="148">
        <v>6.5446496639999987</v>
      </c>
      <c r="AA375" s="148">
        <v>6.5446496639999987</v>
      </c>
      <c r="AB375" s="148">
        <v>6.5446496639999987</v>
      </c>
      <c r="AC375" s="148">
        <v>6.5446496639999987</v>
      </c>
      <c r="AD375" s="148">
        <v>6.5446496639999987</v>
      </c>
      <c r="AE375" s="148">
        <v>6.5446496639999987</v>
      </c>
      <c r="AF375" s="148">
        <v>6.7409891539199993</v>
      </c>
      <c r="AG375" s="148">
        <v>6.7409891539199993</v>
      </c>
      <c r="AH375" s="148">
        <v>6.7409891539199993</v>
      </c>
      <c r="AI375" s="148">
        <v>6.7409891539199993</v>
      </c>
      <c r="AJ375" s="148">
        <v>6.7409891539199993</v>
      </c>
      <c r="AK375" s="148">
        <v>6.7409891539199993</v>
      </c>
      <c r="AL375" s="148">
        <v>6.7409891539199993</v>
      </c>
      <c r="AM375" s="148">
        <v>6.7409891539199993</v>
      </c>
      <c r="AN375" s="148">
        <v>6.7409891539199993</v>
      </c>
      <c r="AO375" s="148">
        <v>6.7409891539199993</v>
      </c>
      <c r="AP375" s="148">
        <v>6.7409891539199993</v>
      </c>
      <c r="AQ375" s="148">
        <v>6.7409891539199993</v>
      </c>
      <c r="AR375" s="148">
        <v>6.9432188285375984</v>
      </c>
      <c r="AS375" s="148">
        <v>6.9432188285375984</v>
      </c>
      <c r="AT375" s="148">
        <v>10.414828242806397</v>
      </c>
      <c r="AU375" s="148">
        <v>10.414828242806397</v>
      </c>
      <c r="AV375" s="148">
        <v>10.414828242806397</v>
      </c>
      <c r="AW375" s="148">
        <v>10.414828242806397</v>
      </c>
      <c r="AX375" s="148">
        <v>10.414828242806397</v>
      </c>
      <c r="AY375" s="148">
        <v>10.414828242806397</v>
      </c>
      <c r="AZ375" s="148">
        <v>10.414828242806397</v>
      </c>
      <c r="BA375" s="148">
        <v>10.414828242806397</v>
      </c>
      <c r="BB375" s="148">
        <v>10.414828242806397</v>
      </c>
      <c r="BC375" s="148">
        <v>10.414828242806397</v>
      </c>
      <c r="BD375" s="148">
        <v>10.727273090090589</v>
      </c>
      <c r="BE375" s="148">
        <v>10.727273090090589</v>
      </c>
      <c r="BF375" s="148">
        <v>10.727273090090589</v>
      </c>
      <c r="BG375" s="148">
        <v>10.727273090090589</v>
      </c>
      <c r="BH375" s="148">
        <v>10.727273090090589</v>
      </c>
      <c r="BI375" s="148">
        <v>10.727273090090589</v>
      </c>
      <c r="BJ375" s="148">
        <v>10.727273090090589</v>
      </c>
      <c r="BK375" s="148">
        <v>10.727273090090589</v>
      </c>
      <c r="BL375" s="148">
        <v>10.727273090090589</v>
      </c>
      <c r="BM375" s="148">
        <v>10.727273090090589</v>
      </c>
      <c r="BN375" s="148">
        <v>10.727273090090589</v>
      </c>
      <c r="BO375" s="148">
        <v>10.727273090090589</v>
      </c>
      <c r="BP375" s="148"/>
      <c r="BQ375" s="148"/>
    </row>
    <row r="376" spans="3:69" s="22" customFormat="1" outlineLevel="1">
      <c r="C376" s="22" t="str">
        <v>Nodeline</v>
      </c>
      <c r="D376" s="161">
        <f>AVERAGEIFS('Existing Stores'!$J$9:$J$1008,'Existing Stores'!$D$9:$D$1008,Model!C344)</f>
        <v>3.1328914285714289</v>
      </c>
      <c r="E376" s="67" t="s">
        <v>1274</v>
      </c>
      <c r="F376" s="29" t="s">
        <v>119</v>
      </c>
      <c r="G376" s="167">
        <v>21.930240000000001</v>
      </c>
      <c r="H376" s="148">
        <v>22.588147200000002</v>
      </c>
      <c r="I376" s="148">
        <v>22.588147200000002</v>
      </c>
      <c r="J376" s="148">
        <v>22.588147200000002</v>
      </c>
      <c r="K376" s="148">
        <v>22.588147200000002</v>
      </c>
      <c r="L376" s="148">
        <v>22.588147200000002</v>
      </c>
      <c r="M376" s="148">
        <v>22.588147200000002</v>
      </c>
      <c r="N376" s="148">
        <v>22.588147200000002</v>
      </c>
      <c r="O376" s="148">
        <v>22.588147200000002</v>
      </c>
      <c r="P376" s="148">
        <v>22.588147200000002</v>
      </c>
      <c r="Q376" s="148">
        <v>22.588147200000002</v>
      </c>
      <c r="R376" s="148">
        <v>22.588147200000002</v>
      </c>
      <c r="S376" s="148">
        <v>22.588147200000002</v>
      </c>
      <c r="T376" s="148">
        <v>23.265791616000001</v>
      </c>
      <c r="U376" s="148">
        <v>26.589476132571431</v>
      </c>
      <c r="V376" s="148">
        <v>26.589476132571431</v>
      </c>
      <c r="W376" s="148">
        <v>26.589476132571431</v>
      </c>
      <c r="X376" s="148">
        <v>26.589476132571431</v>
      </c>
      <c r="Y376" s="148">
        <v>26.589476132571431</v>
      </c>
      <c r="Z376" s="148">
        <v>26.589476132571431</v>
      </c>
      <c r="AA376" s="148">
        <v>26.589476132571431</v>
      </c>
      <c r="AB376" s="148">
        <v>26.589476132571431</v>
      </c>
      <c r="AC376" s="148">
        <v>26.589476132571431</v>
      </c>
      <c r="AD376" s="148">
        <v>26.589476132571431</v>
      </c>
      <c r="AE376" s="148">
        <v>26.589476132571431</v>
      </c>
      <c r="AF376" s="148">
        <v>27.387160416548575</v>
      </c>
      <c r="AG376" s="148">
        <v>27.387160416548575</v>
      </c>
      <c r="AH376" s="148">
        <v>27.387160416548575</v>
      </c>
      <c r="AI376" s="148">
        <v>27.387160416548575</v>
      </c>
      <c r="AJ376" s="148">
        <v>27.387160416548575</v>
      </c>
      <c r="AK376" s="148">
        <v>27.387160416548575</v>
      </c>
      <c r="AL376" s="148">
        <v>27.387160416548575</v>
      </c>
      <c r="AM376" s="148">
        <v>27.387160416548575</v>
      </c>
      <c r="AN376" s="148">
        <v>27.387160416548575</v>
      </c>
      <c r="AO376" s="148">
        <v>27.387160416548575</v>
      </c>
      <c r="AP376" s="148">
        <v>27.387160416548575</v>
      </c>
      <c r="AQ376" s="148">
        <v>27.387160416548575</v>
      </c>
      <c r="AR376" s="148">
        <v>28.208775229045028</v>
      </c>
      <c r="AS376" s="148">
        <v>28.208775229045028</v>
      </c>
      <c r="AT376" s="148">
        <v>28.208775229045028</v>
      </c>
      <c r="AU376" s="148">
        <v>31.734872132675655</v>
      </c>
      <c r="AV376" s="148">
        <v>31.734872132675655</v>
      </c>
      <c r="AW376" s="148">
        <v>31.734872132675655</v>
      </c>
      <c r="AX376" s="148">
        <v>31.734872132675655</v>
      </c>
      <c r="AY376" s="148">
        <v>31.734872132675655</v>
      </c>
      <c r="AZ376" s="148">
        <v>31.734872132675655</v>
      </c>
      <c r="BA376" s="148">
        <v>31.734872132675655</v>
      </c>
      <c r="BB376" s="148">
        <v>31.734872132675655</v>
      </c>
      <c r="BC376" s="148">
        <v>31.734872132675655</v>
      </c>
      <c r="BD376" s="148">
        <v>32.686918296655925</v>
      </c>
      <c r="BE376" s="148">
        <v>32.686918296655925</v>
      </c>
      <c r="BF376" s="148">
        <v>32.686918296655925</v>
      </c>
      <c r="BG376" s="148">
        <v>32.686918296655925</v>
      </c>
      <c r="BH376" s="148">
        <v>32.686918296655925</v>
      </c>
      <c r="BI376" s="148">
        <v>32.686918296655925</v>
      </c>
      <c r="BJ376" s="148">
        <v>32.686918296655925</v>
      </c>
      <c r="BK376" s="148">
        <v>32.686918296655925</v>
      </c>
      <c r="BL376" s="148">
        <v>32.686918296655925</v>
      </c>
      <c r="BM376" s="148">
        <v>32.686918296655925</v>
      </c>
      <c r="BN376" s="148">
        <v>32.686918296655925</v>
      </c>
      <c r="BO376" s="148">
        <v>32.686918296655925</v>
      </c>
      <c r="BP376" s="148"/>
      <c r="BQ376" s="148"/>
    </row>
    <row r="377" spans="3:69" s="22" customFormat="1" outlineLevel="1">
      <c r="C377" s="22" t="str">
        <v>Overclock Oasis</v>
      </c>
      <c r="D377" s="161">
        <f>AVERAGEIFS('Existing Stores'!$J$9:$J$1008,'Existing Stores'!$D$9:$D$1008,Model!C345)</f>
        <v>3.0130584313725501</v>
      </c>
      <c r="E377" s="67" t="s">
        <v>1274</v>
      </c>
      <c r="F377" s="29" t="s">
        <v>119</v>
      </c>
      <c r="G377" s="167">
        <v>153.66598000000005</v>
      </c>
      <c r="H377" s="148">
        <v>158.27595940000006</v>
      </c>
      <c r="I377" s="148">
        <v>158.27595940000006</v>
      </c>
      <c r="J377" s="148">
        <v>158.27595940000006</v>
      </c>
      <c r="K377" s="148">
        <v>158.27595940000006</v>
      </c>
      <c r="L377" s="148">
        <v>158.27595940000006</v>
      </c>
      <c r="M377" s="148">
        <v>158.27595940000006</v>
      </c>
      <c r="N377" s="148">
        <v>158.27595940000006</v>
      </c>
      <c r="O377" s="148">
        <v>158.27595940000006</v>
      </c>
      <c r="P377" s="148">
        <v>158.27595940000006</v>
      </c>
      <c r="Q377" s="148">
        <v>158.27595940000006</v>
      </c>
      <c r="R377" s="148">
        <v>158.27595940000006</v>
      </c>
      <c r="S377" s="148">
        <v>158.27595940000006</v>
      </c>
      <c r="T377" s="148">
        <v>163.02423818200006</v>
      </c>
      <c r="U377" s="148">
        <v>163.02423818200006</v>
      </c>
      <c r="V377" s="148">
        <v>166.2207918718432</v>
      </c>
      <c r="W377" s="148">
        <v>166.2207918718432</v>
      </c>
      <c r="X377" s="148">
        <v>166.2207918718432</v>
      </c>
      <c r="Y377" s="148">
        <v>166.2207918718432</v>
      </c>
      <c r="Z377" s="148">
        <v>166.2207918718432</v>
      </c>
      <c r="AA377" s="148">
        <v>166.2207918718432</v>
      </c>
      <c r="AB377" s="148">
        <v>166.2207918718432</v>
      </c>
      <c r="AC377" s="148">
        <v>166.2207918718432</v>
      </c>
      <c r="AD377" s="148">
        <v>166.2207918718432</v>
      </c>
      <c r="AE377" s="148">
        <v>166.2207918718432</v>
      </c>
      <c r="AF377" s="148">
        <v>171.2074156279985</v>
      </c>
      <c r="AG377" s="148">
        <v>171.2074156279985</v>
      </c>
      <c r="AH377" s="148">
        <v>171.2074156279985</v>
      </c>
      <c r="AI377" s="148">
        <v>171.2074156279985</v>
      </c>
      <c r="AJ377" s="148">
        <v>171.2074156279985</v>
      </c>
      <c r="AK377" s="148">
        <v>171.2074156279985</v>
      </c>
      <c r="AL377" s="148">
        <v>171.2074156279985</v>
      </c>
      <c r="AM377" s="148">
        <v>171.2074156279985</v>
      </c>
      <c r="AN377" s="148">
        <v>171.2074156279985</v>
      </c>
      <c r="AO377" s="148">
        <v>171.2074156279985</v>
      </c>
      <c r="AP377" s="148">
        <v>171.2074156279985</v>
      </c>
      <c r="AQ377" s="148">
        <v>171.2074156279985</v>
      </c>
      <c r="AR377" s="148">
        <v>176.34363809683845</v>
      </c>
      <c r="AS377" s="148">
        <v>176.34363809683845</v>
      </c>
      <c r="AT377" s="148">
        <v>176.34363809683845</v>
      </c>
      <c r="AU377" s="148">
        <v>176.34363809683845</v>
      </c>
      <c r="AV377" s="148">
        <v>179.73486190639301</v>
      </c>
      <c r="AW377" s="148">
        <v>179.73486190639301</v>
      </c>
      <c r="AX377" s="148">
        <v>179.73486190639301</v>
      </c>
      <c r="AY377" s="148">
        <v>179.73486190639301</v>
      </c>
      <c r="AZ377" s="148">
        <v>179.73486190639301</v>
      </c>
      <c r="BA377" s="148">
        <v>179.73486190639301</v>
      </c>
      <c r="BB377" s="148">
        <v>179.73486190639301</v>
      </c>
      <c r="BC377" s="148">
        <v>179.73486190639301</v>
      </c>
      <c r="BD377" s="148">
        <v>185.1269077635848</v>
      </c>
      <c r="BE377" s="148">
        <v>185.1269077635848</v>
      </c>
      <c r="BF377" s="148">
        <v>185.1269077635848</v>
      </c>
      <c r="BG377" s="148">
        <v>185.1269077635848</v>
      </c>
      <c r="BH377" s="148">
        <v>185.1269077635848</v>
      </c>
      <c r="BI377" s="148">
        <v>185.1269077635848</v>
      </c>
      <c r="BJ377" s="148">
        <v>185.1269077635848</v>
      </c>
      <c r="BK377" s="148">
        <v>185.1269077635848</v>
      </c>
      <c r="BL377" s="148">
        <v>185.1269077635848</v>
      </c>
      <c r="BM377" s="148">
        <v>185.1269077635848</v>
      </c>
      <c r="BN377" s="148">
        <v>185.1269077635848</v>
      </c>
      <c r="BO377" s="148">
        <v>185.1269077635848</v>
      </c>
      <c r="BP377" s="148"/>
      <c r="BQ377" s="148"/>
    </row>
    <row r="378" spans="3:69" s="22" customFormat="1" outlineLevel="1">
      <c r="C378" s="22" t="str">
        <v>Pingborough</v>
      </c>
      <c r="D378" s="161">
        <f>AVERAGEIFS('Existing Stores'!$J$9:$J$1008,'Existing Stores'!$D$9:$D$1008,Model!C346)</f>
        <v>3.32958</v>
      </c>
      <c r="E378" s="67" t="s">
        <v>1274</v>
      </c>
      <c r="F378" s="29" t="s">
        <v>119</v>
      </c>
      <c r="G378" s="167">
        <v>9.98874</v>
      </c>
      <c r="H378" s="148">
        <v>10.2884022</v>
      </c>
      <c r="I378" s="148">
        <v>10.2884022</v>
      </c>
      <c r="J378" s="148">
        <v>10.2884022</v>
      </c>
      <c r="K378" s="148">
        <v>10.2884022</v>
      </c>
      <c r="L378" s="148">
        <v>10.2884022</v>
      </c>
      <c r="M378" s="148">
        <v>10.2884022</v>
      </c>
      <c r="N378" s="148">
        <v>10.2884022</v>
      </c>
      <c r="O378" s="148">
        <v>10.2884022</v>
      </c>
      <c r="P378" s="148">
        <v>10.2884022</v>
      </c>
      <c r="Q378" s="148">
        <v>10.2884022</v>
      </c>
      <c r="R378" s="148">
        <v>10.2884022</v>
      </c>
      <c r="S378" s="148">
        <v>10.2884022</v>
      </c>
      <c r="T378" s="148">
        <v>10.597054265999999</v>
      </c>
      <c r="U378" s="148">
        <v>10.597054265999999</v>
      </c>
      <c r="V378" s="148">
        <v>10.597054265999999</v>
      </c>
      <c r="W378" s="148">
        <v>14.129405687999999</v>
      </c>
      <c r="X378" s="148">
        <v>14.129405687999999</v>
      </c>
      <c r="Y378" s="148">
        <v>14.129405687999999</v>
      </c>
      <c r="Z378" s="148">
        <v>14.129405687999999</v>
      </c>
      <c r="AA378" s="148">
        <v>14.129405687999999</v>
      </c>
      <c r="AB378" s="148">
        <v>14.129405687999999</v>
      </c>
      <c r="AC378" s="148">
        <v>14.129405687999999</v>
      </c>
      <c r="AD378" s="148">
        <v>14.129405687999999</v>
      </c>
      <c r="AE378" s="148">
        <v>14.129405687999999</v>
      </c>
      <c r="AF378" s="148">
        <v>14.553287858639999</v>
      </c>
      <c r="AG378" s="148">
        <v>14.553287858639999</v>
      </c>
      <c r="AH378" s="148">
        <v>14.553287858639999</v>
      </c>
      <c r="AI378" s="148">
        <v>14.553287858639999</v>
      </c>
      <c r="AJ378" s="148">
        <v>14.553287858639999</v>
      </c>
      <c r="AK378" s="148">
        <v>14.553287858639999</v>
      </c>
      <c r="AL378" s="148">
        <v>14.553287858639999</v>
      </c>
      <c r="AM378" s="148">
        <v>14.553287858639999</v>
      </c>
      <c r="AN378" s="148">
        <v>14.553287858639999</v>
      </c>
      <c r="AO378" s="148">
        <v>14.553287858639999</v>
      </c>
      <c r="AP378" s="148">
        <v>14.553287858639999</v>
      </c>
      <c r="AQ378" s="148">
        <v>14.553287858639999</v>
      </c>
      <c r="AR378" s="148">
        <v>14.989886494399199</v>
      </c>
      <c r="AS378" s="148">
        <v>14.989886494399199</v>
      </c>
      <c r="AT378" s="148">
        <v>14.989886494399199</v>
      </c>
      <c r="AU378" s="148">
        <v>14.989886494399199</v>
      </c>
      <c r="AV378" s="148">
        <v>14.989886494399199</v>
      </c>
      <c r="AW378" s="148">
        <v>18.737358117998998</v>
      </c>
      <c r="AX378" s="148">
        <v>18.737358117998998</v>
      </c>
      <c r="AY378" s="148">
        <v>18.737358117998998</v>
      </c>
      <c r="AZ378" s="148">
        <v>18.737358117998998</v>
      </c>
      <c r="BA378" s="148">
        <v>18.737358117998998</v>
      </c>
      <c r="BB378" s="148">
        <v>18.737358117998998</v>
      </c>
      <c r="BC378" s="148">
        <v>18.737358117998998</v>
      </c>
      <c r="BD378" s="148">
        <v>19.299478861538969</v>
      </c>
      <c r="BE378" s="148">
        <v>19.299478861538969</v>
      </c>
      <c r="BF378" s="148">
        <v>19.299478861538969</v>
      </c>
      <c r="BG378" s="148">
        <v>19.299478861538969</v>
      </c>
      <c r="BH378" s="148">
        <v>19.299478861538969</v>
      </c>
      <c r="BI378" s="148">
        <v>19.299478861538969</v>
      </c>
      <c r="BJ378" s="148">
        <v>19.299478861538969</v>
      </c>
      <c r="BK378" s="148">
        <v>19.299478861538969</v>
      </c>
      <c r="BL378" s="148">
        <v>19.299478861538969</v>
      </c>
      <c r="BM378" s="148">
        <v>19.299478861538969</v>
      </c>
      <c r="BN378" s="148">
        <v>19.299478861538969</v>
      </c>
      <c r="BO378" s="148">
        <v>19.299478861538969</v>
      </c>
      <c r="BP378" s="148"/>
      <c r="BQ378" s="148"/>
    </row>
    <row r="379" spans="3:69" s="22" customFormat="1" outlineLevel="1">
      <c r="C379" s="22" t="str">
        <v>Quantum Quay</v>
      </c>
      <c r="D379" s="161">
        <f>AVERAGEIFS('Existing Stores'!$J$9:$J$1008,'Existing Stores'!$D$9:$D$1008,Model!C347)</f>
        <v>2.6260537499999996</v>
      </c>
      <c r="E379" s="67" t="s">
        <v>1274</v>
      </c>
      <c r="F379" s="29" t="s">
        <v>119</v>
      </c>
      <c r="G379" s="167">
        <v>21.008429999999997</v>
      </c>
      <c r="H379" s="148">
        <v>21.638682899999999</v>
      </c>
      <c r="I379" s="148">
        <v>21.638682899999999</v>
      </c>
      <c r="J379" s="148">
        <v>21.638682899999999</v>
      </c>
      <c r="K379" s="148">
        <v>21.638682899999999</v>
      </c>
      <c r="L379" s="148">
        <v>21.638682899999999</v>
      </c>
      <c r="M379" s="148">
        <v>21.638682899999999</v>
      </c>
      <c r="N379" s="148">
        <v>21.638682899999999</v>
      </c>
      <c r="O379" s="148">
        <v>21.638682899999999</v>
      </c>
      <c r="P379" s="148">
        <v>21.638682899999999</v>
      </c>
      <c r="Q379" s="148">
        <v>21.638682899999999</v>
      </c>
      <c r="R379" s="148">
        <v>21.638682899999999</v>
      </c>
      <c r="S379" s="148">
        <v>21.638682899999999</v>
      </c>
      <c r="T379" s="148">
        <v>22.287843386999995</v>
      </c>
      <c r="U379" s="148">
        <v>22.287843386999995</v>
      </c>
      <c r="V379" s="148">
        <v>22.287843386999995</v>
      </c>
      <c r="W379" s="148">
        <v>22.287843386999995</v>
      </c>
      <c r="X379" s="148">
        <v>25.073823810374996</v>
      </c>
      <c r="Y379" s="148">
        <v>25.073823810374996</v>
      </c>
      <c r="Z379" s="148">
        <v>25.073823810374996</v>
      </c>
      <c r="AA379" s="148">
        <v>25.073823810374996</v>
      </c>
      <c r="AB379" s="148">
        <v>25.073823810374996</v>
      </c>
      <c r="AC379" s="148">
        <v>25.073823810374996</v>
      </c>
      <c r="AD379" s="148">
        <v>25.073823810374996</v>
      </c>
      <c r="AE379" s="148">
        <v>25.073823810374996</v>
      </c>
      <c r="AF379" s="148">
        <v>25.826038524686247</v>
      </c>
      <c r="AG379" s="148">
        <v>25.826038524686247</v>
      </c>
      <c r="AH379" s="148">
        <v>25.826038524686247</v>
      </c>
      <c r="AI379" s="148">
        <v>25.826038524686247</v>
      </c>
      <c r="AJ379" s="148">
        <v>25.826038524686247</v>
      </c>
      <c r="AK379" s="148">
        <v>25.826038524686247</v>
      </c>
      <c r="AL379" s="148">
        <v>25.826038524686247</v>
      </c>
      <c r="AM379" s="148">
        <v>25.826038524686247</v>
      </c>
      <c r="AN379" s="148">
        <v>25.826038524686247</v>
      </c>
      <c r="AO379" s="148">
        <v>25.826038524686247</v>
      </c>
      <c r="AP379" s="148">
        <v>25.826038524686247</v>
      </c>
      <c r="AQ379" s="148">
        <v>25.826038524686247</v>
      </c>
      <c r="AR379" s="148">
        <v>26.600819680426831</v>
      </c>
      <c r="AS379" s="148">
        <v>26.600819680426831</v>
      </c>
      <c r="AT379" s="148">
        <v>26.600819680426831</v>
      </c>
      <c r="AU379" s="148">
        <v>26.600819680426831</v>
      </c>
      <c r="AV379" s="148">
        <v>26.600819680426831</v>
      </c>
      <c r="AW379" s="148">
        <v>26.600819680426831</v>
      </c>
      <c r="AX379" s="148">
        <v>29.556466311585368</v>
      </c>
      <c r="AY379" s="148">
        <v>29.556466311585368</v>
      </c>
      <c r="AZ379" s="148">
        <v>29.556466311585368</v>
      </c>
      <c r="BA379" s="148">
        <v>29.556466311585368</v>
      </c>
      <c r="BB379" s="148">
        <v>29.556466311585368</v>
      </c>
      <c r="BC379" s="148">
        <v>29.556466311585368</v>
      </c>
      <c r="BD379" s="148">
        <v>30.443160300932931</v>
      </c>
      <c r="BE379" s="148">
        <v>30.443160300932931</v>
      </c>
      <c r="BF379" s="148">
        <v>30.443160300932931</v>
      </c>
      <c r="BG379" s="148">
        <v>30.443160300932931</v>
      </c>
      <c r="BH379" s="148">
        <v>30.443160300932931</v>
      </c>
      <c r="BI379" s="148">
        <v>30.443160300932931</v>
      </c>
      <c r="BJ379" s="148">
        <v>30.443160300932931</v>
      </c>
      <c r="BK379" s="148">
        <v>30.443160300932931</v>
      </c>
      <c r="BL379" s="148">
        <v>30.443160300932931</v>
      </c>
      <c r="BM379" s="148">
        <v>30.443160300932931</v>
      </c>
      <c r="BN379" s="148">
        <v>30.443160300932931</v>
      </c>
      <c r="BO379" s="148">
        <v>30.443160300932931</v>
      </c>
      <c r="BP379" s="148"/>
      <c r="BQ379" s="148"/>
    </row>
    <row r="380" spans="3:69" s="22" customFormat="1" outlineLevel="1">
      <c r="C380" s="22" t="str">
        <v>Renderburg</v>
      </c>
      <c r="D380" s="162">
        <f>AVERAGEIFS('Existing Stores'!$J$9:$J$1008,'Existing Stores'!$D$9:$D$1008,Model!C348)</f>
        <v>2.8937295187165777</v>
      </c>
      <c r="E380" s="67" t="s">
        <v>1274</v>
      </c>
      <c r="F380" s="29" t="s">
        <v>119</v>
      </c>
      <c r="G380" s="167">
        <v>541.12742000000003</v>
      </c>
      <c r="H380" s="148">
        <v>557.36124260000008</v>
      </c>
      <c r="I380" s="148">
        <v>557.36124260000008</v>
      </c>
      <c r="J380" s="148">
        <v>557.36124260000008</v>
      </c>
      <c r="K380" s="148">
        <v>557.36124260000008</v>
      </c>
      <c r="L380" s="148">
        <v>557.36124260000008</v>
      </c>
      <c r="M380" s="148">
        <v>557.36124260000008</v>
      </c>
      <c r="N380" s="148">
        <v>557.36124260000008</v>
      </c>
      <c r="O380" s="148">
        <v>557.36124260000008</v>
      </c>
      <c r="P380" s="148">
        <v>557.36124260000008</v>
      </c>
      <c r="Q380" s="148">
        <v>557.36124260000008</v>
      </c>
      <c r="R380" s="148">
        <v>557.36124260000008</v>
      </c>
      <c r="S380" s="148">
        <v>557.36124260000008</v>
      </c>
      <c r="T380" s="148">
        <v>574.08207987800006</v>
      </c>
      <c r="U380" s="148">
        <v>574.08207987800006</v>
      </c>
      <c r="V380" s="148">
        <v>574.08207987800006</v>
      </c>
      <c r="W380" s="148">
        <v>574.08207987800006</v>
      </c>
      <c r="X380" s="148">
        <v>574.08207987800006</v>
      </c>
      <c r="Y380" s="148">
        <v>577.15203752440641</v>
      </c>
      <c r="Z380" s="148">
        <v>577.15203752440641</v>
      </c>
      <c r="AA380" s="148">
        <v>577.15203752440641</v>
      </c>
      <c r="AB380" s="148">
        <v>577.15203752440641</v>
      </c>
      <c r="AC380" s="148">
        <v>577.15203752440641</v>
      </c>
      <c r="AD380" s="148">
        <v>577.15203752440641</v>
      </c>
      <c r="AE380" s="148">
        <v>577.15203752440641</v>
      </c>
      <c r="AF380" s="148">
        <v>594.46659865013862</v>
      </c>
      <c r="AG380" s="148">
        <v>594.46659865013862</v>
      </c>
      <c r="AH380" s="148">
        <v>594.46659865013862</v>
      </c>
      <c r="AI380" s="148">
        <v>594.46659865013862</v>
      </c>
      <c r="AJ380" s="148">
        <v>594.46659865013862</v>
      </c>
      <c r="AK380" s="148">
        <v>594.46659865013862</v>
      </c>
      <c r="AL380" s="148">
        <v>594.46659865013862</v>
      </c>
      <c r="AM380" s="148">
        <v>594.46659865013862</v>
      </c>
      <c r="AN380" s="148">
        <v>594.46659865013862</v>
      </c>
      <c r="AO380" s="148">
        <v>594.46659865013862</v>
      </c>
      <c r="AP380" s="148">
        <v>594.46659865013862</v>
      </c>
      <c r="AQ380" s="148">
        <v>594.46659865013862</v>
      </c>
      <c r="AR380" s="148">
        <v>612.30059660964275</v>
      </c>
      <c r="AS380" s="148">
        <v>612.30059660964275</v>
      </c>
      <c r="AT380" s="148">
        <v>612.30059660964275</v>
      </c>
      <c r="AU380" s="148">
        <v>612.30059660964275</v>
      </c>
      <c r="AV380" s="148">
        <v>612.30059660964275</v>
      </c>
      <c r="AW380" s="148">
        <v>612.30059660964275</v>
      </c>
      <c r="AX380" s="148">
        <v>612.30059660964275</v>
      </c>
      <c r="AY380" s="148">
        <v>615.5575146767153</v>
      </c>
      <c r="AZ380" s="148">
        <v>615.5575146767153</v>
      </c>
      <c r="BA380" s="148">
        <v>615.5575146767153</v>
      </c>
      <c r="BB380" s="148">
        <v>615.5575146767153</v>
      </c>
      <c r="BC380" s="148">
        <v>615.5575146767153</v>
      </c>
      <c r="BD380" s="148">
        <v>634.0242401170168</v>
      </c>
      <c r="BE380" s="148">
        <v>634.0242401170168</v>
      </c>
      <c r="BF380" s="148">
        <v>634.0242401170168</v>
      </c>
      <c r="BG380" s="148">
        <v>634.0242401170168</v>
      </c>
      <c r="BH380" s="148">
        <v>634.0242401170168</v>
      </c>
      <c r="BI380" s="148">
        <v>634.0242401170168</v>
      </c>
      <c r="BJ380" s="148">
        <v>634.0242401170168</v>
      </c>
      <c r="BK380" s="148">
        <v>634.0242401170168</v>
      </c>
      <c r="BL380" s="148">
        <v>634.0242401170168</v>
      </c>
      <c r="BM380" s="148">
        <v>634.0242401170168</v>
      </c>
      <c r="BN380" s="148">
        <v>634.0242401170168</v>
      </c>
      <c r="BO380" s="148">
        <v>634.0242401170168</v>
      </c>
      <c r="BP380" s="148"/>
      <c r="BQ380" s="148"/>
    </row>
    <row r="381" spans="3:69" s="22" customFormat="1" outlineLevel="1">
      <c r="C381" s="22" t="str">
        <v>Socket Springs</v>
      </c>
      <c r="D381" s="161">
        <f>AVERAGEIFS('Existing Stores'!$J$9:$J$1008,'Existing Stores'!$D$9:$D$1008,Model!C349)</f>
        <v>2.8409050595238088</v>
      </c>
      <c r="E381" s="67" t="s">
        <v>1274</v>
      </c>
      <c r="F381" s="29" t="s">
        <v>119</v>
      </c>
      <c r="G381" s="167">
        <v>477.27204999999987</v>
      </c>
      <c r="H381" s="148">
        <v>491.5902114999999</v>
      </c>
      <c r="I381" s="148">
        <v>491.5902114999999</v>
      </c>
      <c r="J381" s="148">
        <v>491.5902114999999</v>
      </c>
      <c r="K381" s="148">
        <v>491.5902114999999</v>
      </c>
      <c r="L381" s="148">
        <v>491.5902114999999</v>
      </c>
      <c r="M381" s="148">
        <v>491.5902114999999</v>
      </c>
      <c r="N381" s="148">
        <v>491.5902114999999</v>
      </c>
      <c r="O381" s="148">
        <v>491.5902114999999</v>
      </c>
      <c r="P381" s="148">
        <v>491.5902114999999</v>
      </c>
      <c r="Q381" s="148">
        <v>491.5902114999999</v>
      </c>
      <c r="R381" s="148">
        <v>491.5902114999999</v>
      </c>
      <c r="S381" s="148">
        <v>491.5902114999999</v>
      </c>
      <c r="T381" s="148">
        <v>506.33791784499982</v>
      </c>
      <c r="U381" s="148">
        <v>506.33791784499982</v>
      </c>
      <c r="V381" s="148">
        <v>506.33791784499982</v>
      </c>
      <c r="W381" s="148">
        <v>506.33791784499982</v>
      </c>
      <c r="X381" s="148">
        <v>506.33791784499982</v>
      </c>
      <c r="Y381" s="148">
        <v>506.33791784499982</v>
      </c>
      <c r="Z381" s="148">
        <v>509.35183402264863</v>
      </c>
      <c r="AA381" s="148">
        <v>509.35183402264863</v>
      </c>
      <c r="AB381" s="148">
        <v>509.35183402264863</v>
      </c>
      <c r="AC381" s="148">
        <v>509.35183402264863</v>
      </c>
      <c r="AD381" s="148">
        <v>509.35183402264863</v>
      </c>
      <c r="AE381" s="148">
        <v>509.35183402264863</v>
      </c>
      <c r="AF381" s="148">
        <v>524.6323890433282</v>
      </c>
      <c r="AG381" s="148">
        <v>524.6323890433282</v>
      </c>
      <c r="AH381" s="148">
        <v>524.6323890433282</v>
      </c>
      <c r="AI381" s="148">
        <v>524.6323890433282</v>
      </c>
      <c r="AJ381" s="148">
        <v>524.6323890433282</v>
      </c>
      <c r="AK381" s="148">
        <v>524.6323890433282</v>
      </c>
      <c r="AL381" s="148">
        <v>524.6323890433282</v>
      </c>
      <c r="AM381" s="148">
        <v>524.6323890433282</v>
      </c>
      <c r="AN381" s="148">
        <v>524.6323890433282</v>
      </c>
      <c r="AO381" s="148">
        <v>524.6323890433282</v>
      </c>
      <c r="AP381" s="148">
        <v>524.6323890433282</v>
      </c>
      <c r="AQ381" s="148">
        <v>524.6323890433282</v>
      </c>
      <c r="AR381" s="148">
        <v>540.37136071462794</v>
      </c>
      <c r="AS381" s="148">
        <v>540.37136071462794</v>
      </c>
      <c r="AT381" s="148">
        <v>540.37136071462794</v>
      </c>
      <c r="AU381" s="148">
        <v>540.37136071462794</v>
      </c>
      <c r="AV381" s="148">
        <v>540.37136071462794</v>
      </c>
      <c r="AW381" s="148">
        <v>540.37136071462794</v>
      </c>
      <c r="AX381" s="148">
        <v>540.37136071462794</v>
      </c>
      <c r="AY381" s="148">
        <v>540.37136071462794</v>
      </c>
      <c r="AZ381" s="148">
        <v>543.56882438749562</v>
      </c>
      <c r="BA381" s="148">
        <v>543.56882438749562</v>
      </c>
      <c r="BB381" s="148">
        <v>543.56882438749562</v>
      </c>
      <c r="BC381" s="148">
        <v>543.56882438749562</v>
      </c>
      <c r="BD381" s="148">
        <v>559.87588911912042</v>
      </c>
      <c r="BE381" s="148">
        <v>559.87588911912042</v>
      </c>
      <c r="BF381" s="148">
        <v>559.87588911912042</v>
      </c>
      <c r="BG381" s="148">
        <v>559.87588911912042</v>
      </c>
      <c r="BH381" s="148">
        <v>559.87588911912042</v>
      </c>
      <c r="BI381" s="148">
        <v>559.87588911912042</v>
      </c>
      <c r="BJ381" s="148">
        <v>559.87588911912042</v>
      </c>
      <c r="BK381" s="148">
        <v>559.87588911912042</v>
      </c>
      <c r="BL381" s="148">
        <v>559.87588911912042</v>
      </c>
      <c r="BM381" s="148">
        <v>559.87588911912042</v>
      </c>
      <c r="BN381" s="148">
        <v>559.87588911912042</v>
      </c>
      <c r="BO381" s="148">
        <v>559.87588911912042</v>
      </c>
      <c r="BP381" s="148"/>
      <c r="BQ381" s="148"/>
    </row>
    <row r="382" spans="3:69" s="22" customFormat="1" outlineLevel="1">
      <c r="C382" s="22" t="str">
        <v>TerraTask</v>
      </c>
      <c r="D382" s="161">
        <f>AVERAGEIFS('Existing Stores'!$J$9:$J$1008,'Existing Stores'!$D$9:$D$1008,Model!C350)</f>
        <v>2.7741196363636367</v>
      </c>
      <c r="E382" s="67" t="s">
        <v>1274</v>
      </c>
      <c r="F382" s="29" t="s">
        <v>119</v>
      </c>
      <c r="G382" s="167">
        <v>152.57658000000001</v>
      </c>
      <c r="H382" s="148">
        <v>157.15387740000003</v>
      </c>
      <c r="I382" s="148">
        <v>157.15387740000003</v>
      </c>
      <c r="J382" s="148">
        <v>157.15387740000003</v>
      </c>
      <c r="K382" s="148">
        <v>157.15387740000003</v>
      </c>
      <c r="L382" s="148">
        <v>157.15387740000003</v>
      </c>
      <c r="M382" s="148">
        <v>157.15387740000003</v>
      </c>
      <c r="N382" s="148">
        <v>157.15387740000003</v>
      </c>
      <c r="O382" s="148">
        <v>157.15387740000003</v>
      </c>
      <c r="P382" s="148">
        <v>157.15387740000003</v>
      </c>
      <c r="Q382" s="148">
        <v>157.15387740000003</v>
      </c>
      <c r="R382" s="148">
        <v>157.15387740000003</v>
      </c>
      <c r="S382" s="148">
        <v>157.15387740000003</v>
      </c>
      <c r="T382" s="148">
        <v>161.86849372200001</v>
      </c>
      <c r="U382" s="148">
        <v>161.86849372200001</v>
      </c>
      <c r="V382" s="148">
        <v>161.86849372200001</v>
      </c>
      <c r="W382" s="148">
        <v>161.86849372200001</v>
      </c>
      <c r="X382" s="148">
        <v>161.86849372200001</v>
      </c>
      <c r="Y382" s="148">
        <v>161.86849372200001</v>
      </c>
      <c r="Z382" s="148">
        <v>161.86849372200001</v>
      </c>
      <c r="AA382" s="148">
        <v>164.81155724421819</v>
      </c>
      <c r="AB382" s="148">
        <v>164.81155724421819</v>
      </c>
      <c r="AC382" s="148">
        <v>164.81155724421819</v>
      </c>
      <c r="AD382" s="148">
        <v>164.81155724421819</v>
      </c>
      <c r="AE382" s="148">
        <v>164.81155724421819</v>
      </c>
      <c r="AF382" s="148">
        <v>169.75590396154476</v>
      </c>
      <c r="AG382" s="148">
        <v>169.75590396154476</v>
      </c>
      <c r="AH382" s="148">
        <v>169.75590396154476</v>
      </c>
      <c r="AI382" s="148">
        <v>169.75590396154476</v>
      </c>
      <c r="AJ382" s="148">
        <v>169.75590396154476</v>
      </c>
      <c r="AK382" s="148">
        <v>169.75590396154476</v>
      </c>
      <c r="AL382" s="148">
        <v>169.75590396154476</v>
      </c>
      <c r="AM382" s="148">
        <v>169.75590396154476</v>
      </c>
      <c r="AN382" s="148">
        <v>169.75590396154476</v>
      </c>
      <c r="AO382" s="148">
        <v>169.75590396154476</v>
      </c>
      <c r="AP382" s="148">
        <v>169.75590396154476</v>
      </c>
      <c r="AQ382" s="148">
        <v>169.75590396154476</v>
      </c>
      <c r="AR382" s="148">
        <v>174.84858108039106</v>
      </c>
      <c r="AS382" s="148">
        <v>174.84858108039106</v>
      </c>
      <c r="AT382" s="148">
        <v>174.84858108039106</v>
      </c>
      <c r="AU382" s="148">
        <v>174.84858108039106</v>
      </c>
      <c r="AV382" s="148">
        <v>174.84858108039106</v>
      </c>
      <c r="AW382" s="148">
        <v>174.84858108039106</v>
      </c>
      <c r="AX382" s="148">
        <v>174.84858108039106</v>
      </c>
      <c r="AY382" s="148">
        <v>174.84858108039106</v>
      </c>
      <c r="AZ382" s="148">
        <v>174.84858108039106</v>
      </c>
      <c r="BA382" s="148">
        <v>177.97087717111233</v>
      </c>
      <c r="BB382" s="148">
        <v>177.97087717111233</v>
      </c>
      <c r="BC382" s="148">
        <v>177.97087717111233</v>
      </c>
      <c r="BD382" s="148">
        <v>183.31000348624571</v>
      </c>
      <c r="BE382" s="148">
        <v>183.31000348624571</v>
      </c>
      <c r="BF382" s="148">
        <v>183.31000348624571</v>
      </c>
      <c r="BG382" s="148">
        <v>183.31000348624571</v>
      </c>
      <c r="BH382" s="148">
        <v>183.31000348624571</v>
      </c>
      <c r="BI382" s="148">
        <v>183.31000348624571</v>
      </c>
      <c r="BJ382" s="148">
        <v>183.31000348624571</v>
      </c>
      <c r="BK382" s="148">
        <v>183.31000348624571</v>
      </c>
      <c r="BL382" s="148">
        <v>183.31000348624571</v>
      </c>
      <c r="BM382" s="148">
        <v>183.31000348624571</v>
      </c>
      <c r="BN382" s="148">
        <v>183.31000348624571</v>
      </c>
      <c r="BO382" s="148">
        <v>183.31000348624571</v>
      </c>
      <c r="BP382" s="148"/>
      <c r="BQ382" s="148"/>
    </row>
    <row r="383" spans="3:69" s="22" customFormat="1" outlineLevel="1">
      <c r="C383" s="22" t="str">
        <v>Uploadia</v>
      </c>
      <c r="D383" s="161">
        <f>AVERAGEIFS('Existing Stores'!$J$9:$J$1008,'Existing Stores'!$D$9:$D$1008,Model!C351)</f>
        <v>2.8429200000000003</v>
      </c>
      <c r="E383" s="67" t="s">
        <v>1274</v>
      </c>
      <c r="F383" s="29" t="s">
        <v>119</v>
      </c>
      <c r="G383" s="167">
        <v>2.8429200000000003</v>
      </c>
      <c r="H383" s="148">
        <v>2.9282076000000004</v>
      </c>
      <c r="I383" s="148">
        <v>2.9282076000000004</v>
      </c>
      <c r="J383" s="148">
        <v>2.9282076000000004</v>
      </c>
      <c r="K383" s="148">
        <v>2.9282076000000004</v>
      </c>
      <c r="L383" s="148">
        <v>2.9282076000000004</v>
      </c>
      <c r="M383" s="148">
        <v>2.9282076000000004</v>
      </c>
      <c r="N383" s="148">
        <v>2.9282076000000004</v>
      </c>
      <c r="O383" s="148">
        <v>2.9282076000000004</v>
      </c>
      <c r="P383" s="148">
        <v>2.9282076000000004</v>
      </c>
      <c r="Q383" s="148">
        <v>2.9282076000000004</v>
      </c>
      <c r="R383" s="148">
        <v>2.9282076000000004</v>
      </c>
      <c r="S383" s="148">
        <v>2.9282076000000004</v>
      </c>
      <c r="T383" s="148">
        <v>3.0160538280000004</v>
      </c>
      <c r="U383" s="148">
        <v>3.0160538280000004</v>
      </c>
      <c r="V383" s="148">
        <v>3.0160538280000004</v>
      </c>
      <c r="W383" s="148">
        <v>3.0160538280000004</v>
      </c>
      <c r="X383" s="148">
        <v>3.0160538280000004</v>
      </c>
      <c r="Y383" s="148">
        <v>3.0160538280000004</v>
      </c>
      <c r="Z383" s="148">
        <v>3.0160538280000004</v>
      </c>
      <c r="AA383" s="148">
        <v>3.0160538280000004</v>
      </c>
      <c r="AB383" s="148">
        <v>6.0321076560000009</v>
      </c>
      <c r="AC383" s="148">
        <v>6.0321076560000009</v>
      </c>
      <c r="AD383" s="148">
        <v>6.0321076560000009</v>
      </c>
      <c r="AE383" s="148">
        <v>6.0321076560000009</v>
      </c>
      <c r="AF383" s="148">
        <v>6.2130708856800005</v>
      </c>
      <c r="AG383" s="148">
        <v>6.2130708856800005</v>
      </c>
      <c r="AH383" s="148">
        <v>6.2130708856800005</v>
      </c>
      <c r="AI383" s="148">
        <v>6.2130708856800005</v>
      </c>
      <c r="AJ383" s="148">
        <v>6.2130708856800005</v>
      </c>
      <c r="AK383" s="148">
        <v>6.2130708856800005</v>
      </c>
      <c r="AL383" s="148">
        <v>6.2130708856800005</v>
      </c>
      <c r="AM383" s="148">
        <v>6.2130708856800005</v>
      </c>
      <c r="AN383" s="148">
        <v>6.2130708856800005</v>
      </c>
      <c r="AO383" s="148">
        <v>6.2130708856800005</v>
      </c>
      <c r="AP383" s="148">
        <v>6.2130708856800005</v>
      </c>
      <c r="AQ383" s="148">
        <v>6.2130708856800005</v>
      </c>
      <c r="AR383" s="148">
        <v>6.3994630122504006</v>
      </c>
      <c r="AS383" s="148">
        <v>6.3994630122504006</v>
      </c>
      <c r="AT383" s="148">
        <v>6.3994630122504006</v>
      </c>
      <c r="AU383" s="148">
        <v>6.3994630122504006</v>
      </c>
      <c r="AV383" s="148">
        <v>6.3994630122504006</v>
      </c>
      <c r="AW383" s="148">
        <v>6.3994630122504006</v>
      </c>
      <c r="AX383" s="148">
        <v>6.3994630122504006</v>
      </c>
      <c r="AY383" s="148">
        <v>6.3994630122504006</v>
      </c>
      <c r="AZ383" s="148">
        <v>6.3994630122504006</v>
      </c>
      <c r="BA383" s="148">
        <v>6.3994630122504006</v>
      </c>
      <c r="BB383" s="148">
        <v>9.5991945183756009</v>
      </c>
      <c r="BC383" s="148">
        <v>9.5991945183756009</v>
      </c>
      <c r="BD383" s="148">
        <v>9.8871703539268694</v>
      </c>
      <c r="BE383" s="148">
        <v>9.8871703539268694</v>
      </c>
      <c r="BF383" s="148">
        <v>9.8871703539268694</v>
      </c>
      <c r="BG383" s="148">
        <v>9.8871703539268694</v>
      </c>
      <c r="BH383" s="148">
        <v>9.8871703539268694</v>
      </c>
      <c r="BI383" s="148">
        <v>9.8871703539268694</v>
      </c>
      <c r="BJ383" s="148">
        <v>9.8871703539268694</v>
      </c>
      <c r="BK383" s="148">
        <v>9.8871703539268694</v>
      </c>
      <c r="BL383" s="148">
        <v>9.8871703539268694</v>
      </c>
      <c r="BM383" s="148">
        <v>9.8871703539268694</v>
      </c>
      <c r="BN383" s="148">
        <v>9.8871703539268694</v>
      </c>
      <c r="BO383" s="148">
        <v>9.8871703539268694</v>
      </c>
      <c r="BP383" s="148"/>
      <c r="BQ383" s="148"/>
    </row>
    <row r="384" spans="3:69" s="22" customFormat="1" outlineLevel="1">
      <c r="C384" s="22" t="str">
        <v>Vector Valley</v>
      </c>
      <c r="D384" s="161">
        <f>AVERAGEIFS('Existing Stores'!$J$9:$J$1008,'Existing Stores'!$D$9:$D$1008,Model!C352)</f>
        <v>2.9788599999999996</v>
      </c>
      <c r="E384" s="67" t="s">
        <v>1274</v>
      </c>
      <c r="F384" s="29" t="s">
        <v>119</v>
      </c>
      <c r="G384" s="167">
        <v>77.450359999999989</v>
      </c>
      <c r="H384" s="148">
        <v>79.773870799999983</v>
      </c>
      <c r="I384" s="148">
        <v>79.773870799999983</v>
      </c>
      <c r="J384" s="148">
        <v>79.773870799999983</v>
      </c>
      <c r="K384" s="148">
        <v>79.773870799999983</v>
      </c>
      <c r="L384" s="148">
        <v>79.773870799999983</v>
      </c>
      <c r="M384" s="148">
        <v>79.773870799999983</v>
      </c>
      <c r="N384" s="148">
        <v>79.773870799999983</v>
      </c>
      <c r="O384" s="148">
        <v>79.773870799999983</v>
      </c>
      <c r="P384" s="148">
        <v>79.773870799999983</v>
      </c>
      <c r="Q384" s="148">
        <v>79.773870799999983</v>
      </c>
      <c r="R384" s="148">
        <v>79.773870799999983</v>
      </c>
      <c r="S384" s="148">
        <v>79.773870799999983</v>
      </c>
      <c r="T384" s="148">
        <v>82.167086923999989</v>
      </c>
      <c r="U384" s="148">
        <v>82.167086923999989</v>
      </c>
      <c r="V384" s="148">
        <v>82.167086923999989</v>
      </c>
      <c r="W384" s="148">
        <v>82.167086923999989</v>
      </c>
      <c r="X384" s="148">
        <v>82.167086923999989</v>
      </c>
      <c r="Y384" s="148">
        <v>82.167086923999989</v>
      </c>
      <c r="Z384" s="148">
        <v>82.167086923999989</v>
      </c>
      <c r="AA384" s="148">
        <v>82.167086923999989</v>
      </c>
      <c r="AB384" s="148">
        <v>82.167086923999989</v>
      </c>
      <c r="AC384" s="148">
        <v>85.327359497999993</v>
      </c>
      <c r="AD384" s="148">
        <v>85.327359497999993</v>
      </c>
      <c r="AE384" s="148">
        <v>85.327359497999993</v>
      </c>
      <c r="AF384" s="148">
        <v>87.887180282939994</v>
      </c>
      <c r="AG384" s="148">
        <v>87.887180282939994</v>
      </c>
      <c r="AH384" s="148">
        <v>87.887180282939994</v>
      </c>
      <c r="AI384" s="148">
        <v>87.887180282939994</v>
      </c>
      <c r="AJ384" s="148">
        <v>87.887180282939994</v>
      </c>
      <c r="AK384" s="148">
        <v>87.887180282939994</v>
      </c>
      <c r="AL384" s="148">
        <v>87.887180282939994</v>
      </c>
      <c r="AM384" s="148">
        <v>87.887180282939994</v>
      </c>
      <c r="AN384" s="148">
        <v>87.887180282939994</v>
      </c>
      <c r="AO384" s="148">
        <v>87.887180282939994</v>
      </c>
      <c r="AP384" s="148">
        <v>87.887180282939994</v>
      </c>
      <c r="AQ384" s="148">
        <v>87.887180282939994</v>
      </c>
      <c r="AR384" s="148">
        <v>90.523795691428191</v>
      </c>
      <c r="AS384" s="148">
        <v>90.523795691428191</v>
      </c>
      <c r="AT384" s="148">
        <v>90.523795691428191</v>
      </c>
      <c r="AU384" s="148">
        <v>90.523795691428191</v>
      </c>
      <c r="AV384" s="148">
        <v>90.523795691428191</v>
      </c>
      <c r="AW384" s="148">
        <v>90.523795691428191</v>
      </c>
      <c r="AX384" s="148">
        <v>90.523795691428191</v>
      </c>
      <c r="AY384" s="148">
        <v>90.523795691428191</v>
      </c>
      <c r="AZ384" s="148">
        <v>90.523795691428191</v>
      </c>
      <c r="BA384" s="148">
        <v>90.523795691428191</v>
      </c>
      <c r="BB384" s="148">
        <v>90.523795691428191</v>
      </c>
      <c r="BC384" s="148">
        <v>93.876528865184781</v>
      </c>
      <c r="BD384" s="148">
        <v>96.69282473114032</v>
      </c>
      <c r="BE384" s="148">
        <v>96.69282473114032</v>
      </c>
      <c r="BF384" s="148">
        <v>96.69282473114032</v>
      </c>
      <c r="BG384" s="148">
        <v>96.69282473114032</v>
      </c>
      <c r="BH384" s="148">
        <v>96.69282473114032</v>
      </c>
      <c r="BI384" s="148">
        <v>96.69282473114032</v>
      </c>
      <c r="BJ384" s="148">
        <v>96.69282473114032</v>
      </c>
      <c r="BK384" s="148">
        <v>96.69282473114032</v>
      </c>
      <c r="BL384" s="148">
        <v>96.69282473114032</v>
      </c>
      <c r="BM384" s="148">
        <v>96.69282473114032</v>
      </c>
      <c r="BN384" s="148">
        <v>96.69282473114032</v>
      </c>
      <c r="BO384" s="148">
        <v>96.69282473114032</v>
      </c>
      <c r="BP384" s="148"/>
      <c r="BQ384" s="148"/>
    </row>
    <row r="385" spans="2:69" s="22" customFormat="1" outlineLevel="1">
      <c r="C385" s="22" t="str">
        <v>Wiredown</v>
      </c>
      <c r="D385" s="161">
        <f>AVERAGEIFS('Existing Stores'!$J$9:$J$1008,'Existing Stores'!$D$9:$D$1008,Model!C353)</f>
        <v>2.5901785714285714</v>
      </c>
      <c r="E385" s="67" t="s">
        <v>1274</v>
      </c>
      <c r="F385" s="29" t="s">
        <v>119</v>
      </c>
      <c r="G385" s="167">
        <v>18.131250000000001</v>
      </c>
      <c r="H385" s="148">
        <v>18.675187500000003</v>
      </c>
      <c r="I385" s="148">
        <v>18.675187500000003</v>
      </c>
      <c r="J385" s="148">
        <v>18.675187500000003</v>
      </c>
      <c r="K385" s="148">
        <v>18.675187500000003</v>
      </c>
      <c r="L385" s="148">
        <v>18.675187500000003</v>
      </c>
      <c r="M385" s="148">
        <v>18.675187500000003</v>
      </c>
      <c r="N385" s="148">
        <v>18.675187500000003</v>
      </c>
      <c r="O385" s="148">
        <v>18.675187500000003</v>
      </c>
      <c r="P385" s="148">
        <v>18.675187500000003</v>
      </c>
      <c r="Q385" s="148">
        <v>18.675187500000003</v>
      </c>
      <c r="R385" s="148">
        <v>18.675187500000003</v>
      </c>
      <c r="S385" s="148">
        <v>18.675187500000003</v>
      </c>
      <c r="T385" s="148">
        <v>19.235443124999996</v>
      </c>
      <c r="U385" s="148">
        <v>19.235443124999996</v>
      </c>
      <c r="V385" s="148">
        <v>19.235443124999996</v>
      </c>
      <c r="W385" s="148">
        <v>19.235443124999996</v>
      </c>
      <c r="X385" s="148">
        <v>19.235443124999996</v>
      </c>
      <c r="Y385" s="148">
        <v>19.235443124999996</v>
      </c>
      <c r="Z385" s="148">
        <v>19.235443124999996</v>
      </c>
      <c r="AA385" s="148">
        <v>19.235443124999996</v>
      </c>
      <c r="AB385" s="148">
        <v>19.235443124999996</v>
      </c>
      <c r="AC385" s="148">
        <v>19.235443124999996</v>
      </c>
      <c r="AD385" s="148">
        <v>21.983363571428569</v>
      </c>
      <c r="AE385" s="148">
        <v>21.983363571428569</v>
      </c>
      <c r="AF385" s="148">
        <v>22.642864478571429</v>
      </c>
      <c r="AG385" s="148">
        <v>22.642864478571429</v>
      </c>
      <c r="AH385" s="148">
        <v>22.642864478571429</v>
      </c>
      <c r="AI385" s="148">
        <v>22.642864478571429</v>
      </c>
      <c r="AJ385" s="148">
        <v>22.642864478571429</v>
      </c>
      <c r="AK385" s="148">
        <v>22.642864478571429</v>
      </c>
      <c r="AL385" s="148">
        <v>22.642864478571429</v>
      </c>
      <c r="AM385" s="148">
        <v>22.642864478571429</v>
      </c>
      <c r="AN385" s="148">
        <v>22.642864478571429</v>
      </c>
      <c r="AO385" s="148">
        <v>22.642864478571429</v>
      </c>
      <c r="AP385" s="148">
        <v>22.642864478571429</v>
      </c>
      <c r="AQ385" s="148">
        <v>22.642864478571429</v>
      </c>
      <c r="AR385" s="148">
        <v>23.322150412928568</v>
      </c>
      <c r="AS385" s="148">
        <v>23.322150412928568</v>
      </c>
      <c r="AT385" s="148">
        <v>23.322150412928568</v>
      </c>
      <c r="AU385" s="148">
        <v>23.322150412928568</v>
      </c>
      <c r="AV385" s="148">
        <v>23.322150412928568</v>
      </c>
      <c r="AW385" s="148">
        <v>23.322150412928568</v>
      </c>
      <c r="AX385" s="148">
        <v>23.322150412928568</v>
      </c>
      <c r="AY385" s="148">
        <v>23.322150412928568</v>
      </c>
      <c r="AZ385" s="148">
        <v>23.322150412928568</v>
      </c>
      <c r="BA385" s="148">
        <v>23.322150412928568</v>
      </c>
      <c r="BB385" s="148">
        <v>23.322150412928568</v>
      </c>
      <c r="BC385" s="148">
        <v>23.322150412928568</v>
      </c>
      <c r="BD385" s="148">
        <v>27.02454179098098</v>
      </c>
      <c r="BE385" s="148">
        <v>27.02454179098098</v>
      </c>
      <c r="BF385" s="148">
        <v>27.02454179098098</v>
      </c>
      <c r="BG385" s="148">
        <v>27.02454179098098</v>
      </c>
      <c r="BH385" s="148">
        <v>27.02454179098098</v>
      </c>
      <c r="BI385" s="148">
        <v>27.02454179098098</v>
      </c>
      <c r="BJ385" s="148">
        <v>27.02454179098098</v>
      </c>
      <c r="BK385" s="148">
        <v>27.02454179098098</v>
      </c>
      <c r="BL385" s="148">
        <v>27.02454179098098</v>
      </c>
      <c r="BM385" s="148">
        <v>27.02454179098098</v>
      </c>
      <c r="BN385" s="148">
        <v>27.02454179098098</v>
      </c>
      <c r="BO385" s="148">
        <v>27.02454179098098</v>
      </c>
      <c r="BP385" s="148"/>
      <c r="BQ385" s="148"/>
    </row>
    <row r="386" spans="2:69" s="22" customFormat="1" outlineLevel="1">
      <c r="C386" s="22" t="str">
        <v>Xenocode City</v>
      </c>
      <c r="D386" s="162">
        <f>AVERAGEIFS('Existing Stores'!$J$9:$J$1008,'Existing Stores'!$D$9:$D$1008,Model!C354)</f>
        <v>3.7140700000000004</v>
      </c>
      <c r="E386" s="67" t="s">
        <v>1274</v>
      </c>
      <c r="F386" s="29" t="s">
        <v>119</v>
      </c>
      <c r="G386" s="167">
        <v>14.856280000000002</v>
      </c>
      <c r="H386" s="148">
        <v>15.301968400000002</v>
      </c>
      <c r="I386" s="148">
        <v>15.301968400000002</v>
      </c>
      <c r="J386" s="148">
        <v>15.301968400000002</v>
      </c>
      <c r="K386" s="148">
        <v>15.301968400000002</v>
      </c>
      <c r="L386" s="148">
        <v>15.301968400000002</v>
      </c>
      <c r="M386" s="148">
        <v>15.301968400000002</v>
      </c>
      <c r="N386" s="148">
        <v>15.301968400000002</v>
      </c>
      <c r="O386" s="148">
        <v>15.301968400000002</v>
      </c>
      <c r="P386" s="148">
        <v>15.301968400000002</v>
      </c>
      <c r="Q386" s="148">
        <v>15.301968400000002</v>
      </c>
      <c r="R386" s="148">
        <v>15.301968400000002</v>
      </c>
      <c r="S386" s="148">
        <v>15.301968400000002</v>
      </c>
      <c r="T386" s="148">
        <v>15.761027452</v>
      </c>
      <c r="U386" s="148">
        <v>15.761027452</v>
      </c>
      <c r="V386" s="148">
        <v>15.761027452</v>
      </c>
      <c r="W386" s="148">
        <v>15.761027452</v>
      </c>
      <c r="X386" s="148">
        <v>15.761027452</v>
      </c>
      <c r="Y386" s="148">
        <v>15.761027452</v>
      </c>
      <c r="Z386" s="148">
        <v>15.761027452</v>
      </c>
      <c r="AA386" s="148">
        <v>15.761027452</v>
      </c>
      <c r="AB386" s="148">
        <v>15.761027452</v>
      </c>
      <c r="AC386" s="148">
        <v>15.761027452</v>
      </c>
      <c r="AD386" s="148">
        <v>15.761027452</v>
      </c>
      <c r="AE386" s="148">
        <v>19.701284315000002</v>
      </c>
      <c r="AF386" s="148">
        <v>20.292322844450005</v>
      </c>
      <c r="AG386" s="148">
        <v>20.292322844450005</v>
      </c>
      <c r="AH386" s="148">
        <v>20.292322844450005</v>
      </c>
      <c r="AI386" s="148">
        <v>20.292322844450005</v>
      </c>
      <c r="AJ386" s="148">
        <v>20.292322844450005</v>
      </c>
      <c r="AK386" s="148">
        <v>20.292322844450005</v>
      </c>
      <c r="AL386" s="148">
        <v>20.292322844450005</v>
      </c>
      <c r="AM386" s="148">
        <v>20.292322844450005</v>
      </c>
      <c r="AN386" s="148">
        <v>20.292322844450005</v>
      </c>
      <c r="AO386" s="148">
        <v>20.292322844450005</v>
      </c>
      <c r="AP386" s="148">
        <v>20.292322844450005</v>
      </c>
      <c r="AQ386" s="148">
        <v>20.292322844450005</v>
      </c>
      <c r="AR386" s="148">
        <v>20.901092529783504</v>
      </c>
      <c r="AS386" s="148">
        <v>20.901092529783504</v>
      </c>
      <c r="AT386" s="148">
        <v>20.901092529783504</v>
      </c>
      <c r="AU386" s="148">
        <v>20.901092529783504</v>
      </c>
      <c r="AV386" s="148">
        <v>20.901092529783504</v>
      </c>
      <c r="AW386" s="148">
        <v>20.901092529783504</v>
      </c>
      <c r="AX386" s="148">
        <v>20.901092529783504</v>
      </c>
      <c r="AY386" s="148">
        <v>20.901092529783504</v>
      </c>
      <c r="AZ386" s="148">
        <v>20.901092529783504</v>
      </c>
      <c r="BA386" s="148">
        <v>20.901092529783504</v>
      </c>
      <c r="BB386" s="148">
        <v>20.901092529783504</v>
      </c>
      <c r="BC386" s="148">
        <v>20.901092529783504</v>
      </c>
      <c r="BD386" s="148">
        <v>21.528125305677005</v>
      </c>
      <c r="BE386" s="148">
        <v>25.833750366812403</v>
      </c>
      <c r="BF386" s="148">
        <v>25.833750366812403</v>
      </c>
      <c r="BG386" s="148">
        <v>25.833750366812403</v>
      </c>
      <c r="BH386" s="148">
        <v>25.833750366812403</v>
      </c>
      <c r="BI386" s="148">
        <v>25.833750366812403</v>
      </c>
      <c r="BJ386" s="148">
        <v>25.833750366812403</v>
      </c>
      <c r="BK386" s="148">
        <v>25.833750366812403</v>
      </c>
      <c r="BL386" s="148">
        <v>25.833750366812403</v>
      </c>
      <c r="BM386" s="148">
        <v>25.833750366812403</v>
      </c>
      <c r="BN386" s="148">
        <v>25.833750366812403</v>
      </c>
      <c r="BO386" s="148">
        <v>25.833750366812403</v>
      </c>
      <c r="BP386" s="148"/>
      <c r="BQ386" s="148"/>
    </row>
    <row r="387" spans="2:69" s="22" customFormat="1" outlineLevel="1">
      <c r="C387" s="22" t="str">
        <v>Yieldville</v>
      </c>
      <c r="D387" s="161">
        <f>AVERAGEIFS('Existing Stores'!$J$9:$J$1008,'Existing Stores'!$D$9:$D$1008,Model!C355)</f>
        <v>2.6015966666666666</v>
      </c>
      <c r="E387" s="67" t="s">
        <v>1274</v>
      </c>
      <c r="F387" s="29" t="s">
        <v>119</v>
      </c>
      <c r="G387" s="167">
        <v>7.8047899999999997</v>
      </c>
      <c r="H387" s="148">
        <v>8.0389336999999994</v>
      </c>
      <c r="I387" s="148">
        <v>8.0389336999999994</v>
      </c>
      <c r="J387" s="148">
        <v>8.0389336999999994</v>
      </c>
      <c r="K387" s="148">
        <v>8.0389336999999994</v>
      </c>
      <c r="L387" s="148">
        <v>8.0389336999999994</v>
      </c>
      <c r="M387" s="148">
        <v>8.0389336999999994</v>
      </c>
      <c r="N387" s="148">
        <v>8.0389336999999994</v>
      </c>
      <c r="O387" s="148">
        <v>8.0389336999999994</v>
      </c>
      <c r="P387" s="148">
        <v>8.0389336999999994</v>
      </c>
      <c r="Q387" s="148">
        <v>8.0389336999999994</v>
      </c>
      <c r="R387" s="148">
        <v>8.0389336999999994</v>
      </c>
      <c r="S387" s="148">
        <v>8.0389336999999994</v>
      </c>
      <c r="T387" s="148">
        <v>8.2801017109999986</v>
      </c>
      <c r="U387" s="148">
        <v>8.2801017109999986</v>
      </c>
      <c r="V387" s="148">
        <v>8.2801017109999986</v>
      </c>
      <c r="W387" s="148">
        <v>8.2801017109999986</v>
      </c>
      <c r="X387" s="148">
        <v>8.2801017109999986</v>
      </c>
      <c r="Y387" s="148">
        <v>8.2801017109999986</v>
      </c>
      <c r="Z387" s="148">
        <v>8.2801017109999986</v>
      </c>
      <c r="AA387" s="148">
        <v>8.2801017109999986</v>
      </c>
      <c r="AB387" s="148">
        <v>8.2801017109999986</v>
      </c>
      <c r="AC387" s="148">
        <v>8.2801017109999986</v>
      </c>
      <c r="AD387" s="148">
        <v>8.2801017109999986</v>
      </c>
      <c r="AE387" s="148">
        <v>8.2801017109999986</v>
      </c>
      <c r="AF387" s="148">
        <v>11.371339683106667</v>
      </c>
      <c r="AG387" s="148">
        <v>11.371339683106667</v>
      </c>
      <c r="AH387" s="148">
        <v>11.371339683106667</v>
      </c>
      <c r="AI387" s="148">
        <v>11.371339683106667</v>
      </c>
      <c r="AJ387" s="148">
        <v>11.371339683106667</v>
      </c>
      <c r="AK387" s="148">
        <v>11.371339683106667</v>
      </c>
      <c r="AL387" s="148">
        <v>11.371339683106667</v>
      </c>
      <c r="AM387" s="148">
        <v>11.371339683106667</v>
      </c>
      <c r="AN387" s="148">
        <v>11.371339683106667</v>
      </c>
      <c r="AO387" s="148">
        <v>11.371339683106667</v>
      </c>
      <c r="AP387" s="148">
        <v>11.371339683106667</v>
      </c>
      <c r="AQ387" s="148">
        <v>11.371339683106667</v>
      </c>
      <c r="AR387" s="148">
        <v>11.712479873599865</v>
      </c>
      <c r="AS387" s="148">
        <v>11.712479873599865</v>
      </c>
      <c r="AT387" s="148">
        <v>11.712479873599865</v>
      </c>
      <c r="AU387" s="148">
        <v>11.712479873599865</v>
      </c>
      <c r="AV387" s="148">
        <v>11.712479873599865</v>
      </c>
      <c r="AW387" s="148">
        <v>11.712479873599865</v>
      </c>
      <c r="AX387" s="148">
        <v>11.712479873599865</v>
      </c>
      <c r="AY387" s="148">
        <v>11.712479873599865</v>
      </c>
      <c r="AZ387" s="148">
        <v>11.712479873599865</v>
      </c>
      <c r="BA387" s="148">
        <v>11.712479873599865</v>
      </c>
      <c r="BB387" s="148">
        <v>11.712479873599865</v>
      </c>
      <c r="BC387" s="148">
        <v>11.712479873599865</v>
      </c>
      <c r="BD387" s="148">
        <v>12.063854269807861</v>
      </c>
      <c r="BE387" s="148">
        <v>12.063854269807861</v>
      </c>
      <c r="BF387" s="148">
        <v>15.079817837259826</v>
      </c>
      <c r="BG387" s="148">
        <v>15.079817837259826</v>
      </c>
      <c r="BH387" s="148">
        <v>15.079817837259826</v>
      </c>
      <c r="BI387" s="148">
        <v>15.079817837259826</v>
      </c>
      <c r="BJ387" s="148">
        <v>15.079817837259826</v>
      </c>
      <c r="BK387" s="148">
        <v>15.079817837259826</v>
      </c>
      <c r="BL387" s="148">
        <v>15.079817837259826</v>
      </c>
      <c r="BM387" s="148">
        <v>15.079817837259826</v>
      </c>
      <c r="BN387" s="148">
        <v>15.079817837259826</v>
      </c>
      <c r="BO387" s="148">
        <v>15.079817837259826</v>
      </c>
      <c r="BP387" s="148"/>
      <c r="BQ387" s="148"/>
    </row>
    <row r="388" spans="2:69" s="22" customFormat="1" outlineLevel="1">
      <c r="C388" s="22" t="str">
        <v>ZeroDay Zone</v>
      </c>
      <c r="D388" s="163">
        <f>AVERAGEIFS('Existing Stores'!$J$9:$J$1008,'Existing Stores'!$D$9:$D$1008,Model!C356)</f>
        <v>1.51152</v>
      </c>
      <c r="E388" s="68" t="s">
        <v>1274</v>
      </c>
      <c r="F388" s="75" t="s">
        <v>119</v>
      </c>
      <c r="G388" s="167">
        <v>1.51152</v>
      </c>
      <c r="H388" s="148">
        <v>1.5568656000000001</v>
      </c>
      <c r="I388" s="148">
        <v>1.5568656000000001</v>
      </c>
      <c r="J388" s="148">
        <v>1.5568656000000001</v>
      </c>
      <c r="K388" s="148">
        <v>1.5568656000000001</v>
      </c>
      <c r="L388" s="148">
        <v>1.5568656000000001</v>
      </c>
      <c r="M388" s="148">
        <v>1.5568656000000001</v>
      </c>
      <c r="N388" s="148">
        <v>1.5568656000000001</v>
      </c>
      <c r="O388" s="148">
        <v>1.5568656000000001</v>
      </c>
      <c r="P388" s="148">
        <v>1.5568656000000001</v>
      </c>
      <c r="Q388" s="148">
        <v>1.5568656000000001</v>
      </c>
      <c r="R388" s="148">
        <v>1.5568656000000001</v>
      </c>
      <c r="S388" s="148">
        <v>1.5568656000000001</v>
      </c>
      <c r="T388" s="148">
        <v>1.603571568</v>
      </c>
      <c r="U388" s="148">
        <v>1.603571568</v>
      </c>
      <c r="V388" s="148">
        <v>1.603571568</v>
      </c>
      <c r="W388" s="148">
        <v>1.603571568</v>
      </c>
      <c r="X388" s="148">
        <v>1.603571568</v>
      </c>
      <c r="Y388" s="148">
        <v>1.603571568</v>
      </c>
      <c r="Z388" s="148">
        <v>1.603571568</v>
      </c>
      <c r="AA388" s="148">
        <v>1.603571568</v>
      </c>
      <c r="AB388" s="148">
        <v>1.603571568</v>
      </c>
      <c r="AC388" s="148">
        <v>1.603571568</v>
      </c>
      <c r="AD388" s="148">
        <v>1.603571568</v>
      </c>
      <c r="AE388" s="148">
        <v>1.603571568</v>
      </c>
      <c r="AF388" s="148">
        <v>1.6516787150400001</v>
      </c>
      <c r="AG388" s="148">
        <v>3.3033574300800002</v>
      </c>
      <c r="AH388" s="148">
        <v>3.3033574300800002</v>
      </c>
      <c r="AI388" s="148">
        <v>3.3033574300800002</v>
      </c>
      <c r="AJ388" s="148">
        <v>3.3033574300800002</v>
      </c>
      <c r="AK388" s="148">
        <v>3.3033574300800002</v>
      </c>
      <c r="AL388" s="148">
        <v>3.3033574300800002</v>
      </c>
      <c r="AM388" s="148">
        <v>3.3033574300800002</v>
      </c>
      <c r="AN388" s="148">
        <v>3.3033574300800002</v>
      </c>
      <c r="AO388" s="148">
        <v>3.3033574300800002</v>
      </c>
      <c r="AP388" s="148">
        <v>3.3033574300800002</v>
      </c>
      <c r="AQ388" s="148">
        <v>3.3033574300800002</v>
      </c>
      <c r="AR388" s="148">
        <v>3.4024581529823998</v>
      </c>
      <c r="AS388" s="148">
        <v>3.4024581529823998</v>
      </c>
      <c r="AT388" s="148">
        <v>3.4024581529823998</v>
      </c>
      <c r="AU388" s="148">
        <v>3.4024581529823998</v>
      </c>
      <c r="AV388" s="148">
        <v>3.4024581529823998</v>
      </c>
      <c r="AW388" s="148">
        <v>3.4024581529823998</v>
      </c>
      <c r="AX388" s="148">
        <v>3.4024581529823998</v>
      </c>
      <c r="AY388" s="148">
        <v>3.4024581529823998</v>
      </c>
      <c r="AZ388" s="148">
        <v>3.4024581529823998</v>
      </c>
      <c r="BA388" s="148">
        <v>3.4024581529823998</v>
      </c>
      <c r="BB388" s="148">
        <v>3.4024581529823998</v>
      </c>
      <c r="BC388" s="148">
        <v>3.4024581529823998</v>
      </c>
      <c r="BD388" s="148">
        <v>3.5045318975718716</v>
      </c>
      <c r="BE388" s="148">
        <v>3.5045318975718716</v>
      </c>
      <c r="BF388" s="148">
        <v>3.5045318975718716</v>
      </c>
      <c r="BG388" s="148">
        <v>5.2567978463578076</v>
      </c>
      <c r="BH388" s="148">
        <v>5.2567978463578076</v>
      </c>
      <c r="BI388" s="148">
        <v>5.2567978463578076</v>
      </c>
      <c r="BJ388" s="148">
        <v>5.2567978463578076</v>
      </c>
      <c r="BK388" s="148">
        <v>5.2567978463578076</v>
      </c>
      <c r="BL388" s="148">
        <v>5.2567978463578076</v>
      </c>
      <c r="BM388" s="148">
        <v>5.2567978463578076</v>
      </c>
      <c r="BN388" s="148">
        <v>5.2567978463578076</v>
      </c>
      <c r="BO388" s="148">
        <v>5.2567978463578076</v>
      </c>
      <c r="BP388" s="148"/>
      <c r="BQ388" s="148"/>
    </row>
    <row r="389" spans="2:69" s="31" customFormat="1" ht="12" customHeight="1" outlineLevel="1">
      <c r="C389" s="70" t="s">
        <v>1275</v>
      </c>
      <c r="D389" s="70"/>
      <c r="E389" s="71"/>
      <c r="F389" s="29" t="s">
        <v>119</v>
      </c>
      <c r="G389" s="168">
        <f>SUM(G363:G388)</f>
        <v>2917.1001900000001</v>
      </c>
      <c r="H389" s="169">
        <f>SUM(H363:H388)</f>
        <v>3008.2790738500012</v>
      </c>
      <c r="I389" s="169">
        <f t="shared" ref="I389" si="339">SUM(I363:I388)</f>
        <v>3011.1852772166676</v>
      </c>
      <c r="J389" s="169">
        <f t="shared" ref="J389" si="340">SUM(J363:J388)</f>
        <v>3014.3989493166678</v>
      </c>
      <c r="K389" s="169">
        <f t="shared" ref="K389" si="341">SUM(K363:K388)</f>
        <v>3017.6513742303041</v>
      </c>
      <c r="L389" s="169">
        <f t="shared" ref="L389" si="342">SUM(L363:L388)</f>
        <v>3019.768199330304</v>
      </c>
      <c r="M389" s="169">
        <f t="shared" ref="M389" si="343">SUM(M363:M388)</f>
        <v>3021.5420275636375</v>
      </c>
      <c r="N389" s="169">
        <f t="shared" ref="N389" si="344">SUM(N363:N388)</f>
        <v>3024.5455364036375</v>
      </c>
      <c r="O389" s="169">
        <f t="shared" ref="O389" si="345">SUM(O363:O388)</f>
        <v>3027.5741449923835</v>
      </c>
      <c r="P389" s="169">
        <f t="shared" ref="P389" si="346">SUM(P363:P388)</f>
        <v>3030.5038939570895</v>
      </c>
      <c r="Q389" s="169">
        <f t="shared" ref="Q389" si="347">SUM(Q363:Q388)</f>
        <v>3035.0158977945894</v>
      </c>
      <c r="R389" s="169">
        <f t="shared" ref="R389" si="348">SUM(R363:R388)</f>
        <v>3038.3215385945896</v>
      </c>
      <c r="S389" s="169">
        <f t="shared" ref="S389" si="349">SUM(S363:S388)</f>
        <v>3041.2906495545894</v>
      </c>
      <c r="T389" s="169">
        <f t="shared" ref="T389" si="350">SUM(T363:T388)</f>
        <v>3135.8016938732267</v>
      </c>
      <c r="U389" s="169">
        <f t="shared" ref="U389" si="351">SUM(U363:U388)</f>
        <v>3139.1253783897982</v>
      </c>
      <c r="V389" s="169">
        <f t="shared" ref="V389" si="352">SUM(V363:V388)</f>
        <v>3142.3219320796411</v>
      </c>
      <c r="W389" s="169">
        <f t="shared" ref="W389" si="353">SUM(W363:W388)</f>
        <v>3145.854283501641</v>
      </c>
      <c r="X389" s="169">
        <f t="shared" ref="X389" si="354">SUM(X363:X388)</f>
        <v>3148.6402639250159</v>
      </c>
      <c r="Y389" s="169">
        <f t="shared" ref="Y389" si="355">SUM(Y363:Y388)</f>
        <v>3151.7102215714226</v>
      </c>
      <c r="Z389" s="169">
        <f t="shared" ref="Z389" si="356">SUM(Z363:Z388)</f>
        <v>3154.7241377490714</v>
      </c>
      <c r="AA389" s="169">
        <f t="shared" ref="AA389" si="357">SUM(AA363:AA388)</f>
        <v>3157.6672012712893</v>
      </c>
      <c r="AB389" s="169">
        <f t="shared" ref="AB389" si="358">SUM(AB363:AB388)</f>
        <v>3160.683255099289</v>
      </c>
      <c r="AC389" s="169">
        <f t="shared" ref="AC389" si="359">SUM(AC363:AC388)</f>
        <v>3163.8435276732889</v>
      </c>
      <c r="AD389" s="169">
        <f t="shared" ref="AD389" si="360">SUM(AD363:AD388)</f>
        <v>3166.5914481197174</v>
      </c>
      <c r="AE389" s="169">
        <f t="shared" ref="AE389" si="361">SUM(AE363:AE388)</f>
        <v>3170.5317049827177</v>
      </c>
      <c r="AF389" s="169">
        <f t="shared" ref="AF389" si="362">SUM(AF363:AF388)</f>
        <v>3268.4904910529763</v>
      </c>
      <c r="AG389" s="169">
        <f t="shared" ref="AG389" si="363">SUM(AG363:AG388)</f>
        <v>3270.1421697680162</v>
      </c>
      <c r="AH389" s="169">
        <f t="shared" ref="AH389" si="364">SUM(AH363:AH388)</f>
        <v>3274.0312998973513</v>
      </c>
      <c r="AI389" s="169">
        <f t="shared" ref="AI389" si="365">SUM(AI363:AI388)</f>
        <v>3277.1144910490475</v>
      </c>
      <c r="AJ389" s="169">
        <f t="shared" ref="AJ389" si="366">SUM(AJ363:AJ388)</f>
        <v>3280.523875779938</v>
      </c>
      <c r="AK389" s="169">
        <f t="shared" ref="AK389" si="367">SUM(AK363:AK388)</f>
        <v>3283.9743733708146</v>
      </c>
      <c r="AL389" s="169">
        <f t="shared" ref="AL389" si="368">SUM(AL363:AL388)</f>
        <v>3286.2201131194047</v>
      </c>
      <c r="AM389" s="169">
        <f t="shared" ref="AM389" si="369">SUM(AM363:AM388)</f>
        <v>3288.1019674921481</v>
      </c>
      <c r="AN389" s="169">
        <f t="shared" ref="AN389" si="370">SUM(AN363:AN388)</f>
        <v>3291.2883900205043</v>
      </c>
      <c r="AO389" s="169">
        <f t="shared" ref="AO389" si="371">SUM(AO363:AO388)</f>
        <v>3294.5014408723046</v>
      </c>
      <c r="AP389" s="169">
        <f t="shared" ref="AP389" si="372">SUM(AP363:AP388)</f>
        <v>3297.6096115489609</v>
      </c>
      <c r="AQ389" s="169">
        <f t="shared" ref="AQ389" si="373">SUM(AQ363:AQ388)</f>
        <v>3302.3963964201648</v>
      </c>
      <c r="AR389" s="169">
        <f t="shared" ref="AR389" si="374">SUM(AR363:AR388)</f>
        <v>3405.0804512672312</v>
      </c>
      <c r="AS389" s="169">
        <f t="shared" ref="AS389" si="375">SUM(AS363:AS388)</f>
        <v>3408.3248789792187</v>
      </c>
      <c r="AT389" s="169">
        <f t="shared" ref="AT389" si="376">SUM(AT363:AT388)</f>
        <v>3411.7964883934874</v>
      </c>
      <c r="AU389" s="169">
        <f t="shared" ref="AU389" si="377">SUM(AU363:AU388)</f>
        <v>3415.3225852971182</v>
      </c>
      <c r="AV389" s="169">
        <f t="shared" ref="AV389" si="378">SUM(AV363:AV388)</f>
        <v>3418.7138091066727</v>
      </c>
      <c r="AW389" s="169">
        <f t="shared" ref="AW389" si="379">SUM(AW363:AW388)</f>
        <v>3422.4612807302728</v>
      </c>
      <c r="AX389" s="169">
        <f t="shared" ref="AX389" si="380">SUM(AX363:AX388)</f>
        <v>3425.4169273614316</v>
      </c>
      <c r="AY389" s="169">
        <f t="shared" ref="AY389" si="381">SUM(AY363:AY388)</f>
        <v>3428.6738454285041</v>
      </c>
      <c r="AZ389" s="169">
        <f t="shared" ref="AZ389" si="382">SUM(AZ363:AZ388)</f>
        <v>3431.8713091013719</v>
      </c>
      <c r="BA389" s="169">
        <f t="shared" ref="BA389" si="383">SUM(BA363:BA388)</f>
        <v>3434.9936051920936</v>
      </c>
      <c r="BB389" s="169">
        <f t="shared" ref="BB389" si="384">SUM(BB363:BB388)</f>
        <v>3438.1933366982189</v>
      </c>
      <c r="BC389" s="169">
        <f t="shared" ref="BC389" si="385">SUM(BC363:BC388)</f>
        <v>3441.5460698719753</v>
      </c>
      <c r="BD389" s="169">
        <f t="shared" ref="BD389" si="386">SUM(BD363:BD388)</f>
        <v>3547.7951788337973</v>
      </c>
      <c r="BE389" s="169">
        <f t="shared" ref="BE389" si="387">SUM(BE363:BE388)</f>
        <v>3552.1008038949326</v>
      </c>
      <c r="BF389" s="169">
        <f t="shared" ref="BF389" si="388">SUM(BF363:BF388)</f>
        <v>3555.1167674623844</v>
      </c>
      <c r="BG389" s="169">
        <f t="shared" ref="BG389" si="389">SUM(BG363:BG388)</f>
        <v>3556.8690334111702</v>
      </c>
      <c r="BH389" s="169">
        <f t="shared" ref="BH389" si="390">SUM(BH363:BH388)</f>
        <v>3560.9950115653824</v>
      </c>
      <c r="BI389" s="169">
        <f t="shared" ref="BI389" si="391">SUM(BI363:BI388)</f>
        <v>3564.2659690582173</v>
      </c>
      <c r="BJ389" s="169">
        <f t="shared" ref="BJ389" si="392">SUM(BJ363:BJ388)</f>
        <v>3567.8829853192178</v>
      </c>
      <c r="BK389" s="169">
        <f t="shared" ref="BK389" si="393">SUM(BK363:BK388)</f>
        <v>3571.5436182133794</v>
      </c>
      <c r="BL389" s="169">
        <f t="shared" ref="BL389" si="394">SUM(BL363:BL388)</f>
        <v>3573.9261235126583</v>
      </c>
      <c r="BM389" s="169">
        <f t="shared" ref="BM389" si="395">SUM(BM363:BM388)</f>
        <v>3575.9225828167023</v>
      </c>
      <c r="BN389" s="169">
        <f t="shared" ref="BN389" si="396">SUM(BN363:BN388)</f>
        <v>3579.3030584770345</v>
      </c>
      <c r="BO389" s="169">
        <f t="shared" ref="BO389" si="397">SUM(BO363:BO388)</f>
        <v>3582.71178412571</v>
      </c>
      <c r="BP389" s="358"/>
      <c r="BQ389" s="358"/>
    </row>
    <row r="390" spans="2:69" s="22" customFormat="1" outlineLevel="1">
      <c r="E390" s="28"/>
      <c r="F390" s="29"/>
      <c r="G390" s="66"/>
    </row>
    <row r="391" spans="2:69" s="22" customFormat="1" outlineLevel="1">
      <c r="B391" s="32" t="s">
        <v>1276</v>
      </c>
      <c r="E391" s="28"/>
      <c r="F391" s="29"/>
      <c r="G391" s="66"/>
    </row>
    <row r="392" spans="2:69" s="22" customFormat="1" outlineLevel="1">
      <c r="B392" s="32"/>
      <c r="C392" s="22" t="s">
        <v>1277</v>
      </c>
      <c r="D392" s="179">
        <v>1</v>
      </c>
      <c r="E392" s="171" t="s">
        <v>1278</v>
      </c>
      <c r="F392" s="29" t="s">
        <v>119</v>
      </c>
      <c r="G392" s="92" cm="1">
        <f t="array" ref="G392:BO392">D392*_xlfn.ANCHORARRAY(G118)</f>
        <v>1</v>
      </c>
      <c r="H392" s="22">
        <v>1.03</v>
      </c>
      <c r="I392" s="22">
        <v>1.03</v>
      </c>
      <c r="J392" s="22">
        <v>1.03</v>
      </c>
      <c r="K392" s="22">
        <v>1.03</v>
      </c>
      <c r="L392" s="22">
        <v>1.03</v>
      </c>
      <c r="M392" s="22">
        <v>1.03</v>
      </c>
      <c r="N392" s="22">
        <v>1.03</v>
      </c>
      <c r="O392" s="22">
        <v>1.03</v>
      </c>
      <c r="P392" s="22">
        <v>1.03</v>
      </c>
      <c r="Q392" s="22">
        <v>1.03</v>
      </c>
      <c r="R392" s="22">
        <v>1.03</v>
      </c>
      <c r="S392" s="22">
        <v>1.03</v>
      </c>
      <c r="T392" s="22">
        <v>1.0609</v>
      </c>
      <c r="U392" s="22">
        <v>1.0609</v>
      </c>
      <c r="V392" s="22">
        <v>1.0609</v>
      </c>
      <c r="W392" s="22">
        <v>1.0609</v>
      </c>
      <c r="X392" s="22">
        <v>1.0609</v>
      </c>
      <c r="Y392" s="22">
        <v>1.0609</v>
      </c>
      <c r="Z392" s="22">
        <v>1.0609</v>
      </c>
      <c r="AA392" s="22">
        <v>1.0609</v>
      </c>
      <c r="AB392" s="22">
        <v>1.0609</v>
      </c>
      <c r="AC392" s="22">
        <v>1.0609</v>
      </c>
      <c r="AD392" s="22">
        <v>1.0609</v>
      </c>
      <c r="AE392" s="22">
        <v>1.0609</v>
      </c>
      <c r="AF392" s="22">
        <v>1.092727</v>
      </c>
      <c r="AG392" s="22">
        <v>1.092727</v>
      </c>
      <c r="AH392" s="22">
        <v>1.092727</v>
      </c>
      <c r="AI392" s="22">
        <v>1.092727</v>
      </c>
      <c r="AJ392" s="22">
        <v>1.092727</v>
      </c>
      <c r="AK392" s="22">
        <v>1.092727</v>
      </c>
      <c r="AL392" s="22">
        <v>1.092727</v>
      </c>
      <c r="AM392" s="22">
        <v>1.092727</v>
      </c>
      <c r="AN392" s="22">
        <v>1.092727</v>
      </c>
      <c r="AO392" s="22">
        <v>1.092727</v>
      </c>
      <c r="AP392" s="22">
        <v>1.092727</v>
      </c>
      <c r="AQ392" s="22">
        <v>1.092727</v>
      </c>
      <c r="AR392" s="22">
        <v>1.1255088099999999</v>
      </c>
      <c r="AS392" s="22">
        <v>1.1255088099999999</v>
      </c>
      <c r="AT392" s="22">
        <v>1.1255088099999999</v>
      </c>
      <c r="AU392" s="22">
        <v>1.1255088099999999</v>
      </c>
      <c r="AV392" s="22">
        <v>1.1255088099999999</v>
      </c>
      <c r="AW392" s="22">
        <v>1.1255088099999999</v>
      </c>
      <c r="AX392" s="22">
        <v>1.1255088099999999</v>
      </c>
      <c r="AY392" s="22">
        <v>1.1255088099999999</v>
      </c>
      <c r="AZ392" s="22">
        <v>1.1255088099999999</v>
      </c>
      <c r="BA392" s="22">
        <v>1.1255088099999999</v>
      </c>
      <c r="BB392" s="22">
        <v>1.1255088099999999</v>
      </c>
      <c r="BC392" s="22">
        <v>1.1255088099999999</v>
      </c>
      <c r="BD392" s="22">
        <v>1.1592740742999998</v>
      </c>
      <c r="BE392" s="22">
        <v>1.1592740742999998</v>
      </c>
      <c r="BF392" s="22">
        <v>1.1592740742999998</v>
      </c>
      <c r="BG392" s="22">
        <v>1.1592740742999998</v>
      </c>
      <c r="BH392" s="22">
        <v>1.1592740742999998</v>
      </c>
      <c r="BI392" s="22">
        <v>1.1592740742999998</v>
      </c>
      <c r="BJ392" s="22">
        <v>1.1592740742999998</v>
      </c>
      <c r="BK392" s="22">
        <v>1.1592740742999998</v>
      </c>
      <c r="BL392" s="22">
        <v>1.1592740742999998</v>
      </c>
      <c r="BM392" s="22">
        <v>1.1592740742999998</v>
      </c>
      <c r="BN392" s="22">
        <v>1.1592740742999998</v>
      </c>
      <c r="BO392" s="22">
        <v>1.1592740742999998</v>
      </c>
    </row>
    <row r="393" spans="2:69" s="22" customFormat="1" outlineLevel="1">
      <c r="B393" s="32"/>
      <c r="E393" s="28"/>
      <c r="F393" s="29"/>
      <c r="G393" s="66"/>
    </row>
    <row r="394" spans="2:69" s="22" customFormat="1" outlineLevel="1">
      <c r="B394" s="69" t="s">
        <v>1279</v>
      </c>
      <c r="E394" s="28"/>
      <c r="F394" s="29"/>
      <c r="G394" s="66"/>
    </row>
    <row r="395" spans="2:69" s="22" customFormat="1" outlineLevel="1">
      <c r="C395" s="22" t="str" cm="1">
        <f t="array" ref="C395:C420">_xlfn._xlws.SORT(_xlfn.UNIQUE('Existing Stores'!D9:D1008),,1)</f>
        <v>Axisbyte</v>
      </c>
      <c r="D395" s="180"/>
      <c r="E395" s="147"/>
      <c r="F395" s="29" t="s">
        <v>119</v>
      </c>
      <c r="G395" s="167" cm="1">
        <f t="array" ref="G395:BO420">_xlfn.ANCHORARRAY(G392)*G127:BO152</f>
        <v>6</v>
      </c>
      <c r="H395" s="148">
        <v>7.21</v>
      </c>
      <c r="I395" s="148">
        <v>7.21</v>
      </c>
      <c r="J395" s="148">
        <v>7.21</v>
      </c>
      <c r="K395" s="148">
        <v>7.21</v>
      </c>
      <c r="L395" s="148">
        <v>7.21</v>
      </c>
      <c r="M395" s="148">
        <v>7.21</v>
      </c>
      <c r="N395" s="148">
        <v>7.21</v>
      </c>
      <c r="O395" s="148">
        <v>7.21</v>
      </c>
      <c r="P395" s="148">
        <v>7.21</v>
      </c>
      <c r="Q395" s="148">
        <v>7.21</v>
      </c>
      <c r="R395" s="148">
        <v>7.21</v>
      </c>
      <c r="S395" s="148">
        <v>7.21</v>
      </c>
      <c r="T395" s="148">
        <v>7.4262999999999995</v>
      </c>
      <c r="U395" s="148">
        <v>7.4262999999999995</v>
      </c>
      <c r="V395" s="148">
        <v>7.4262999999999995</v>
      </c>
      <c r="W395" s="148">
        <v>7.4262999999999995</v>
      </c>
      <c r="X395" s="148">
        <v>7.4262999999999995</v>
      </c>
      <c r="Y395" s="148">
        <v>7.4262999999999995</v>
      </c>
      <c r="Z395" s="148">
        <v>7.4262999999999995</v>
      </c>
      <c r="AA395" s="148">
        <v>7.4262999999999995</v>
      </c>
      <c r="AB395" s="148">
        <v>7.4262999999999995</v>
      </c>
      <c r="AC395" s="148">
        <v>7.4262999999999995</v>
      </c>
      <c r="AD395" s="148">
        <v>7.4262999999999995</v>
      </c>
      <c r="AE395" s="148">
        <v>7.4262999999999995</v>
      </c>
      <c r="AF395" s="148">
        <v>7.649089</v>
      </c>
      <c r="AG395" s="148">
        <v>7.649089</v>
      </c>
      <c r="AH395" s="148">
        <v>8.741816</v>
      </c>
      <c r="AI395" s="148">
        <v>8.741816</v>
      </c>
      <c r="AJ395" s="148">
        <v>8.741816</v>
      </c>
      <c r="AK395" s="148">
        <v>8.741816</v>
      </c>
      <c r="AL395" s="148">
        <v>8.741816</v>
      </c>
      <c r="AM395" s="148">
        <v>8.741816</v>
      </c>
      <c r="AN395" s="148">
        <v>8.741816</v>
      </c>
      <c r="AO395" s="148">
        <v>8.741816</v>
      </c>
      <c r="AP395" s="148">
        <v>8.741816</v>
      </c>
      <c r="AQ395" s="148">
        <v>8.741816</v>
      </c>
      <c r="AR395" s="148">
        <v>9.0040704799999993</v>
      </c>
      <c r="AS395" s="148">
        <v>9.0040704799999993</v>
      </c>
      <c r="AT395" s="148">
        <v>9.0040704799999993</v>
      </c>
      <c r="AU395" s="148">
        <v>9.0040704799999993</v>
      </c>
      <c r="AV395" s="148">
        <v>9.0040704799999993</v>
      </c>
      <c r="AW395" s="148">
        <v>9.0040704799999993</v>
      </c>
      <c r="AX395" s="148">
        <v>9.0040704799999993</v>
      </c>
      <c r="AY395" s="148">
        <v>9.0040704799999993</v>
      </c>
      <c r="AZ395" s="148">
        <v>9.0040704799999993</v>
      </c>
      <c r="BA395" s="148">
        <v>9.0040704799999993</v>
      </c>
      <c r="BB395" s="148">
        <v>9.0040704799999993</v>
      </c>
      <c r="BC395" s="148">
        <v>9.0040704799999993</v>
      </c>
      <c r="BD395" s="148">
        <v>9.2741925943999988</v>
      </c>
      <c r="BE395" s="148">
        <v>9.2741925943999988</v>
      </c>
      <c r="BF395" s="148">
        <v>9.2741925943999988</v>
      </c>
      <c r="BG395" s="148">
        <v>9.2741925943999988</v>
      </c>
      <c r="BH395" s="148">
        <v>10.4334666687</v>
      </c>
      <c r="BI395" s="148">
        <v>10.4334666687</v>
      </c>
      <c r="BJ395" s="148">
        <v>10.4334666687</v>
      </c>
      <c r="BK395" s="148">
        <v>10.4334666687</v>
      </c>
      <c r="BL395" s="148">
        <v>10.4334666687</v>
      </c>
      <c r="BM395" s="148">
        <v>10.4334666687</v>
      </c>
      <c r="BN395" s="148">
        <v>10.4334666687</v>
      </c>
      <c r="BO395" s="148">
        <v>10.4334666687</v>
      </c>
      <c r="BP395" s="148"/>
      <c r="BQ395" s="148"/>
    </row>
    <row r="396" spans="2:69" s="22" customFormat="1" outlineLevel="1">
      <c r="C396" s="22" t="str">
        <v>Bootwell</v>
      </c>
      <c r="D396" s="180"/>
      <c r="E396" s="147"/>
      <c r="F396" s="29" t="s">
        <v>119</v>
      </c>
      <c r="G396" s="167">
        <v>30</v>
      </c>
      <c r="H396" s="148">
        <v>30.900000000000002</v>
      </c>
      <c r="I396" s="148">
        <v>31.93</v>
      </c>
      <c r="J396" s="148">
        <v>31.93</v>
      </c>
      <c r="K396" s="148">
        <v>31.93</v>
      </c>
      <c r="L396" s="148">
        <v>31.93</v>
      </c>
      <c r="M396" s="148">
        <v>31.93</v>
      </c>
      <c r="N396" s="148">
        <v>31.93</v>
      </c>
      <c r="O396" s="148">
        <v>31.93</v>
      </c>
      <c r="P396" s="148">
        <v>31.93</v>
      </c>
      <c r="Q396" s="148">
        <v>31.93</v>
      </c>
      <c r="R396" s="148">
        <v>31.93</v>
      </c>
      <c r="S396" s="148">
        <v>31.93</v>
      </c>
      <c r="T396" s="148">
        <v>32.887900000000002</v>
      </c>
      <c r="U396" s="148">
        <v>32.887900000000002</v>
      </c>
      <c r="V396" s="148">
        <v>32.887900000000002</v>
      </c>
      <c r="W396" s="148">
        <v>32.887900000000002</v>
      </c>
      <c r="X396" s="148">
        <v>32.887900000000002</v>
      </c>
      <c r="Y396" s="148">
        <v>32.887900000000002</v>
      </c>
      <c r="Z396" s="148">
        <v>32.887900000000002</v>
      </c>
      <c r="AA396" s="148">
        <v>32.887900000000002</v>
      </c>
      <c r="AB396" s="148">
        <v>32.887900000000002</v>
      </c>
      <c r="AC396" s="148">
        <v>32.887900000000002</v>
      </c>
      <c r="AD396" s="148">
        <v>32.887900000000002</v>
      </c>
      <c r="AE396" s="148">
        <v>32.887900000000002</v>
      </c>
      <c r="AF396" s="148">
        <v>33.874537000000004</v>
      </c>
      <c r="AG396" s="148">
        <v>33.874537000000004</v>
      </c>
      <c r="AH396" s="148">
        <v>33.874537000000004</v>
      </c>
      <c r="AI396" s="148">
        <v>34.967264</v>
      </c>
      <c r="AJ396" s="148">
        <v>34.967264</v>
      </c>
      <c r="AK396" s="148">
        <v>34.967264</v>
      </c>
      <c r="AL396" s="148">
        <v>34.967264</v>
      </c>
      <c r="AM396" s="148">
        <v>34.967264</v>
      </c>
      <c r="AN396" s="148">
        <v>34.967264</v>
      </c>
      <c r="AO396" s="148">
        <v>34.967264</v>
      </c>
      <c r="AP396" s="148">
        <v>34.967264</v>
      </c>
      <c r="AQ396" s="148">
        <v>34.967264</v>
      </c>
      <c r="AR396" s="148">
        <v>36.016281919999997</v>
      </c>
      <c r="AS396" s="148">
        <v>36.016281919999997</v>
      </c>
      <c r="AT396" s="148">
        <v>36.016281919999997</v>
      </c>
      <c r="AU396" s="148">
        <v>36.016281919999997</v>
      </c>
      <c r="AV396" s="148">
        <v>36.016281919999997</v>
      </c>
      <c r="AW396" s="148">
        <v>36.016281919999997</v>
      </c>
      <c r="AX396" s="148">
        <v>36.016281919999997</v>
      </c>
      <c r="AY396" s="148">
        <v>36.016281919999997</v>
      </c>
      <c r="AZ396" s="148">
        <v>36.016281919999997</v>
      </c>
      <c r="BA396" s="148">
        <v>36.016281919999997</v>
      </c>
      <c r="BB396" s="148">
        <v>36.016281919999997</v>
      </c>
      <c r="BC396" s="148">
        <v>36.016281919999997</v>
      </c>
      <c r="BD396" s="148">
        <v>37.096770377599995</v>
      </c>
      <c r="BE396" s="148">
        <v>37.096770377599995</v>
      </c>
      <c r="BF396" s="148">
        <v>37.096770377599995</v>
      </c>
      <c r="BG396" s="148">
        <v>37.096770377599995</v>
      </c>
      <c r="BH396" s="148">
        <v>37.096770377599995</v>
      </c>
      <c r="BI396" s="148">
        <v>38.256044451899996</v>
      </c>
      <c r="BJ396" s="148">
        <v>38.256044451899996</v>
      </c>
      <c r="BK396" s="148">
        <v>38.256044451899996</v>
      </c>
      <c r="BL396" s="148">
        <v>38.256044451899996</v>
      </c>
      <c r="BM396" s="148">
        <v>38.256044451899996</v>
      </c>
      <c r="BN396" s="148">
        <v>38.256044451899996</v>
      </c>
      <c r="BO396" s="148">
        <v>38.256044451899996</v>
      </c>
      <c r="BP396" s="148"/>
      <c r="BQ396" s="148"/>
    </row>
    <row r="397" spans="2:69" s="22" customFormat="1" outlineLevel="1">
      <c r="C397" s="22" t="str">
        <v>Cacheford</v>
      </c>
      <c r="D397" s="180"/>
      <c r="E397" s="147"/>
      <c r="F397" s="29" t="s">
        <v>119</v>
      </c>
      <c r="G397" s="167">
        <v>5</v>
      </c>
      <c r="H397" s="148">
        <v>5.15</v>
      </c>
      <c r="I397" s="148">
        <v>5.15</v>
      </c>
      <c r="J397" s="148">
        <v>6.18</v>
      </c>
      <c r="K397" s="148">
        <v>6.18</v>
      </c>
      <c r="L397" s="148">
        <v>6.18</v>
      </c>
      <c r="M397" s="148">
        <v>6.18</v>
      </c>
      <c r="N397" s="148">
        <v>6.18</v>
      </c>
      <c r="O397" s="148">
        <v>6.18</v>
      </c>
      <c r="P397" s="148">
        <v>6.18</v>
      </c>
      <c r="Q397" s="148">
        <v>6.18</v>
      </c>
      <c r="R397" s="148">
        <v>6.18</v>
      </c>
      <c r="S397" s="148">
        <v>6.18</v>
      </c>
      <c r="T397" s="148">
        <v>6.3653999999999993</v>
      </c>
      <c r="U397" s="148">
        <v>6.3653999999999993</v>
      </c>
      <c r="V397" s="148">
        <v>6.3653999999999993</v>
      </c>
      <c r="W397" s="148">
        <v>6.3653999999999993</v>
      </c>
      <c r="X397" s="148">
        <v>6.3653999999999993</v>
      </c>
      <c r="Y397" s="148">
        <v>6.3653999999999993</v>
      </c>
      <c r="Z397" s="148">
        <v>6.3653999999999993</v>
      </c>
      <c r="AA397" s="148">
        <v>6.3653999999999993</v>
      </c>
      <c r="AB397" s="148">
        <v>6.3653999999999993</v>
      </c>
      <c r="AC397" s="148">
        <v>6.3653999999999993</v>
      </c>
      <c r="AD397" s="148">
        <v>6.3653999999999993</v>
      </c>
      <c r="AE397" s="148">
        <v>6.3653999999999993</v>
      </c>
      <c r="AF397" s="148">
        <v>6.556362</v>
      </c>
      <c r="AG397" s="148">
        <v>6.556362</v>
      </c>
      <c r="AH397" s="148">
        <v>6.556362</v>
      </c>
      <c r="AI397" s="148">
        <v>6.556362</v>
      </c>
      <c r="AJ397" s="148">
        <v>7.649089</v>
      </c>
      <c r="AK397" s="148">
        <v>7.649089</v>
      </c>
      <c r="AL397" s="148">
        <v>7.649089</v>
      </c>
      <c r="AM397" s="148">
        <v>7.649089</v>
      </c>
      <c r="AN397" s="148">
        <v>7.649089</v>
      </c>
      <c r="AO397" s="148">
        <v>7.649089</v>
      </c>
      <c r="AP397" s="148">
        <v>7.649089</v>
      </c>
      <c r="AQ397" s="148">
        <v>7.649089</v>
      </c>
      <c r="AR397" s="148">
        <v>7.8785616699999999</v>
      </c>
      <c r="AS397" s="148">
        <v>7.8785616699999999</v>
      </c>
      <c r="AT397" s="148">
        <v>7.8785616699999999</v>
      </c>
      <c r="AU397" s="148">
        <v>7.8785616699999999</v>
      </c>
      <c r="AV397" s="148">
        <v>7.8785616699999999</v>
      </c>
      <c r="AW397" s="148">
        <v>7.8785616699999999</v>
      </c>
      <c r="AX397" s="148">
        <v>7.8785616699999999</v>
      </c>
      <c r="AY397" s="148">
        <v>7.8785616699999999</v>
      </c>
      <c r="AZ397" s="148">
        <v>7.8785616699999999</v>
      </c>
      <c r="BA397" s="148">
        <v>7.8785616699999999</v>
      </c>
      <c r="BB397" s="148">
        <v>7.8785616699999999</v>
      </c>
      <c r="BC397" s="148">
        <v>7.8785616699999999</v>
      </c>
      <c r="BD397" s="148">
        <v>8.114918520099998</v>
      </c>
      <c r="BE397" s="148">
        <v>8.114918520099998</v>
      </c>
      <c r="BF397" s="148">
        <v>8.114918520099998</v>
      </c>
      <c r="BG397" s="148">
        <v>8.114918520099998</v>
      </c>
      <c r="BH397" s="148">
        <v>8.114918520099998</v>
      </c>
      <c r="BI397" s="148">
        <v>8.114918520099998</v>
      </c>
      <c r="BJ397" s="148">
        <v>9.2741925943999988</v>
      </c>
      <c r="BK397" s="148">
        <v>9.2741925943999988</v>
      </c>
      <c r="BL397" s="148">
        <v>9.2741925943999988</v>
      </c>
      <c r="BM397" s="148">
        <v>9.2741925943999988</v>
      </c>
      <c r="BN397" s="148">
        <v>9.2741925943999988</v>
      </c>
      <c r="BO397" s="148">
        <v>9.2741925943999988</v>
      </c>
      <c r="BP397" s="148"/>
      <c r="BQ397" s="148"/>
    </row>
    <row r="398" spans="2:69" s="22" customFormat="1" outlineLevel="1">
      <c r="C398" s="22" t="str">
        <v>Datahaven</v>
      </c>
      <c r="D398" s="180"/>
      <c r="E398" s="147"/>
      <c r="F398" s="29" t="s">
        <v>119</v>
      </c>
      <c r="G398" s="167">
        <v>22</v>
      </c>
      <c r="H398" s="148">
        <v>22.66</v>
      </c>
      <c r="I398" s="148">
        <v>22.66</v>
      </c>
      <c r="J398" s="148">
        <v>22.66</v>
      </c>
      <c r="K398" s="148">
        <v>23.69</v>
      </c>
      <c r="L398" s="148">
        <v>23.69</v>
      </c>
      <c r="M398" s="148">
        <v>23.69</v>
      </c>
      <c r="N398" s="148">
        <v>23.69</v>
      </c>
      <c r="O398" s="148">
        <v>23.69</v>
      </c>
      <c r="P398" s="148">
        <v>23.69</v>
      </c>
      <c r="Q398" s="148">
        <v>23.69</v>
      </c>
      <c r="R398" s="148">
        <v>23.69</v>
      </c>
      <c r="S398" s="148">
        <v>23.69</v>
      </c>
      <c r="T398" s="148">
        <v>24.400700000000001</v>
      </c>
      <c r="U398" s="148">
        <v>24.400700000000001</v>
      </c>
      <c r="V398" s="148">
        <v>24.400700000000001</v>
      </c>
      <c r="W398" s="148">
        <v>24.400700000000001</v>
      </c>
      <c r="X398" s="148">
        <v>24.400700000000001</v>
      </c>
      <c r="Y398" s="148">
        <v>24.400700000000001</v>
      </c>
      <c r="Z398" s="148">
        <v>24.400700000000001</v>
      </c>
      <c r="AA398" s="148">
        <v>24.400700000000001</v>
      </c>
      <c r="AB398" s="148">
        <v>24.400700000000001</v>
      </c>
      <c r="AC398" s="148">
        <v>24.400700000000001</v>
      </c>
      <c r="AD398" s="148">
        <v>24.400700000000001</v>
      </c>
      <c r="AE398" s="148">
        <v>24.400700000000001</v>
      </c>
      <c r="AF398" s="148">
        <v>25.132721</v>
      </c>
      <c r="AG398" s="148">
        <v>25.132721</v>
      </c>
      <c r="AH398" s="148">
        <v>25.132721</v>
      </c>
      <c r="AI398" s="148">
        <v>25.132721</v>
      </c>
      <c r="AJ398" s="148">
        <v>25.132721</v>
      </c>
      <c r="AK398" s="148">
        <v>26.225448</v>
      </c>
      <c r="AL398" s="148">
        <v>26.225448</v>
      </c>
      <c r="AM398" s="148">
        <v>26.225448</v>
      </c>
      <c r="AN398" s="148">
        <v>26.225448</v>
      </c>
      <c r="AO398" s="148">
        <v>26.225448</v>
      </c>
      <c r="AP398" s="148">
        <v>26.225448</v>
      </c>
      <c r="AQ398" s="148">
        <v>26.225448</v>
      </c>
      <c r="AR398" s="148">
        <v>27.012211439999998</v>
      </c>
      <c r="AS398" s="148">
        <v>27.012211439999998</v>
      </c>
      <c r="AT398" s="148">
        <v>27.012211439999998</v>
      </c>
      <c r="AU398" s="148">
        <v>27.012211439999998</v>
      </c>
      <c r="AV398" s="148">
        <v>27.012211439999998</v>
      </c>
      <c r="AW398" s="148">
        <v>27.012211439999998</v>
      </c>
      <c r="AX398" s="148">
        <v>27.012211439999998</v>
      </c>
      <c r="AY398" s="148">
        <v>27.012211439999998</v>
      </c>
      <c r="AZ398" s="148">
        <v>27.012211439999998</v>
      </c>
      <c r="BA398" s="148">
        <v>27.012211439999998</v>
      </c>
      <c r="BB398" s="148">
        <v>27.012211439999998</v>
      </c>
      <c r="BC398" s="148">
        <v>27.012211439999998</v>
      </c>
      <c r="BD398" s="148">
        <v>27.822577783199996</v>
      </c>
      <c r="BE398" s="148">
        <v>27.822577783199996</v>
      </c>
      <c r="BF398" s="148">
        <v>27.822577783199996</v>
      </c>
      <c r="BG398" s="148">
        <v>27.822577783199996</v>
      </c>
      <c r="BH398" s="148">
        <v>27.822577783199996</v>
      </c>
      <c r="BI398" s="148">
        <v>27.822577783199996</v>
      </c>
      <c r="BJ398" s="148">
        <v>27.822577783199996</v>
      </c>
      <c r="BK398" s="148">
        <v>28.981851857499997</v>
      </c>
      <c r="BL398" s="148">
        <v>28.981851857499997</v>
      </c>
      <c r="BM398" s="148">
        <v>28.981851857499997</v>
      </c>
      <c r="BN398" s="148">
        <v>28.981851857499997</v>
      </c>
      <c r="BO398" s="148">
        <v>28.981851857499997</v>
      </c>
      <c r="BP398" s="148"/>
      <c r="BQ398" s="148"/>
    </row>
    <row r="399" spans="2:69" s="22" customFormat="1" outlineLevel="1">
      <c r="C399" s="22" t="str">
        <v>Etherport</v>
      </c>
      <c r="D399" s="180"/>
      <c r="E399" s="147"/>
      <c r="F399" s="29" t="s">
        <v>119</v>
      </c>
      <c r="G399" s="167">
        <v>3</v>
      </c>
      <c r="H399" s="148">
        <v>3.09</v>
      </c>
      <c r="I399" s="148">
        <v>3.09</v>
      </c>
      <c r="J399" s="148">
        <v>3.09</v>
      </c>
      <c r="K399" s="148">
        <v>3.09</v>
      </c>
      <c r="L399" s="148">
        <v>4.12</v>
      </c>
      <c r="M399" s="148">
        <v>4.12</v>
      </c>
      <c r="N399" s="148">
        <v>4.12</v>
      </c>
      <c r="O399" s="148">
        <v>4.12</v>
      </c>
      <c r="P399" s="148">
        <v>4.12</v>
      </c>
      <c r="Q399" s="148">
        <v>4.12</v>
      </c>
      <c r="R399" s="148">
        <v>4.12</v>
      </c>
      <c r="S399" s="148">
        <v>4.12</v>
      </c>
      <c r="T399" s="148">
        <v>4.2435999999999998</v>
      </c>
      <c r="U399" s="148">
        <v>4.2435999999999998</v>
      </c>
      <c r="V399" s="148">
        <v>4.2435999999999998</v>
      </c>
      <c r="W399" s="148">
        <v>4.2435999999999998</v>
      </c>
      <c r="X399" s="148">
        <v>4.2435999999999998</v>
      </c>
      <c r="Y399" s="148">
        <v>4.2435999999999998</v>
      </c>
      <c r="Z399" s="148">
        <v>4.2435999999999998</v>
      </c>
      <c r="AA399" s="148">
        <v>4.2435999999999998</v>
      </c>
      <c r="AB399" s="148">
        <v>4.2435999999999998</v>
      </c>
      <c r="AC399" s="148">
        <v>4.2435999999999998</v>
      </c>
      <c r="AD399" s="148">
        <v>4.2435999999999998</v>
      </c>
      <c r="AE399" s="148">
        <v>4.2435999999999998</v>
      </c>
      <c r="AF399" s="148">
        <v>4.370908</v>
      </c>
      <c r="AG399" s="148">
        <v>4.370908</v>
      </c>
      <c r="AH399" s="148">
        <v>4.370908</v>
      </c>
      <c r="AI399" s="148">
        <v>4.370908</v>
      </c>
      <c r="AJ399" s="148">
        <v>4.370908</v>
      </c>
      <c r="AK399" s="148">
        <v>4.370908</v>
      </c>
      <c r="AL399" s="148">
        <v>5.463635</v>
      </c>
      <c r="AM399" s="148">
        <v>5.463635</v>
      </c>
      <c r="AN399" s="148">
        <v>5.463635</v>
      </c>
      <c r="AO399" s="148">
        <v>5.463635</v>
      </c>
      <c r="AP399" s="148">
        <v>5.463635</v>
      </c>
      <c r="AQ399" s="148">
        <v>5.463635</v>
      </c>
      <c r="AR399" s="148">
        <v>5.6275440499999991</v>
      </c>
      <c r="AS399" s="148">
        <v>5.6275440499999991</v>
      </c>
      <c r="AT399" s="148">
        <v>5.6275440499999991</v>
      </c>
      <c r="AU399" s="148">
        <v>5.6275440499999991</v>
      </c>
      <c r="AV399" s="148">
        <v>5.6275440499999991</v>
      </c>
      <c r="AW399" s="148">
        <v>5.6275440499999991</v>
      </c>
      <c r="AX399" s="148">
        <v>5.6275440499999991</v>
      </c>
      <c r="AY399" s="148">
        <v>5.6275440499999991</v>
      </c>
      <c r="AZ399" s="148">
        <v>5.6275440499999991</v>
      </c>
      <c r="BA399" s="148">
        <v>5.6275440499999991</v>
      </c>
      <c r="BB399" s="148">
        <v>5.6275440499999991</v>
      </c>
      <c r="BC399" s="148">
        <v>5.6275440499999991</v>
      </c>
      <c r="BD399" s="148">
        <v>5.7963703714999992</v>
      </c>
      <c r="BE399" s="148">
        <v>5.7963703714999992</v>
      </c>
      <c r="BF399" s="148">
        <v>5.7963703714999992</v>
      </c>
      <c r="BG399" s="148">
        <v>5.7963703714999992</v>
      </c>
      <c r="BH399" s="148">
        <v>5.7963703714999992</v>
      </c>
      <c r="BI399" s="148">
        <v>5.7963703714999992</v>
      </c>
      <c r="BJ399" s="148">
        <v>5.7963703714999992</v>
      </c>
      <c r="BK399" s="148">
        <v>5.7963703714999992</v>
      </c>
      <c r="BL399" s="148">
        <v>6.9556444457999991</v>
      </c>
      <c r="BM399" s="148">
        <v>6.9556444457999991</v>
      </c>
      <c r="BN399" s="148">
        <v>6.9556444457999991</v>
      </c>
      <c r="BO399" s="148">
        <v>6.9556444457999991</v>
      </c>
      <c r="BP399" s="148"/>
      <c r="BQ399" s="148"/>
    </row>
    <row r="400" spans="2:69" s="22" customFormat="1" outlineLevel="1">
      <c r="C400" s="22" t="str">
        <v>Fiberfall</v>
      </c>
      <c r="D400" s="180"/>
      <c r="E400" s="147"/>
      <c r="F400" s="29" t="s">
        <v>119</v>
      </c>
      <c r="G400" s="167">
        <v>3</v>
      </c>
      <c r="H400" s="148">
        <v>3.09</v>
      </c>
      <c r="I400" s="148">
        <v>3.09</v>
      </c>
      <c r="J400" s="148">
        <v>3.09</v>
      </c>
      <c r="K400" s="148">
        <v>3.09</v>
      </c>
      <c r="L400" s="148">
        <v>3.09</v>
      </c>
      <c r="M400" s="148">
        <v>4.12</v>
      </c>
      <c r="N400" s="148">
        <v>4.12</v>
      </c>
      <c r="O400" s="148">
        <v>4.12</v>
      </c>
      <c r="P400" s="148">
        <v>4.12</v>
      </c>
      <c r="Q400" s="148">
        <v>4.12</v>
      </c>
      <c r="R400" s="148">
        <v>4.12</v>
      </c>
      <c r="S400" s="148">
        <v>4.12</v>
      </c>
      <c r="T400" s="148">
        <v>4.2435999999999998</v>
      </c>
      <c r="U400" s="148">
        <v>4.2435999999999998</v>
      </c>
      <c r="V400" s="148">
        <v>4.2435999999999998</v>
      </c>
      <c r="W400" s="148">
        <v>4.2435999999999998</v>
      </c>
      <c r="X400" s="148">
        <v>4.2435999999999998</v>
      </c>
      <c r="Y400" s="148">
        <v>4.2435999999999998</v>
      </c>
      <c r="Z400" s="148">
        <v>4.2435999999999998</v>
      </c>
      <c r="AA400" s="148">
        <v>4.2435999999999998</v>
      </c>
      <c r="AB400" s="148">
        <v>4.2435999999999998</v>
      </c>
      <c r="AC400" s="148">
        <v>4.2435999999999998</v>
      </c>
      <c r="AD400" s="148">
        <v>4.2435999999999998</v>
      </c>
      <c r="AE400" s="148">
        <v>4.2435999999999998</v>
      </c>
      <c r="AF400" s="148">
        <v>4.370908</v>
      </c>
      <c r="AG400" s="148">
        <v>4.370908</v>
      </c>
      <c r="AH400" s="148">
        <v>4.370908</v>
      </c>
      <c r="AI400" s="148">
        <v>4.370908</v>
      </c>
      <c r="AJ400" s="148">
        <v>4.370908</v>
      </c>
      <c r="AK400" s="148">
        <v>4.370908</v>
      </c>
      <c r="AL400" s="148">
        <v>4.370908</v>
      </c>
      <c r="AM400" s="148">
        <v>5.463635</v>
      </c>
      <c r="AN400" s="148">
        <v>5.463635</v>
      </c>
      <c r="AO400" s="148">
        <v>5.463635</v>
      </c>
      <c r="AP400" s="148">
        <v>5.463635</v>
      </c>
      <c r="AQ400" s="148">
        <v>5.463635</v>
      </c>
      <c r="AR400" s="148">
        <v>5.6275440499999991</v>
      </c>
      <c r="AS400" s="148">
        <v>5.6275440499999991</v>
      </c>
      <c r="AT400" s="148">
        <v>5.6275440499999991</v>
      </c>
      <c r="AU400" s="148">
        <v>5.6275440499999991</v>
      </c>
      <c r="AV400" s="148">
        <v>5.6275440499999991</v>
      </c>
      <c r="AW400" s="148">
        <v>5.6275440499999991</v>
      </c>
      <c r="AX400" s="148">
        <v>5.6275440499999991</v>
      </c>
      <c r="AY400" s="148">
        <v>5.6275440499999991</v>
      </c>
      <c r="AZ400" s="148">
        <v>5.6275440499999991</v>
      </c>
      <c r="BA400" s="148">
        <v>5.6275440499999991</v>
      </c>
      <c r="BB400" s="148">
        <v>5.6275440499999991</v>
      </c>
      <c r="BC400" s="148">
        <v>5.6275440499999991</v>
      </c>
      <c r="BD400" s="148">
        <v>5.7963703714999992</v>
      </c>
      <c r="BE400" s="148">
        <v>5.7963703714999992</v>
      </c>
      <c r="BF400" s="148">
        <v>5.7963703714999992</v>
      </c>
      <c r="BG400" s="148">
        <v>5.7963703714999992</v>
      </c>
      <c r="BH400" s="148">
        <v>5.7963703714999992</v>
      </c>
      <c r="BI400" s="148">
        <v>5.7963703714999992</v>
      </c>
      <c r="BJ400" s="148">
        <v>5.7963703714999992</v>
      </c>
      <c r="BK400" s="148">
        <v>5.7963703714999992</v>
      </c>
      <c r="BL400" s="148">
        <v>5.7963703714999992</v>
      </c>
      <c r="BM400" s="148">
        <v>6.9556444457999991</v>
      </c>
      <c r="BN400" s="148">
        <v>6.9556444457999991</v>
      </c>
      <c r="BO400" s="148">
        <v>6.9556444457999991</v>
      </c>
      <c r="BP400" s="148"/>
      <c r="BQ400" s="148"/>
    </row>
    <row r="401" spans="3:69" s="22" customFormat="1" outlineLevel="1">
      <c r="C401" s="22" t="str">
        <v>Gigatown</v>
      </c>
      <c r="D401" s="180"/>
      <c r="E401" s="147"/>
      <c r="F401" s="29" t="s">
        <v>119</v>
      </c>
      <c r="G401" s="167">
        <v>65</v>
      </c>
      <c r="H401" s="148">
        <v>66.95</v>
      </c>
      <c r="I401" s="148">
        <v>66.95</v>
      </c>
      <c r="J401" s="148">
        <v>66.95</v>
      </c>
      <c r="K401" s="148">
        <v>66.95</v>
      </c>
      <c r="L401" s="148">
        <v>66.95</v>
      </c>
      <c r="M401" s="148">
        <v>66.95</v>
      </c>
      <c r="N401" s="148">
        <v>67.98</v>
      </c>
      <c r="O401" s="148">
        <v>67.98</v>
      </c>
      <c r="P401" s="148">
        <v>67.98</v>
      </c>
      <c r="Q401" s="148">
        <v>67.98</v>
      </c>
      <c r="R401" s="148">
        <v>67.98</v>
      </c>
      <c r="S401" s="148">
        <v>67.98</v>
      </c>
      <c r="T401" s="148">
        <v>70.01939999999999</v>
      </c>
      <c r="U401" s="148">
        <v>70.01939999999999</v>
      </c>
      <c r="V401" s="148">
        <v>70.01939999999999</v>
      </c>
      <c r="W401" s="148">
        <v>70.01939999999999</v>
      </c>
      <c r="X401" s="148">
        <v>70.01939999999999</v>
      </c>
      <c r="Y401" s="148">
        <v>70.01939999999999</v>
      </c>
      <c r="Z401" s="148">
        <v>70.01939999999999</v>
      </c>
      <c r="AA401" s="148">
        <v>70.01939999999999</v>
      </c>
      <c r="AB401" s="148">
        <v>70.01939999999999</v>
      </c>
      <c r="AC401" s="148">
        <v>70.01939999999999</v>
      </c>
      <c r="AD401" s="148">
        <v>70.01939999999999</v>
      </c>
      <c r="AE401" s="148">
        <v>70.01939999999999</v>
      </c>
      <c r="AF401" s="148">
        <v>72.119981999999993</v>
      </c>
      <c r="AG401" s="148">
        <v>72.119981999999993</v>
      </c>
      <c r="AH401" s="148">
        <v>72.119981999999993</v>
      </c>
      <c r="AI401" s="148">
        <v>72.119981999999993</v>
      </c>
      <c r="AJ401" s="148">
        <v>72.119981999999993</v>
      </c>
      <c r="AK401" s="148">
        <v>72.119981999999993</v>
      </c>
      <c r="AL401" s="148">
        <v>72.119981999999993</v>
      </c>
      <c r="AM401" s="148">
        <v>72.119981999999993</v>
      </c>
      <c r="AN401" s="148">
        <v>73.212709000000004</v>
      </c>
      <c r="AO401" s="148">
        <v>73.212709000000004</v>
      </c>
      <c r="AP401" s="148">
        <v>73.212709000000004</v>
      </c>
      <c r="AQ401" s="148">
        <v>73.212709000000004</v>
      </c>
      <c r="AR401" s="148">
        <v>75.409090269999993</v>
      </c>
      <c r="AS401" s="148">
        <v>75.409090269999993</v>
      </c>
      <c r="AT401" s="148">
        <v>75.409090269999993</v>
      </c>
      <c r="AU401" s="148">
        <v>75.409090269999993</v>
      </c>
      <c r="AV401" s="148">
        <v>75.409090269999993</v>
      </c>
      <c r="AW401" s="148">
        <v>75.409090269999993</v>
      </c>
      <c r="AX401" s="148">
        <v>75.409090269999993</v>
      </c>
      <c r="AY401" s="148">
        <v>75.409090269999993</v>
      </c>
      <c r="AZ401" s="148">
        <v>75.409090269999993</v>
      </c>
      <c r="BA401" s="148">
        <v>75.409090269999993</v>
      </c>
      <c r="BB401" s="148">
        <v>75.409090269999993</v>
      </c>
      <c r="BC401" s="148">
        <v>75.409090269999993</v>
      </c>
      <c r="BD401" s="148">
        <v>77.671362978099992</v>
      </c>
      <c r="BE401" s="148">
        <v>77.671362978099992</v>
      </c>
      <c r="BF401" s="148">
        <v>77.671362978099992</v>
      </c>
      <c r="BG401" s="148">
        <v>77.671362978099992</v>
      </c>
      <c r="BH401" s="148">
        <v>77.671362978099992</v>
      </c>
      <c r="BI401" s="148">
        <v>77.671362978099992</v>
      </c>
      <c r="BJ401" s="148">
        <v>77.671362978099992</v>
      </c>
      <c r="BK401" s="148">
        <v>77.671362978099992</v>
      </c>
      <c r="BL401" s="148">
        <v>77.671362978099992</v>
      </c>
      <c r="BM401" s="148">
        <v>77.671362978099992</v>
      </c>
      <c r="BN401" s="148">
        <v>78.830637052399993</v>
      </c>
      <c r="BO401" s="148">
        <v>78.830637052399993</v>
      </c>
      <c r="BP401" s="148"/>
      <c r="BQ401" s="148"/>
    </row>
    <row r="402" spans="3:69" s="22" customFormat="1" outlineLevel="1">
      <c r="C402" s="22" t="str">
        <v>Hexavale</v>
      </c>
      <c r="D402" s="180"/>
      <c r="E402" s="147"/>
      <c r="F402" s="29" t="s">
        <v>119</v>
      </c>
      <c r="G402" s="167">
        <v>311</v>
      </c>
      <c r="H402" s="148">
        <v>320.33</v>
      </c>
      <c r="I402" s="148">
        <v>320.33</v>
      </c>
      <c r="J402" s="148">
        <v>320.33</v>
      </c>
      <c r="K402" s="148">
        <v>320.33</v>
      </c>
      <c r="L402" s="148">
        <v>320.33</v>
      </c>
      <c r="M402" s="148">
        <v>320.33</v>
      </c>
      <c r="N402" s="148">
        <v>320.33</v>
      </c>
      <c r="O402" s="148">
        <v>321.36</v>
      </c>
      <c r="P402" s="148">
        <v>321.36</v>
      </c>
      <c r="Q402" s="148">
        <v>321.36</v>
      </c>
      <c r="R402" s="148">
        <v>321.36</v>
      </c>
      <c r="S402" s="148">
        <v>321.36</v>
      </c>
      <c r="T402" s="148">
        <v>331.00079999999997</v>
      </c>
      <c r="U402" s="148">
        <v>331.00079999999997</v>
      </c>
      <c r="V402" s="148">
        <v>331.00079999999997</v>
      </c>
      <c r="W402" s="148">
        <v>331.00079999999997</v>
      </c>
      <c r="X402" s="148">
        <v>331.00079999999997</v>
      </c>
      <c r="Y402" s="148">
        <v>331.00079999999997</v>
      </c>
      <c r="Z402" s="148">
        <v>331.00079999999997</v>
      </c>
      <c r="AA402" s="148">
        <v>331.00079999999997</v>
      </c>
      <c r="AB402" s="148">
        <v>331.00079999999997</v>
      </c>
      <c r="AC402" s="148">
        <v>331.00079999999997</v>
      </c>
      <c r="AD402" s="148">
        <v>331.00079999999997</v>
      </c>
      <c r="AE402" s="148">
        <v>331.00079999999997</v>
      </c>
      <c r="AF402" s="148">
        <v>340.93082400000003</v>
      </c>
      <c r="AG402" s="148">
        <v>340.93082400000003</v>
      </c>
      <c r="AH402" s="148">
        <v>340.93082400000003</v>
      </c>
      <c r="AI402" s="148">
        <v>340.93082400000003</v>
      </c>
      <c r="AJ402" s="148">
        <v>340.93082400000003</v>
      </c>
      <c r="AK402" s="148">
        <v>340.93082400000003</v>
      </c>
      <c r="AL402" s="148">
        <v>340.93082400000003</v>
      </c>
      <c r="AM402" s="148">
        <v>340.93082400000003</v>
      </c>
      <c r="AN402" s="148">
        <v>340.93082400000003</v>
      </c>
      <c r="AO402" s="148">
        <v>342.023551</v>
      </c>
      <c r="AP402" s="148">
        <v>342.023551</v>
      </c>
      <c r="AQ402" s="148">
        <v>342.023551</v>
      </c>
      <c r="AR402" s="148">
        <v>352.28425752999999</v>
      </c>
      <c r="AS402" s="148">
        <v>352.28425752999999</v>
      </c>
      <c r="AT402" s="148">
        <v>352.28425752999999</v>
      </c>
      <c r="AU402" s="148">
        <v>352.28425752999999</v>
      </c>
      <c r="AV402" s="148">
        <v>352.28425752999999</v>
      </c>
      <c r="AW402" s="148">
        <v>352.28425752999999</v>
      </c>
      <c r="AX402" s="148">
        <v>352.28425752999999</v>
      </c>
      <c r="AY402" s="148">
        <v>352.28425752999999</v>
      </c>
      <c r="AZ402" s="148">
        <v>352.28425752999999</v>
      </c>
      <c r="BA402" s="148">
        <v>352.28425752999999</v>
      </c>
      <c r="BB402" s="148">
        <v>352.28425752999999</v>
      </c>
      <c r="BC402" s="148">
        <v>352.28425752999999</v>
      </c>
      <c r="BD402" s="148">
        <v>362.85278525589996</v>
      </c>
      <c r="BE402" s="148">
        <v>362.85278525589996</v>
      </c>
      <c r="BF402" s="148">
        <v>362.85278525589996</v>
      </c>
      <c r="BG402" s="148">
        <v>362.85278525589996</v>
      </c>
      <c r="BH402" s="148">
        <v>362.85278525589996</v>
      </c>
      <c r="BI402" s="148">
        <v>362.85278525589996</v>
      </c>
      <c r="BJ402" s="148">
        <v>362.85278525589996</v>
      </c>
      <c r="BK402" s="148">
        <v>362.85278525589996</v>
      </c>
      <c r="BL402" s="148">
        <v>362.85278525589996</v>
      </c>
      <c r="BM402" s="148">
        <v>362.85278525589996</v>
      </c>
      <c r="BN402" s="148">
        <v>362.85278525589996</v>
      </c>
      <c r="BO402" s="148">
        <v>364.01205933019997</v>
      </c>
      <c r="BP402" s="148"/>
      <c r="BQ402" s="148"/>
    </row>
    <row r="403" spans="3:69" s="22" customFormat="1" outlineLevel="1">
      <c r="C403" s="22" t="str">
        <v>Input City</v>
      </c>
      <c r="D403" s="180"/>
      <c r="E403" s="147"/>
      <c r="F403" s="29" t="s">
        <v>119</v>
      </c>
      <c r="G403" s="167">
        <v>17</v>
      </c>
      <c r="H403" s="148">
        <v>17.510000000000002</v>
      </c>
      <c r="I403" s="148">
        <v>17.510000000000002</v>
      </c>
      <c r="J403" s="148">
        <v>17.510000000000002</v>
      </c>
      <c r="K403" s="148">
        <v>17.510000000000002</v>
      </c>
      <c r="L403" s="148">
        <v>17.510000000000002</v>
      </c>
      <c r="M403" s="148">
        <v>17.510000000000002</v>
      </c>
      <c r="N403" s="148">
        <v>17.510000000000002</v>
      </c>
      <c r="O403" s="148">
        <v>17.510000000000002</v>
      </c>
      <c r="P403" s="148">
        <v>18.54</v>
      </c>
      <c r="Q403" s="148">
        <v>18.54</v>
      </c>
      <c r="R403" s="148">
        <v>18.54</v>
      </c>
      <c r="S403" s="148">
        <v>18.54</v>
      </c>
      <c r="T403" s="148">
        <v>19.0962</v>
      </c>
      <c r="U403" s="148">
        <v>19.0962</v>
      </c>
      <c r="V403" s="148">
        <v>19.0962</v>
      </c>
      <c r="W403" s="148">
        <v>19.0962</v>
      </c>
      <c r="X403" s="148">
        <v>19.0962</v>
      </c>
      <c r="Y403" s="148">
        <v>19.0962</v>
      </c>
      <c r="Z403" s="148">
        <v>19.0962</v>
      </c>
      <c r="AA403" s="148">
        <v>19.0962</v>
      </c>
      <c r="AB403" s="148">
        <v>19.0962</v>
      </c>
      <c r="AC403" s="148">
        <v>19.0962</v>
      </c>
      <c r="AD403" s="148">
        <v>19.0962</v>
      </c>
      <c r="AE403" s="148">
        <v>19.0962</v>
      </c>
      <c r="AF403" s="148">
        <v>19.669086</v>
      </c>
      <c r="AG403" s="148">
        <v>19.669086</v>
      </c>
      <c r="AH403" s="148">
        <v>19.669086</v>
      </c>
      <c r="AI403" s="148">
        <v>19.669086</v>
      </c>
      <c r="AJ403" s="148">
        <v>19.669086</v>
      </c>
      <c r="AK403" s="148">
        <v>19.669086</v>
      </c>
      <c r="AL403" s="148">
        <v>19.669086</v>
      </c>
      <c r="AM403" s="148">
        <v>19.669086</v>
      </c>
      <c r="AN403" s="148">
        <v>19.669086</v>
      </c>
      <c r="AO403" s="148">
        <v>19.669086</v>
      </c>
      <c r="AP403" s="148">
        <v>20.761813</v>
      </c>
      <c r="AQ403" s="148">
        <v>20.761813</v>
      </c>
      <c r="AR403" s="148">
        <v>21.384667389999997</v>
      </c>
      <c r="AS403" s="148">
        <v>21.384667389999997</v>
      </c>
      <c r="AT403" s="148">
        <v>21.384667389999997</v>
      </c>
      <c r="AU403" s="148">
        <v>21.384667389999997</v>
      </c>
      <c r="AV403" s="148">
        <v>21.384667389999997</v>
      </c>
      <c r="AW403" s="148">
        <v>21.384667389999997</v>
      </c>
      <c r="AX403" s="148">
        <v>21.384667389999997</v>
      </c>
      <c r="AY403" s="148">
        <v>21.384667389999997</v>
      </c>
      <c r="AZ403" s="148">
        <v>21.384667389999997</v>
      </c>
      <c r="BA403" s="148">
        <v>21.384667389999997</v>
      </c>
      <c r="BB403" s="148">
        <v>21.384667389999997</v>
      </c>
      <c r="BC403" s="148">
        <v>21.384667389999997</v>
      </c>
      <c r="BD403" s="148">
        <v>22.026207411699996</v>
      </c>
      <c r="BE403" s="148">
        <v>22.026207411699996</v>
      </c>
      <c r="BF403" s="148">
        <v>22.026207411699996</v>
      </c>
      <c r="BG403" s="148">
        <v>22.026207411699996</v>
      </c>
      <c r="BH403" s="148">
        <v>22.026207411699996</v>
      </c>
      <c r="BI403" s="148">
        <v>22.026207411699996</v>
      </c>
      <c r="BJ403" s="148">
        <v>22.026207411699996</v>
      </c>
      <c r="BK403" s="148">
        <v>22.026207411699996</v>
      </c>
      <c r="BL403" s="148">
        <v>22.026207411699996</v>
      </c>
      <c r="BM403" s="148">
        <v>22.026207411699996</v>
      </c>
      <c r="BN403" s="148">
        <v>22.026207411699996</v>
      </c>
      <c r="BO403" s="148">
        <v>22.026207411699996</v>
      </c>
      <c r="BP403" s="148"/>
      <c r="BQ403" s="148"/>
    </row>
    <row r="404" spans="3:69" s="22" customFormat="1" outlineLevel="1">
      <c r="C404" s="22" t="str">
        <v>Junction Core</v>
      </c>
      <c r="D404" s="180"/>
      <c r="E404" s="147"/>
      <c r="F404" s="29" t="s">
        <v>119</v>
      </c>
      <c r="G404" s="167">
        <v>8</v>
      </c>
      <c r="H404" s="148">
        <v>8.24</v>
      </c>
      <c r="I404" s="148">
        <v>8.24</v>
      </c>
      <c r="J404" s="148">
        <v>8.24</v>
      </c>
      <c r="K404" s="148">
        <v>8.24</v>
      </c>
      <c r="L404" s="148">
        <v>8.24</v>
      </c>
      <c r="M404" s="148">
        <v>8.24</v>
      </c>
      <c r="N404" s="148">
        <v>8.24</v>
      </c>
      <c r="O404" s="148">
        <v>8.24</v>
      </c>
      <c r="P404" s="148">
        <v>8.24</v>
      </c>
      <c r="Q404" s="148">
        <v>9.27</v>
      </c>
      <c r="R404" s="148">
        <v>9.27</v>
      </c>
      <c r="S404" s="148">
        <v>9.27</v>
      </c>
      <c r="T404" s="148">
        <v>9.5480999999999998</v>
      </c>
      <c r="U404" s="148">
        <v>9.5480999999999998</v>
      </c>
      <c r="V404" s="148">
        <v>9.5480999999999998</v>
      </c>
      <c r="W404" s="148">
        <v>9.5480999999999998</v>
      </c>
      <c r="X404" s="148">
        <v>9.5480999999999998</v>
      </c>
      <c r="Y404" s="148">
        <v>9.5480999999999998</v>
      </c>
      <c r="Z404" s="148">
        <v>9.5480999999999998</v>
      </c>
      <c r="AA404" s="148">
        <v>9.5480999999999998</v>
      </c>
      <c r="AB404" s="148">
        <v>9.5480999999999998</v>
      </c>
      <c r="AC404" s="148">
        <v>9.5480999999999998</v>
      </c>
      <c r="AD404" s="148">
        <v>9.5480999999999998</v>
      </c>
      <c r="AE404" s="148">
        <v>9.5480999999999998</v>
      </c>
      <c r="AF404" s="148">
        <v>9.834543</v>
      </c>
      <c r="AG404" s="148">
        <v>9.834543</v>
      </c>
      <c r="AH404" s="148">
        <v>9.834543</v>
      </c>
      <c r="AI404" s="148">
        <v>9.834543</v>
      </c>
      <c r="AJ404" s="148">
        <v>9.834543</v>
      </c>
      <c r="AK404" s="148">
        <v>9.834543</v>
      </c>
      <c r="AL404" s="148">
        <v>9.834543</v>
      </c>
      <c r="AM404" s="148">
        <v>9.834543</v>
      </c>
      <c r="AN404" s="148">
        <v>9.834543</v>
      </c>
      <c r="AO404" s="148">
        <v>9.834543</v>
      </c>
      <c r="AP404" s="148">
        <v>9.834543</v>
      </c>
      <c r="AQ404" s="148">
        <v>10.92727</v>
      </c>
      <c r="AR404" s="148">
        <v>11.255088099999998</v>
      </c>
      <c r="AS404" s="148">
        <v>11.255088099999998</v>
      </c>
      <c r="AT404" s="148">
        <v>11.255088099999998</v>
      </c>
      <c r="AU404" s="148">
        <v>11.255088099999998</v>
      </c>
      <c r="AV404" s="148">
        <v>11.255088099999998</v>
      </c>
      <c r="AW404" s="148">
        <v>11.255088099999998</v>
      </c>
      <c r="AX404" s="148">
        <v>11.255088099999998</v>
      </c>
      <c r="AY404" s="148">
        <v>11.255088099999998</v>
      </c>
      <c r="AZ404" s="148">
        <v>11.255088099999998</v>
      </c>
      <c r="BA404" s="148">
        <v>11.255088099999998</v>
      </c>
      <c r="BB404" s="148">
        <v>11.255088099999998</v>
      </c>
      <c r="BC404" s="148">
        <v>11.255088099999998</v>
      </c>
      <c r="BD404" s="148">
        <v>11.592740742999998</v>
      </c>
      <c r="BE404" s="148">
        <v>11.592740742999998</v>
      </c>
      <c r="BF404" s="148">
        <v>11.592740742999998</v>
      </c>
      <c r="BG404" s="148">
        <v>11.592740742999998</v>
      </c>
      <c r="BH404" s="148">
        <v>11.592740742999998</v>
      </c>
      <c r="BI404" s="148">
        <v>11.592740742999998</v>
      </c>
      <c r="BJ404" s="148">
        <v>11.592740742999998</v>
      </c>
      <c r="BK404" s="148">
        <v>11.592740742999998</v>
      </c>
      <c r="BL404" s="148">
        <v>11.592740742999998</v>
      </c>
      <c r="BM404" s="148">
        <v>11.592740742999998</v>
      </c>
      <c r="BN404" s="148">
        <v>11.592740742999998</v>
      </c>
      <c r="BO404" s="148">
        <v>11.592740742999998</v>
      </c>
      <c r="BP404" s="148"/>
      <c r="BQ404" s="148"/>
    </row>
    <row r="405" spans="3:69" s="22" customFormat="1" outlineLevel="1">
      <c r="C405" s="22" t="str">
        <v>Kernel Heights</v>
      </c>
      <c r="D405" s="180"/>
      <c r="E405" s="147"/>
      <c r="F405" s="29" t="s">
        <v>119</v>
      </c>
      <c r="G405" s="167">
        <v>3</v>
      </c>
      <c r="H405" s="148">
        <v>3.09</v>
      </c>
      <c r="I405" s="148">
        <v>3.09</v>
      </c>
      <c r="J405" s="148">
        <v>3.09</v>
      </c>
      <c r="K405" s="148">
        <v>3.09</v>
      </c>
      <c r="L405" s="148">
        <v>3.09</v>
      </c>
      <c r="M405" s="148">
        <v>3.09</v>
      </c>
      <c r="N405" s="148">
        <v>3.09</v>
      </c>
      <c r="O405" s="148">
        <v>3.09</v>
      </c>
      <c r="P405" s="148">
        <v>3.09</v>
      </c>
      <c r="Q405" s="148">
        <v>3.09</v>
      </c>
      <c r="R405" s="148">
        <v>4.12</v>
      </c>
      <c r="S405" s="148">
        <v>4.12</v>
      </c>
      <c r="T405" s="148">
        <v>4.2435999999999998</v>
      </c>
      <c r="U405" s="148">
        <v>4.2435999999999998</v>
      </c>
      <c r="V405" s="148">
        <v>4.2435999999999998</v>
      </c>
      <c r="W405" s="148">
        <v>4.2435999999999998</v>
      </c>
      <c r="X405" s="148">
        <v>4.2435999999999998</v>
      </c>
      <c r="Y405" s="148">
        <v>4.2435999999999998</v>
      </c>
      <c r="Z405" s="148">
        <v>4.2435999999999998</v>
      </c>
      <c r="AA405" s="148">
        <v>4.2435999999999998</v>
      </c>
      <c r="AB405" s="148">
        <v>4.2435999999999998</v>
      </c>
      <c r="AC405" s="148">
        <v>4.2435999999999998</v>
      </c>
      <c r="AD405" s="148">
        <v>4.2435999999999998</v>
      </c>
      <c r="AE405" s="148">
        <v>4.2435999999999998</v>
      </c>
      <c r="AF405" s="148">
        <v>4.370908</v>
      </c>
      <c r="AG405" s="148">
        <v>4.370908</v>
      </c>
      <c r="AH405" s="148">
        <v>4.370908</v>
      </c>
      <c r="AI405" s="148">
        <v>4.370908</v>
      </c>
      <c r="AJ405" s="148">
        <v>4.370908</v>
      </c>
      <c r="AK405" s="148">
        <v>4.370908</v>
      </c>
      <c r="AL405" s="148">
        <v>4.370908</v>
      </c>
      <c r="AM405" s="148">
        <v>4.370908</v>
      </c>
      <c r="AN405" s="148">
        <v>4.370908</v>
      </c>
      <c r="AO405" s="148">
        <v>4.370908</v>
      </c>
      <c r="AP405" s="148">
        <v>4.370908</v>
      </c>
      <c r="AQ405" s="148">
        <v>4.370908</v>
      </c>
      <c r="AR405" s="148">
        <v>5.6275440499999991</v>
      </c>
      <c r="AS405" s="148">
        <v>5.6275440499999991</v>
      </c>
      <c r="AT405" s="148">
        <v>5.6275440499999991</v>
      </c>
      <c r="AU405" s="148">
        <v>5.6275440499999991</v>
      </c>
      <c r="AV405" s="148">
        <v>5.6275440499999991</v>
      </c>
      <c r="AW405" s="148">
        <v>5.6275440499999991</v>
      </c>
      <c r="AX405" s="148">
        <v>5.6275440499999991</v>
      </c>
      <c r="AY405" s="148">
        <v>5.6275440499999991</v>
      </c>
      <c r="AZ405" s="148">
        <v>5.6275440499999991</v>
      </c>
      <c r="BA405" s="148">
        <v>5.6275440499999991</v>
      </c>
      <c r="BB405" s="148">
        <v>5.6275440499999991</v>
      </c>
      <c r="BC405" s="148">
        <v>5.6275440499999991</v>
      </c>
      <c r="BD405" s="148">
        <v>5.7963703714999992</v>
      </c>
      <c r="BE405" s="148">
        <v>5.7963703714999992</v>
      </c>
      <c r="BF405" s="148">
        <v>5.7963703714999992</v>
      </c>
      <c r="BG405" s="148">
        <v>5.7963703714999992</v>
      </c>
      <c r="BH405" s="148">
        <v>5.7963703714999992</v>
      </c>
      <c r="BI405" s="148">
        <v>5.7963703714999992</v>
      </c>
      <c r="BJ405" s="148">
        <v>5.7963703714999992</v>
      </c>
      <c r="BK405" s="148">
        <v>5.7963703714999992</v>
      </c>
      <c r="BL405" s="148">
        <v>5.7963703714999992</v>
      </c>
      <c r="BM405" s="148">
        <v>5.7963703714999992</v>
      </c>
      <c r="BN405" s="148">
        <v>5.7963703714999992</v>
      </c>
      <c r="BO405" s="148">
        <v>5.7963703714999992</v>
      </c>
      <c r="BP405" s="148"/>
      <c r="BQ405" s="148"/>
    </row>
    <row r="406" spans="3:69" s="22" customFormat="1" outlineLevel="1">
      <c r="C406" s="22" t="str">
        <v>Logicridge</v>
      </c>
      <c r="D406" s="180"/>
      <c r="E406" s="147"/>
      <c r="F406" s="29" t="s">
        <v>119</v>
      </c>
      <c r="G406" s="167">
        <v>5</v>
      </c>
      <c r="H406" s="148">
        <v>5.15</v>
      </c>
      <c r="I406" s="148">
        <v>5.15</v>
      </c>
      <c r="J406" s="148">
        <v>5.15</v>
      </c>
      <c r="K406" s="148">
        <v>5.15</v>
      </c>
      <c r="L406" s="148">
        <v>5.15</v>
      </c>
      <c r="M406" s="148">
        <v>5.15</v>
      </c>
      <c r="N406" s="148">
        <v>5.15</v>
      </c>
      <c r="O406" s="148">
        <v>5.15</v>
      </c>
      <c r="P406" s="148">
        <v>5.15</v>
      </c>
      <c r="Q406" s="148">
        <v>5.15</v>
      </c>
      <c r="R406" s="148">
        <v>5.15</v>
      </c>
      <c r="S406" s="148">
        <v>6.18</v>
      </c>
      <c r="T406" s="148">
        <v>6.3653999999999993</v>
      </c>
      <c r="U406" s="148">
        <v>6.3653999999999993</v>
      </c>
      <c r="V406" s="148">
        <v>6.3653999999999993</v>
      </c>
      <c r="W406" s="148">
        <v>6.3653999999999993</v>
      </c>
      <c r="X406" s="148">
        <v>6.3653999999999993</v>
      </c>
      <c r="Y406" s="148">
        <v>6.3653999999999993</v>
      </c>
      <c r="Z406" s="148">
        <v>6.3653999999999993</v>
      </c>
      <c r="AA406" s="148">
        <v>6.3653999999999993</v>
      </c>
      <c r="AB406" s="148">
        <v>6.3653999999999993</v>
      </c>
      <c r="AC406" s="148">
        <v>6.3653999999999993</v>
      </c>
      <c r="AD406" s="148">
        <v>6.3653999999999993</v>
      </c>
      <c r="AE406" s="148">
        <v>6.3653999999999993</v>
      </c>
      <c r="AF406" s="148">
        <v>6.556362</v>
      </c>
      <c r="AG406" s="148">
        <v>6.556362</v>
      </c>
      <c r="AH406" s="148">
        <v>6.556362</v>
      </c>
      <c r="AI406" s="148">
        <v>6.556362</v>
      </c>
      <c r="AJ406" s="148">
        <v>6.556362</v>
      </c>
      <c r="AK406" s="148">
        <v>6.556362</v>
      </c>
      <c r="AL406" s="148">
        <v>6.556362</v>
      </c>
      <c r="AM406" s="148">
        <v>6.556362</v>
      </c>
      <c r="AN406" s="148">
        <v>6.556362</v>
      </c>
      <c r="AO406" s="148">
        <v>6.556362</v>
      </c>
      <c r="AP406" s="148">
        <v>6.556362</v>
      </c>
      <c r="AQ406" s="148">
        <v>6.556362</v>
      </c>
      <c r="AR406" s="148">
        <v>6.7530528599999995</v>
      </c>
      <c r="AS406" s="148">
        <v>7.8785616699999999</v>
      </c>
      <c r="AT406" s="148">
        <v>7.8785616699999999</v>
      </c>
      <c r="AU406" s="148">
        <v>7.8785616699999999</v>
      </c>
      <c r="AV406" s="148">
        <v>7.8785616699999999</v>
      </c>
      <c r="AW406" s="148">
        <v>7.8785616699999999</v>
      </c>
      <c r="AX406" s="148">
        <v>7.8785616699999999</v>
      </c>
      <c r="AY406" s="148">
        <v>7.8785616699999999</v>
      </c>
      <c r="AZ406" s="148">
        <v>7.8785616699999999</v>
      </c>
      <c r="BA406" s="148">
        <v>7.8785616699999999</v>
      </c>
      <c r="BB406" s="148">
        <v>7.8785616699999999</v>
      </c>
      <c r="BC406" s="148">
        <v>7.8785616699999999</v>
      </c>
      <c r="BD406" s="148">
        <v>8.114918520099998</v>
      </c>
      <c r="BE406" s="148">
        <v>8.114918520099998</v>
      </c>
      <c r="BF406" s="148">
        <v>8.114918520099998</v>
      </c>
      <c r="BG406" s="148">
        <v>8.114918520099998</v>
      </c>
      <c r="BH406" s="148">
        <v>8.114918520099998</v>
      </c>
      <c r="BI406" s="148">
        <v>8.114918520099998</v>
      </c>
      <c r="BJ406" s="148">
        <v>8.114918520099998</v>
      </c>
      <c r="BK406" s="148">
        <v>8.114918520099998</v>
      </c>
      <c r="BL406" s="148">
        <v>8.114918520099998</v>
      </c>
      <c r="BM406" s="148">
        <v>8.114918520099998</v>
      </c>
      <c r="BN406" s="148">
        <v>8.114918520099998</v>
      </c>
      <c r="BO406" s="148">
        <v>8.114918520099998</v>
      </c>
      <c r="BP406" s="148"/>
      <c r="BQ406" s="148"/>
    </row>
    <row r="407" spans="3:69" s="22" customFormat="1" outlineLevel="1">
      <c r="C407" s="22" t="str">
        <v>Megahub</v>
      </c>
      <c r="D407" s="180"/>
      <c r="E407" s="147"/>
      <c r="F407" s="29" t="s">
        <v>119</v>
      </c>
      <c r="G407" s="167">
        <v>1</v>
      </c>
      <c r="H407" s="148">
        <v>1.03</v>
      </c>
      <c r="I407" s="148">
        <v>1.03</v>
      </c>
      <c r="J407" s="148">
        <v>1.03</v>
      </c>
      <c r="K407" s="148">
        <v>1.03</v>
      </c>
      <c r="L407" s="148">
        <v>1.03</v>
      </c>
      <c r="M407" s="148">
        <v>1.03</v>
      </c>
      <c r="N407" s="148">
        <v>1.03</v>
      </c>
      <c r="O407" s="148">
        <v>1.03</v>
      </c>
      <c r="P407" s="148">
        <v>1.03</v>
      </c>
      <c r="Q407" s="148">
        <v>1.03</v>
      </c>
      <c r="R407" s="148">
        <v>1.03</v>
      </c>
      <c r="S407" s="148">
        <v>1.03</v>
      </c>
      <c r="T407" s="148">
        <v>2.1217999999999999</v>
      </c>
      <c r="U407" s="148">
        <v>2.1217999999999999</v>
      </c>
      <c r="V407" s="148">
        <v>2.1217999999999999</v>
      </c>
      <c r="W407" s="148">
        <v>2.1217999999999999</v>
      </c>
      <c r="X407" s="148">
        <v>2.1217999999999999</v>
      </c>
      <c r="Y407" s="148">
        <v>2.1217999999999999</v>
      </c>
      <c r="Z407" s="148">
        <v>2.1217999999999999</v>
      </c>
      <c r="AA407" s="148">
        <v>2.1217999999999999</v>
      </c>
      <c r="AB407" s="148">
        <v>2.1217999999999999</v>
      </c>
      <c r="AC407" s="148">
        <v>2.1217999999999999</v>
      </c>
      <c r="AD407" s="148">
        <v>2.1217999999999999</v>
      </c>
      <c r="AE407" s="148">
        <v>2.1217999999999999</v>
      </c>
      <c r="AF407" s="148">
        <v>2.185454</v>
      </c>
      <c r="AG407" s="148">
        <v>2.185454</v>
      </c>
      <c r="AH407" s="148">
        <v>2.185454</v>
      </c>
      <c r="AI407" s="148">
        <v>2.185454</v>
      </c>
      <c r="AJ407" s="148">
        <v>2.185454</v>
      </c>
      <c r="AK407" s="148">
        <v>2.185454</v>
      </c>
      <c r="AL407" s="148">
        <v>2.185454</v>
      </c>
      <c r="AM407" s="148">
        <v>2.185454</v>
      </c>
      <c r="AN407" s="148">
        <v>2.185454</v>
      </c>
      <c r="AO407" s="148">
        <v>2.185454</v>
      </c>
      <c r="AP407" s="148">
        <v>2.185454</v>
      </c>
      <c r="AQ407" s="148">
        <v>2.185454</v>
      </c>
      <c r="AR407" s="148">
        <v>2.2510176199999998</v>
      </c>
      <c r="AS407" s="148">
        <v>2.2510176199999998</v>
      </c>
      <c r="AT407" s="148">
        <v>3.3765264299999997</v>
      </c>
      <c r="AU407" s="148">
        <v>3.3765264299999997</v>
      </c>
      <c r="AV407" s="148">
        <v>3.3765264299999997</v>
      </c>
      <c r="AW407" s="148">
        <v>3.3765264299999997</v>
      </c>
      <c r="AX407" s="148">
        <v>3.3765264299999997</v>
      </c>
      <c r="AY407" s="148">
        <v>3.3765264299999997</v>
      </c>
      <c r="AZ407" s="148">
        <v>3.3765264299999997</v>
      </c>
      <c r="BA407" s="148">
        <v>3.3765264299999997</v>
      </c>
      <c r="BB407" s="148">
        <v>3.3765264299999997</v>
      </c>
      <c r="BC407" s="148">
        <v>3.3765264299999997</v>
      </c>
      <c r="BD407" s="148">
        <v>3.4778222228999995</v>
      </c>
      <c r="BE407" s="148">
        <v>3.4778222228999995</v>
      </c>
      <c r="BF407" s="148">
        <v>3.4778222228999995</v>
      </c>
      <c r="BG407" s="148">
        <v>3.4778222228999995</v>
      </c>
      <c r="BH407" s="148">
        <v>3.4778222228999995</v>
      </c>
      <c r="BI407" s="148">
        <v>3.4778222228999995</v>
      </c>
      <c r="BJ407" s="148">
        <v>3.4778222228999995</v>
      </c>
      <c r="BK407" s="148">
        <v>3.4778222228999995</v>
      </c>
      <c r="BL407" s="148">
        <v>3.4778222228999995</v>
      </c>
      <c r="BM407" s="148">
        <v>3.4778222228999995</v>
      </c>
      <c r="BN407" s="148">
        <v>3.4778222228999995</v>
      </c>
      <c r="BO407" s="148">
        <v>3.4778222228999995</v>
      </c>
      <c r="BP407" s="148"/>
      <c r="BQ407" s="148"/>
    </row>
    <row r="408" spans="3:69" s="22" customFormat="1" outlineLevel="1">
      <c r="C408" s="22" t="str">
        <v>Nodeline</v>
      </c>
      <c r="D408" s="180"/>
      <c r="E408" s="147"/>
      <c r="F408" s="29" t="s">
        <v>119</v>
      </c>
      <c r="G408" s="167">
        <v>7</v>
      </c>
      <c r="H408" s="148">
        <v>7.21</v>
      </c>
      <c r="I408" s="148">
        <v>7.21</v>
      </c>
      <c r="J408" s="148">
        <v>7.21</v>
      </c>
      <c r="K408" s="148">
        <v>7.21</v>
      </c>
      <c r="L408" s="148">
        <v>7.21</v>
      </c>
      <c r="M408" s="148">
        <v>7.21</v>
      </c>
      <c r="N408" s="148">
        <v>7.21</v>
      </c>
      <c r="O408" s="148">
        <v>7.21</v>
      </c>
      <c r="P408" s="148">
        <v>7.21</v>
      </c>
      <c r="Q408" s="148">
        <v>7.21</v>
      </c>
      <c r="R408" s="148">
        <v>7.21</v>
      </c>
      <c r="S408" s="148">
        <v>7.21</v>
      </c>
      <c r="T408" s="148">
        <v>7.4262999999999995</v>
      </c>
      <c r="U408" s="148">
        <v>8.4871999999999996</v>
      </c>
      <c r="V408" s="148">
        <v>8.4871999999999996</v>
      </c>
      <c r="W408" s="148">
        <v>8.4871999999999996</v>
      </c>
      <c r="X408" s="148">
        <v>8.4871999999999996</v>
      </c>
      <c r="Y408" s="148">
        <v>8.4871999999999996</v>
      </c>
      <c r="Z408" s="148">
        <v>8.4871999999999996</v>
      </c>
      <c r="AA408" s="148">
        <v>8.4871999999999996</v>
      </c>
      <c r="AB408" s="148">
        <v>8.4871999999999996</v>
      </c>
      <c r="AC408" s="148">
        <v>8.4871999999999996</v>
      </c>
      <c r="AD408" s="148">
        <v>8.4871999999999996</v>
      </c>
      <c r="AE408" s="148">
        <v>8.4871999999999996</v>
      </c>
      <c r="AF408" s="148">
        <v>8.741816</v>
      </c>
      <c r="AG408" s="148">
        <v>8.741816</v>
      </c>
      <c r="AH408" s="148">
        <v>8.741816</v>
      </c>
      <c r="AI408" s="148">
        <v>8.741816</v>
      </c>
      <c r="AJ408" s="148">
        <v>8.741816</v>
      </c>
      <c r="AK408" s="148">
        <v>8.741816</v>
      </c>
      <c r="AL408" s="148">
        <v>8.741816</v>
      </c>
      <c r="AM408" s="148">
        <v>8.741816</v>
      </c>
      <c r="AN408" s="148">
        <v>8.741816</v>
      </c>
      <c r="AO408" s="148">
        <v>8.741816</v>
      </c>
      <c r="AP408" s="148">
        <v>8.741816</v>
      </c>
      <c r="AQ408" s="148">
        <v>8.741816</v>
      </c>
      <c r="AR408" s="148">
        <v>9.0040704799999993</v>
      </c>
      <c r="AS408" s="148">
        <v>9.0040704799999993</v>
      </c>
      <c r="AT408" s="148">
        <v>9.0040704799999993</v>
      </c>
      <c r="AU408" s="148">
        <v>10.129579289999999</v>
      </c>
      <c r="AV408" s="148">
        <v>10.129579289999999</v>
      </c>
      <c r="AW408" s="148">
        <v>10.129579289999999</v>
      </c>
      <c r="AX408" s="148">
        <v>10.129579289999999</v>
      </c>
      <c r="AY408" s="148">
        <v>10.129579289999999</v>
      </c>
      <c r="AZ408" s="148">
        <v>10.129579289999999</v>
      </c>
      <c r="BA408" s="148">
        <v>10.129579289999999</v>
      </c>
      <c r="BB408" s="148">
        <v>10.129579289999999</v>
      </c>
      <c r="BC408" s="148">
        <v>10.129579289999999</v>
      </c>
      <c r="BD408" s="148">
        <v>10.4334666687</v>
      </c>
      <c r="BE408" s="148">
        <v>10.4334666687</v>
      </c>
      <c r="BF408" s="148">
        <v>10.4334666687</v>
      </c>
      <c r="BG408" s="148">
        <v>10.4334666687</v>
      </c>
      <c r="BH408" s="148">
        <v>10.4334666687</v>
      </c>
      <c r="BI408" s="148">
        <v>10.4334666687</v>
      </c>
      <c r="BJ408" s="148">
        <v>10.4334666687</v>
      </c>
      <c r="BK408" s="148">
        <v>10.4334666687</v>
      </c>
      <c r="BL408" s="148">
        <v>10.4334666687</v>
      </c>
      <c r="BM408" s="148">
        <v>10.4334666687</v>
      </c>
      <c r="BN408" s="148">
        <v>10.4334666687</v>
      </c>
      <c r="BO408" s="148">
        <v>10.4334666687</v>
      </c>
      <c r="BP408" s="148"/>
      <c r="BQ408" s="148"/>
    </row>
    <row r="409" spans="3:69" s="22" customFormat="1" outlineLevel="1">
      <c r="C409" s="22" t="str">
        <v>Overclock Oasis</v>
      </c>
      <c r="D409" s="180"/>
      <c r="E409" s="147"/>
      <c r="F409" s="29" t="s">
        <v>119</v>
      </c>
      <c r="G409" s="167">
        <v>51</v>
      </c>
      <c r="H409" s="148">
        <v>52.53</v>
      </c>
      <c r="I409" s="148">
        <v>52.53</v>
      </c>
      <c r="J409" s="148">
        <v>52.53</v>
      </c>
      <c r="K409" s="148">
        <v>52.53</v>
      </c>
      <c r="L409" s="148">
        <v>52.53</v>
      </c>
      <c r="M409" s="148">
        <v>52.53</v>
      </c>
      <c r="N409" s="148">
        <v>52.53</v>
      </c>
      <c r="O409" s="148">
        <v>52.53</v>
      </c>
      <c r="P409" s="148">
        <v>52.53</v>
      </c>
      <c r="Q409" s="148">
        <v>52.53</v>
      </c>
      <c r="R409" s="148">
        <v>52.53</v>
      </c>
      <c r="S409" s="148">
        <v>52.53</v>
      </c>
      <c r="T409" s="148">
        <v>54.105899999999998</v>
      </c>
      <c r="U409" s="148">
        <v>54.105899999999998</v>
      </c>
      <c r="V409" s="148">
        <v>55.166799999999995</v>
      </c>
      <c r="W409" s="148">
        <v>55.166799999999995</v>
      </c>
      <c r="X409" s="148">
        <v>55.166799999999995</v>
      </c>
      <c r="Y409" s="148">
        <v>55.166799999999995</v>
      </c>
      <c r="Z409" s="148">
        <v>55.166799999999995</v>
      </c>
      <c r="AA409" s="148">
        <v>55.166799999999995</v>
      </c>
      <c r="AB409" s="148">
        <v>55.166799999999995</v>
      </c>
      <c r="AC409" s="148">
        <v>55.166799999999995</v>
      </c>
      <c r="AD409" s="148">
        <v>55.166799999999995</v>
      </c>
      <c r="AE409" s="148">
        <v>55.166799999999995</v>
      </c>
      <c r="AF409" s="148">
        <v>56.821804</v>
      </c>
      <c r="AG409" s="148">
        <v>56.821804</v>
      </c>
      <c r="AH409" s="148">
        <v>56.821804</v>
      </c>
      <c r="AI409" s="148">
        <v>56.821804</v>
      </c>
      <c r="AJ409" s="148">
        <v>56.821804</v>
      </c>
      <c r="AK409" s="148">
        <v>56.821804</v>
      </c>
      <c r="AL409" s="148">
        <v>56.821804</v>
      </c>
      <c r="AM409" s="148">
        <v>56.821804</v>
      </c>
      <c r="AN409" s="148">
        <v>56.821804</v>
      </c>
      <c r="AO409" s="148">
        <v>56.821804</v>
      </c>
      <c r="AP409" s="148">
        <v>56.821804</v>
      </c>
      <c r="AQ409" s="148">
        <v>56.821804</v>
      </c>
      <c r="AR409" s="148">
        <v>58.526458119999994</v>
      </c>
      <c r="AS409" s="148">
        <v>58.526458119999994</v>
      </c>
      <c r="AT409" s="148">
        <v>58.526458119999994</v>
      </c>
      <c r="AU409" s="148">
        <v>58.526458119999994</v>
      </c>
      <c r="AV409" s="148">
        <v>59.651966929999993</v>
      </c>
      <c r="AW409" s="148">
        <v>59.651966929999993</v>
      </c>
      <c r="AX409" s="148">
        <v>59.651966929999993</v>
      </c>
      <c r="AY409" s="148">
        <v>59.651966929999993</v>
      </c>
      <c r="AZ409" s="148">
        <v>59.651966929999993</v>
      </c>
      <c r="BA409" s="148">
        <v>59.651966929999993</v>
      </c>
      <c r="BB409" s="148">
        <v>59.651966929999993</v>
      </c>
      <c r="BC409" s="148">
        <v>59.651966929999993</v>
      </c>
      <c r="BD409" s="148">
        <v>61.441525937899989</v>
      </c>
      <c r="BE409" s="148">
        <v>61.441525937899989</v>
      </c>
      <c r="BF409" s="148">
        <v>61.441525937899989</v>
      </c>
      <c r="BG409" s="148">
        <v>61.441525937899989</v>
      </c>
      <c r="BH409" s="148">
        <v>61.441525937899989</v>
      </c>
      <c r="BI409" s="148">
        <v>61.441525937899989</v>
      </c>
      <c r="BJ409" s="148">
        <v>61.441525937899989</v>
      </c>
      <c r="BK409" s="148">
        <v>61.441525937899989</v>
      </c>
      <c r="BL409" s="148">
        <v>61.441525937899989</v>
      </c>
      <c r="BM409" s="148">
        <v>61.441525937899989</v>
      </c>
      <c r="BN409" s="148">
        <v>61.441525937899989</v>
      </c>
      <c r="BO409" s="148">
        <v>61.441525937899989</v>
      </c>
      <c r="BP409" s="148"/>
      <c r="BQ409" s="148"/>
    </row>
    <row r="410" spans="3:69" s="22" customFormat="1" outlineLevel="1">
      <c r="C410" s="22" t="str">
        <v>Pingborough</v>
      </c>
      <c r="D410" s="180"/>
      <c r="E410" s="147"/>
      <c r="F410" s="29" t="s">
        <v>119</v>
      </c>
      <c r="G410" s="167">
        <v>3</v>
      </c>
      <c r="H410" s="148">
        <v>3.09</v>
      </c>
      <c r="I410" s="148">
        <v>3.09</v>
      </c>
      <c r="J410" s="148">
        <v>3.09</v>
      </c>
      <c r="K410" s="148">
        <v>3.09</v>
      </c>
      <c r="L410" s="148">
        <v>3.09</v>
      </c>
      <c r="M410" s="148">
        <v>3.09</v>
      </c>
      <c r="N410" s="148">
        <v>3.09</v>
      </c>
      <c r="O410" s="148">
        <v>3.09</v>
      </c>
      <c r="P410" s="148">
        <v>3.09</v>
      </c>
      <c r="Q410" s="148">
        <v>3.09</v>
      </c>
      <c r="R410" s="148">
        <v>3.09</v>
      </c>
      <c r="S410" s="148">
        <v>3.09</v>
      </c>
      <c r="T410" s="148">
        <v>3.1826999999999996</v>
      </c>
      <c r="U410" s="148">
        <v>3.1826999999999996</v>
      </c>
      <c r="V410" s="148">
        <v>3.1826999999999996</v>
      </c>
      <c r="W410" s="148">
        <v>4.2435999999999998</v>
      </c>
      <c r="X410" s="148">
        <v>4.2435999999999998</v>
      </c>
      <c r="Y410" s="148">
        <v>4.2435999999999998</v>
      </c>
      <c r="Z410" s="148">
        <v>4.2435999999999998</v>
      </c>
      <c r="AA410" s="148">
        <v>4.2435999999999998</v>
      </c>
      <c r="AB410" s="148">
        <v>4.2435999999999998</v>
      </c>
      <c r="AC410" s="148">
        <v>4.2435999999999998</v>
      </c>
      <c r="AD410" s="148">
        <v>4.2435999999999998</v>
      </c>
      <c r="AE410" s="148">
        <v>4.2435999999999998</v>
      </c>
      <c r="AF410" s="148">
        <v>4.370908</v>
      </c>
      <c r="AG410" s="148">
        <v>4.370908</v>
      </c>
      <c r="AH410" s="148">
        <v>4.370908</v>
      </c>
      <c r="AI410" s="148">
        <v>4.370908</v>
      </c>
      <c r="AJ410" s="148">
        <v>4.370908</v>
      </c>
      <c r="AK410" s="148">
        <v>4.370908</v>
      </c>
      <c r="AL410" s="148">
        <v>4.370908</v>
      </c>
      <c r="AM410" s="148">
        <v>4.370908</v>
      </c>
      <c r="AN410" s="148">
        <v>4.370908</v>
      </c>
      <c r="AO410" s="148">
        <v>4.370908</v>
      </c>
      <c r="AP410" s="148">
        <v>4.370908</v>
      </c>
      <c r="AQ410" s="148">
        <v>4.370908</v>
      </c>
      <c r="AR410" s="148">
        <v>4.5020352399999997</v>
      </c>
      <c r="AS410" s="148">
        <v>4.5020352399999997</v>
      </c>
      <c r="AT410" s="148">
        <v>4.5020352399999997</v>
      </c>
      <c r="AU410" s="148">
        <v>4.5020352399999997</v>
      </c>
      <c r="AV410" s="148">
        <v>4.5020352399999997</v>
      </c>
      <c r="AW410" s="148">
        <v>5.6275440499999991</v>
      </c>
      <c r="AX410" s="148">
        <v>5.6275440499999991</v>
      </c>
      <c r="AY410" s="148">
        <v>5.6275440499999991</v>
      </c>
      <c r="AZ410" s="148">
        <v>5.6275440499999991</v>
      </c>
      <c r="BA410" s="148">
        <v>5.6275440499999991</v>
      </c>
      <c r="BB410" s="148">
        <v>5.6275440499999991</v>
      </c>
      <c r="BC410" s="148">
        <v>5.6275440499999991</v>
      </c>
      <c r="BD410" s="148">
        <v>5.7963703714999992</v>
      </c>
      <c r="BE410" s="148">
        <v>5.7963703714999992</v>
      </c>
      <c r="BF410" s="148">
        <v>5.7963703714999992</v>
      </c>
      <c r="BG410" s="148">
        <v>5.7963703714999992</v>
      </c>
      <c r="BH410" s="148">
        <v>5.7963703714999992</v>
      </c>
      <c r="BI410" s="148">
        <v>5.7963703714999992</v>
      </c>
      <c r="BJ410" s="148">
        <v>5.7963703714999992</v>
      </c>
      <c r="BK410" s="148">
        <v>5.7963703714999992</v>
      </c>
      <c r="BL410" s="148">
        <v>5.7963703714999992</v>
      </c>
      <c r="BM410" s="148">
        <v>5.7963703714999992</v>
      </c>
      <c r="BN410" s="148">
        <v>5.7963703714999992</v>
      </c>
      <c r="BO410" s="148">
        <v>5.7963703714999992</v>
      </c>
      <c r="BP410" s="148"/>
      <c r="BQ410" s="148"/>
    </row>
    <row r="411" spans="3:69" s="22" customFormat="1" outlineLevel="1">
      <c r="C411" s="22" t="str">
        <v>Quantum Quay</v>
      </c>
      <c r="D411" s="180"/>
      <c r="E411" s="147"/>
      <c r="F411" s="29" t="s">
        <v>119</v>
      </c>
      <c r="G411" s="167">
        <v>8</v>
      </c>
      <c r="H411" s="148">
        <v>8.24</v>
      </c>
      <c r="I411" s="148">
        <v>8.24</v>
      </c>
      <c r="J411" s="148">
        <v>8.24</v>
      </c>
      <c r="K411" s="148">
        <v>8.24</v>
      </c>
      <c r="L411" s="148">
        <v>8.24</v>
      </c>
      <c r="M411" s="148">
        <v>8.24</v>
      </c>
      <c r="N411" s="148">
        <v>8.24</v>
      </c>
      <c r="O411" s="148">
        <v>8.24</v>
      </c>
      <c r="P411" s="148">
        <v>8.24</v>
      </c>
      <c r="Q411" s="148">
        <v>8.24</v>
      </c>
      <c r="R411" s="148">
        <v>8.24</v>
      </c>
      <c r="S411" s="148">
        <v>8.24</v>
      </c>
      <c r="T411" s="148">
        <v>8.4871999999999996</v>
      </c>
      <c r="U411" s="148">
        <v>8.4871999999999996</v>
      </c>
      <c r="V411" s="148">
        <v>8.4871999999999996</v>
      </c>
      <c r="W411" s="148">
        <v>8.4871999999999996</v>
      </c>
      <c r="X411" s="148">
        <v>9.5480999999999998</v>
      </c>
      <c r="Y411" s="148">
        <v>9.5480999999999998</v>
      </c>
      <c r="Z411" s="148">
        <v>9.5480999999999998</v>
      </c>
      <c r="AA411" s="148">
        <v>9.5480999999999998</v>
      </c>
      <c r="AB411" s="148">
        <v>9.5480999999999998</v>
      </c>
      <c r="AC411" s="148">
        <v>9.5480999999999998</v>
      </c>
      <c r="AD411" s="148">
        <v>9.5480999999999998</v>
      </c>
      <c r="AE411" s="148">
        <v>9.5480999999999998</v>
      </c>
      <c r="AF411" s="148">
        <v>9.834543</v>
      </c>
      <c r="AG411" s="148">
        <v>9.834543</v>
      </c>
      <c r="AH411" s="148">
        <v>9.834543</v>
      </c>
      <c r="AI411" s="148">
        <v>9.834543</v>
      </c>
      <c r="AJ411" s="148">
        <v>9.834543</v>
      </c>
      <c r="AK411" s="148">
        <v>9.834543</v>
      </c>
      <c r="AL411" s="148">
        <v>9.834543</v>
      </c>
      <c r="AM411" s="148">
        <v>9.834543</v>
      </c>
      <c r="AN411" s="148">
        <v>9.834543</v>
      </c>
      <c r="AO411" s="148">
        <v>9.834543</v>
      </c>
      <c r="AP411" s="148">
        <v>9.834543</v>
      </c>
      <c r="AQ411" s="148">
        <v>9.834543</v>
      </c>
      <c r="AR411" s="148">
        <v>10.129579289999999</v>
      </c>
      <c r="AS411" s="148">
        <v>10.129579289999999</v>
      </c>
      <c r="AT411" s="148">
        <v>10.129579289999999</v>
      </c>
      <c r="AU411" s="148">
        <v>10.129579289999999</v>
      </c>
      <c r="AV411" s="148">
        <v>10.129579289999999</v>
      </c>
      <c r="AW411" s="148">
        <v>10.129579289999999</v>
      </c>
      <c r="AX411" s="148">
        <v>11.255088099999998</v>
      </c>
      <c r="AY411" s="148">
        <v>11.255088099999998</v>
      </c>
      <c r="AZ411" s="148">
        <v>11.255088099999998</v>
      </c>
      <c r="BA411" s="148">
        <v>11.255088099999998</v>
      </c>
      <c r="BB411" s="148">
        <v>11.255088099999998</v>
      </c>
      <c r="BC411" s="148">
        <v>11.255088099999998</v>
      </c>
      <c r="BD411" s="148">
        <v>11.592740742999998</v>
      </c>
      <c r="BE411" s="148">
        <v>11.592740742999998</v>
      </c>
      <c r="BF411" s="148">
        <v>11.592740742999998</v>
      </c>
      <c r="BG411" s="148">
        <v>11.592740742999998</v>
      </c>
      <c r="BH411" s="148">
        <v>11.592740742999998</v>
      </c>
      <c r="BI411" s="148">
        <v>11.592740742999998</v>
      </c>
      <c r="BJ411" s="148">
        <v>11.592740742999998</v>
      </c>
      <c r="BK411" s="148">
        <v>11.592740742999998</v>
      </c>
      <c r="BL411" s="148">
        <v>11.592740742999998</v>
      </c>
      <c r="BM411" s="148">
        <v>11.592740742999998</v>
      </c>
      <c r="BN411" s="148">
        <v>11.592740742999998</v>
      </c>
      <c r="BO411" s="148">
        <v>11.592740742999998</v>
      </c>
      <c r="BP411" s="148"/>
      <c r="BQ411" s="148"/>
    </row>
    <row r="412" spans="3:69" s="22" customFormat="1" outlineLevel="1">
      <c r="C412" s="22" t="str">
        <v>Renderburg</v>
      </c>
      <c r="D412" s="180"/>
      <c r="E412" s="147"/>
      <c r="F412" s="29" t="s">
        <v>119</v>
      </c>
      <c r="G412" s="167">
        <v>187</v>
      </c>
      <c r="H412" s="148">
        <v>192.61</v>
      </c>
      <c r="I412" s="148">
        <v>192.61</v>
      </c>
      <c r="J412" s="148">
        <v>192.61</v>
      </c>
      <c r="K412" s="148">
        <v>192.61</v>
      </c>
      <c r="L412" s="148">
        <v>192.61</v>
      </c>
      <c r="M412" s="148">
        <v>192.61</v>
      </c>
      <c r="N412" s="148">
        <v>192.61</v>
      </c>
      <c r="O412" s="148">
        <v>192.61</v>
      </c>
      <c r="P412" s="148">
        <v>192.61</v>
      </c>
      <c r="Q412" s="148">
        <v>192.61</v>
      </c>
      <c r="R412" s="148">
        <v>192.61</v>
      </c>
      <c r="S412" s="148">
        <v>192.61</v>
      </c>
      <c r="T412" s="148">
        <v>198.38829999999999</v>
      </c>
      <c r="U412" s="148">
        <v>198.38829999999999</v>
      </c>
      <c r="V412" s="148">
        <v>198.38829999999999</v>
      </c>
      <c r="W412" s="148">
        <v>198.38829999999999</v>
      </c>
      <c r="X412" s="148">
        <v>198.38829999999999</v>
      </c>
      <c r="Y412" s="148">
        <v>199.44919999999999</v>
      </c>
      <c r="Z412" s="148">
        <v>199.44919999999999</v>
      </c>
      <c r="AA412" s="148">
        <v>199.44919999999999</v>
      </c>
      <c r="AB412" s="148">
        <v>199.44919999999999</v>
      </c>
      <c r="AC412" s="148">
        <v>199.44919999999999</v>
      </c>
      <c r="AD412" s="148">
        <v>199.44919999999999</v>
      </c>
      <c r="AE412" s="148">
        <v>199.44919999999999</v>
      </c>
      <c r="AF412" s="148">
        <v>205.43267600000001</v>
      </c>
      <c r="AG412" s="148">
        <v>205.43267600000001</v>
      </c>
      <c r="AH412" s="148">
        <v>205.43267600000001</v>
      </c>
      <c r="AI412" s="148">
        <v>205.43267600000001</v>
      </c>
      <c r="AJ412" s="148">
        <v>205.43267600000001</v>
      </c>
      <c r="AK412" s="148">
        <v>205.43267600000001</v>
      </c>
      <c r="AL412" s="148">
        <v>205.43267600000001</v>
      </c>
      <c r="AM412" s="148">
        <v>205.43267600000001</v>
      </c>
      <c r="AN412" s="148">
        <v>205.43267600000001</v>
      </c>
      <c r="AO412" s="148">
        <v>205.43267600000001</v>
      </c>
      <c r="AP412" s="148">
        <v>205.43267600000001</v>
      </c>
      <c r="AQ412" s="148">
        <v>205.43267600000001</v>
      </c>
      <c r="AR412" s="148">
        <v>211.59565627999999</v>
      </c>
      <c r="AS412" s="148">
        <v>211.59565627999999</v>
      </c>
      <c r="AT412" s="148">
        <v>211.59565627999999</v>
      </c>
      <c r="AU412" s="148">
        <v>211.59565627999999</v>
      </c>
      <c r="AV412" s="148">
        <v>211.59565627999999</v>
      </c>
      <c r="AW412" s="148">
        <v>211.59565627999999</v>
      </c>
      <c r="AX412" s="148">
        <v>211.59565627999999</v>
      </c>
      <c r="AY412" s="148">
        <v>212.72116508999997</v>
      </c>
      <c r="AZ412" s="148">
        <v>212.72116508999997</v>
      </c>
      <c r="BA412" s="148">
        <v>212.72116508999997</v>
      </c>
      <c r="BB412" s="148">
        <v>212.72116508999997</v>
      </c>
      <c r="BC412" s="148">
        <v>212.72116508999997</v>
      </c>
      <c r="BD412" s="148">
        <v>219.10280004269998</v>
      </c>
      <c r="BE412" s="148">
        <v>219.10280004269998</v>
      </c>
      <c r="BF412" s="148">
        <v>219.10280004269998</v>
      </c>
      <c r="BG412" s="148">
        <v>219.10280004269998</v>
      </c>
      <c r="BH412" s="148">
        <v>219.10280004269998</v>
      </c>
      <c r="BI412" s="148">
        <v>219.10280004269998</v>
      </c>
      <c r="BJ412" s="148">
        <v>219.10280004269998</v>
      </c>
      <c r="BK412" s="148">
        <v>219.10280004269998</v>
      </c>
      <c r="BL412" s="148">
        <v>219.10280004269998</v>
      </c>
      <c r="BM412" s="148">
        <v>219.10280004269998</v>
      </c>
      <c r="BN412" s="148">
        <v>219.10280004269998</v>
      </c>
      <c r="BO412" s="148">
        <v>219.10280004269998</v>
      </c>
      <c r="BP412" s="148"/>
      <c r="BQ412" s="148"/>
    </row>
    <row r="413" spans="3:69" s="22" customFormat="1" outlineLevel="1">
      <c r="C413" s="22" t="str">
        <v>Socket Springs</v>
      </c>
      <c r="D413" s="180"/>
      <c r="E413" s="147"/>
      <c r="F413" s="29" t="s">
        <v>119</v>
      </c>
      <c r="G413" s="167">
        <v>168</v>
      </c>
      <c r="H413" s="148">
        <v>173.04</v>
      </c>
      <c r="I413" s="148">
        <v>173.04</v>
      </c>
      <c r="J413" s="148">
        <v>173.04</v>
      </c>
      <c r="K413" s="148">
        <v>173.04</v>
      </c>
      <c r="L413" s="148">
        <v>173.04</v>
      </c>
      <c r="M413" s="148">
        <v>173.04</v>
      </c>
      <c r="N413" s="148">
        <v>173.04</v>
      </c>
      <c r="O413" s="148">
        <v>173.04</v>
      </c>
      <c r="P413" s="148">
        <v>173.04</v>
      </c>
      <c r="Q413" s="148">
        <v>173.04</v>
      </c>
      <c r="R413" s="148">
        <v>173.04</v>
      </c>
      <c r="S413" s="148">
        <v>173.04</v>
      </c>
      <c r="T413" s="148">
        <v>178.2312</v>
      </c>
      <c r="U413" s="148">
        <v>178.2312</v>
      </c>
      <c r="V413" s="148">
        <v>178.2312</v>
      </c>
      <c r="W413" s="148">
        <v>178.2312</v>
      </c>
      <c r="X413" s="148">
        <v>178.2312</v>
      </c>
      <c r="Y413" s="148">
        <v>178.2312</v>
      </c>
      <c r="Z413" s="148">
        <v>179.2921</v>
      </c>
      <c r="AA413" s="148">
        <v>179.2921</v>
      </c>
      <c r="AB413" s="148">
        <v>179.2921</v>
      </c>
      <c r="AC413" s="148">
        <v>179.2921</v>
      </c>
      <c r="AD413" s="148">
        <v>179.2921</v>
      </c>
      <c r="AE413" s="148">
        <v>179.2921</v>
      </c>
      <c r="AF413" s="148">
        <v>184.670863</v>
      </c>
      <c r="AG413" s="148">
        <v>184.670863</v>
      </c>
      <c r="AH413" s="148">
        <v>184.670863</v>
      </c>
      <c r="AI413" s="148">
        <v>184.670863</v>
      </c>
      <c r="AJ413" s="148">
        <v>184.670863</v>
      </c>
      <c r="AK413" s="148">
        <v>184.670863</v>
      </c>
      <c r="AL413" s="148">
        <v>184.670863</v>
      </c>
      <c r="AM413" s="148">
        <v>184.670863</v>
      </c>
      <c r="AN413" s="148">
        <v>184.670863</v>
      </c>
      <c r="AO413" s="148">
        <v>184.670863</v>
      </c>
      <c r="AP413" s="148">
        <v>184.670863</v>
      </c>
      <c r="AQ413" s="148">
        <v>184.670863</v>
      </c>
      <c r="AR413" s="148">
        <v>190.21098888999998</v>
      </c>
      <c r="AS413" s="148">
        <v>190.21098888999998</v>
      </c>
      <c r="AT413" s="148">
        <v>190.21098888999998</v>
      </c>
      <c r="AU413" s="148">
        <v>190.21098888999998</v>
      </c>
      <c r="AV413" s="148">
        <v>190.21098888999998</v>
      </c>
      <c r="AW413" s="148">
        <v>190.21098888999998</v>
      </c>
      <c r="AX413" s="148">
        <v>190.21098888999998</v>
      </c>
      <c r="AY413" s="148">
        <v>190.21098888999998</v>
      </c>
      <c r="AZ413" s="148">
        <v>191.3364977</v>
      </c>
      <c r="BA413" s="148">
        <v>191.3364977</v>
      </c>
      <c r="BB413" s="148">
        <v>191.3364977</v>
      </c>
      <c r="BC413" s="148">
        <v>191.3364977</v>
      </c>
      <c r="BD413" s="148">
        <v>197.07659263099998</v>
      </c>
      <c r="BE413" s="148">
        <v>197.07659263099998</v>
      </c>
      <c r="BF413" s="148">
        <v>197.07659263099998</v>
      </c>
      <c r="BG413" s="148">
        <v>197.07659263099998</v>
      </c>
      <c r="BH413" s="148">
        <v>197.07659263099998</v>
      </c>
      <c r="BI413" s="148">
        <v>197.07659263099998</v>
      </c>
      <c r="BJ413" s="148">
        <v>197.07659263099998</v>
      </c>
      <c r="BK413" s="148">
        <v>197.07659263099998</v>
      </c>
      <c r="BL413" s="148">
        <v>197.07659263099998</v>
      </c>
      <c r="BM413" s="148">
        <v>197.07659263099998</v>
      </c>
      <c r="BN413" s="148">
        <v>197.07659263099998</v>
      </c>
      <c r="BO413" s="148">
        <v>197.07659263099998</v>
      </c>
      <c r="BP413" s="148"/>
      <c r="BQ413" s="148"/>
    </row>
    <row r="414" spans="3:69" s="22" customFormat="1" outlineLevel="1">
      <c r="C414" s="22" t="str">
        <v>TerraTask</v>
      </c>
      <c r="D414" s="180"/>
      <c r="E414" s="147"/>
      <c r="F414" s="29" t="s">
        <v>119</v>
      </c>
      <c r="G414" s="167">
        <v>55</v>
      </c>
      <c r="H414" s="148">
        <v>56.65</v>
      </c>
      <c r="I414" s="148">
        <v>56.65</v>
      </c>
      <c r="J414" s="148">
        <v>56.65</v>
      </c>
      <c r="K414" s="148">
        <v>56.65</v>
      </c>
      <c r="L414" s="148">
        <v>56.65</v>
      </c>
      <c r="M414" s="148">
        <v>56.65</v>
      </c>
      <c r="N414" s="148">
        <v>56.65</v>
      </c>
      <c r="O414" s="148">
        <v>56.65</v>
      </c>
      <c r="P414" s="148">
        <v>56.65</v>
      </c>
      <c r="Q414" s="148">
        <v>56.65</v>
      </c>
      <c r="R414" s="148">
        <v>56.65</v>
      </c>
      <c r="S414" s="148">
        <v>56.65</v>
      </c>
      <c r="T414" s="148">
        <v>58.349499999999999</v>
      </c>
      <c r="U414" s="148">
        <v>58.349499999999999</v>
      </c>
      <c r="V414" s="148">
        <v>58.349499999999999</v>
      </c>
      <c r="W414" s="148">
        <v>58.349499999999999</v>
      </c>
      <c r="X414" s="148">
        <v>58.349499999999999</v>
      </c>
      <c r="Y414" s="148">
        <v>58.349499999999999</v>
      </c>
      <c r="Z414" s="148">
        <v>58.349499999999999</v>
      </c>
      <c r="AA414" s="148">
        <v>59.410399999999996</v>
      </c>
      <c r="AB414" s="148">
        <v>59.410399999999996</v>
      </c>
      <c r="AC414" s="148">
        <v>59.410399999999996</v>
      </c>
      <c r="AD414" s="148">
        <v>59.410399999999996</v>
      </c>
      <c r="AE414" s="148">
        <v>59.410399999999996</v>
      </c>
      <c r="AF414" s="148">
        <v>61.192712</v>
      </c>
      <c r="AG414" s="148">
        <v>61.192712</v>
      </c>
      <c r="AH414" s="148">
        <v>61.192712</v>
      </c>
      <c r="AI414" s="148">
        <v>61.192712</v>
      </c>
      <c r="AJ414" s="148">
        <v>61.192712</v>
      </c>
      <c r="AK414" s="148">
        <v>61.192712</v>
      </c>
      <c r="AL414" s="148">
        <v>61.192712</v>
      </c>
      <c r="AM414" s="148">
        <v>61.192712</v>
      </c>
      <c r="AN414" s="148">
        <v>61.192712</v>
      </c>
      <c r="AO414" s="148">
        <v>61.192712</v>
      </c>
      <c r="AP414" s="148">
        <v>61.192712</v>
      </c>
      <c r="AQ414" s="148">
        <v>61.192712</v>
      </c>
      <c r="AR414" s="148">
        <v>63.028493359999999</v>
      </c>
      <c r="AS414" s="148">
        <v>63.028493359999999</v>
      </c>
      <c r="AT414" s="148">
        <v>63.028493359999999</v>
      </c>
      <c r="AU414" s="148">
        <v>63.028493359999999</v>
      </c>
      <c r="AV414" s="148">
        <v>63.028493359999999</v>
      </c>
      <c r="AW414" s="148">
        <v>63.028493359999999</v>
      </c>
      <c r="AX414" s="148">
        <v>63.028493359999999</v>
      </c>
      <c r="AY414" s="148">
        <v>63.028493359999999</v>
      </c>
      <c r="AZ414" s="148">
        <v>63.028493359999999</v>
      </c>
      <c r="BA414" s="148">
        <v>64.154002169999998</v>
      </c>
      <c r="BB414" s="148">
        <v>64.154002169999998</v>
      </c>
      <c r="BC414" s="148">
        <v>64.154002169999998</v>
      </c>
      <c r="BD414" s="148">
        <v>66.078622235099985</v>
      </c>
      <c r="BE414" s="148">
        <v>66.078622235099985</v>
      </c>
      <c r="BF414" s="148">
        <v>66.078622235099985</v>
      </c>
      <c r="BG414" s="148">
        <v>66.078622235099985</v>
      </c>
      <c r="BH414" s="148">
        <v>66.078622235099985</v>
      </c>
      <c r="BI414" s="148">
        <v>66.078622235099985</v>
      </c>
      <c r="BJ414" s="148">
        <v>66.078622235099985</v>
      </c>
      <c r="BK414" s="148">
        <v>66.078622235099985</v>
      </c>
      <c r="BL414" s="148">
        <v>66.078622235099985</v>
      </c>
      <c r="BM414" s="148">
        <v>66.078622235099985</v>
      </c>
      <c r="BN414" s="148">
        <v>66.078622235099985</v>
      </c>
      <c r="BO414" s="148">
        <v>66.078622235099985</v>
      </c>
      <c r="BP414" s="148"/>
      <c r="BQ414" s="148"/>
    </row>
    <row r="415" spans="3:69" s="22" customFormat="1" outlineLevel="1">
      <c r="C415" s="22" t="str">
        <v>Uploadia</v>
      </c>
      <c r="D415" s="180"/>
      <c r="E415" s="147"/>
      <c r="F415" s="29" t="s">
        <v>119</v>
      </c>
      <c r="G415" s="167">
        <v>1</v>
      </c>
      <c r="H415" s="148">
        <v>1.03</v>
      </c>
      <c r="I415" s="148">
        <v>1.03</v>
      </c>
      <c r="J415" s="148">
        <v>1.03</v>
      </c>
      <c r="K415" s="148">
        <v>1.03</v>
      </c>
      <c r="L415" s="148">
        <v>1.03</v>
      </c>
      <c r="M415" s="148">
        <v>1.03</v>
      </c>
      <c r="N415" s="148">
        <v>1.03</v>
      </c>
      <c r="O415" s="148">
        <v>1.03</v>
      </c>
      <c r="P415" s="148">
        <v>1.03</v>
      </c>
      <c r="Q415" s="148">
        <v>1.03</v>
      </c>
      <c r="R415" s="148">
        <v>1.03</v>
      </c>
      <c r="S415" s="148">
        <v>1.03</v>
      </c>
      <c r="T415" s="148">
        <v>1.0609</v>
      </c>
      <c r="U415" s="148">
        <v>1.0609</v>
      </c>
      <c r="V415" s="148">
        <v>1.0609</v>
      </c>
      <c r="W415" s="148">
        <v>1.0609</v>
      </c>
      <c r="X415" s="148">
        <v>1.0609</v>
      </c>
      <c r="Y415" s="148">
        <v>1.0609</v>
      </c>
      <c r="Z415" s="148">
        <v>1.0609</v>
      </c>
      <c r="AA415" s="148">
        <v>1.0609</v>
      </c>
      <c r="AB415" s="148">
        <v>2.1217999999999999</v>
      </c>
      <c r="AC415" s="148">
        <v>2.1217999999999999</v>
      </c>
      <c r="AD415" s="148">
        <v>2.1217999999999999</v>
      </c>
      <c r="AE415" s="148">
        <v>2.1217999999999999</v>
      </c>
      <c r="AF415" s="148">
        <v>2.185454</v>
      </c>
      <c r="AG415" s="148">
        <v>2.185454</v>
      </c>
      <c r="AH415" s="148">
        <v>2.185454</v>
      </c>
      <c r="AI415" s="148">
        <v>2.185454</v>
      </c>
      <c r="AJ415" s="148">
        <v>2.185454</v>
      </c>
      <c r="AK415" s="148">
        <v>2.185454</v>
      </c>
      <c r="AL415" s="148">
        <v>2.185454</v>
      </c>
      <c r="AM415" s="148">
        <v>2.185454</v>
      </c>
      <c r="AN415" s="148">
        <v>2.185454</v>
      </c>
      <c r="AO415" s="148">
        <v>2.185454</v>
      </c>
      <c r="AP415" s="148">
        <v>2.185454</v>
      </c>
      <c r="AQ415" s="148">
        <v>2.185454</v>
      </c>
      <c r="AR415" s="148">
        <v>2.2510176199999998</v>
      </c>
      <c r="AS415" s="148">
        <v>2.2510176199999998</v>
      </c>
      <c r="AT415" s="148">
        <v>2.2510176199999998</v>
      </c>
      <c r="AU415" s="148">
        <v>2.2510176199999998</v>
      </c>
      <c r="AV415" s="148">
        <v>2.2510176199999998</v>
      </c>
      <c r="AW415" s="148">
        <v>2.2510176199999998</v>
      </c>
      <c r="AX415" s="148">
        <v>2.2510176199999998</v>
      </c>
      <c r="AY415" s="148">
        <v>2.2510176199999998</v>
      </c>
      <c r="AZ415" s="148">
        <v>2.2510176199999998</v>
      </c>
      <c r="BA415" s="148">
        <v>2.2510176199999998</v>
      </c>
      <c r="BB415" s="148">
        <v>3.3765264299999997</v>
      </c>
      <c r="BC415" s="148">
        <v>3.3765264299999997</v>
      </c>
      <c r="BD415" s="148">
        <v>3.4778222228999995</v>
      </c>
      <c r="BE415" s="148">
        <v>3.4778222228999995</v>
      </c>
      <c r="BF415" s="148">
        <v>3.4778222228999995</v>
      </c>
      <c r="BG415" s="148">
        <v>3.4778222228999995</v>
      </c>
      <c r="BH415" s="148">
        <v>3.4778222228999995</v>
      </c>
      <c r="BI415" s="148">
        <v>3.4778222228999995</v>
      </c>
      <c r="BJ415" s="148">
        <v>3.4778222228999995</v>
      </c>
      <c r="BK415" s="148">
        <v>3.4778222228999995</v>
      </c>
      <c r="BL415" s="148">
        <v>3.4778222228999995</v>
      </c>
      <c r="BM415" s="148">
        <v>3.4778222228999995</v>
      </c>
      <c r="BN415" s="148">
        <v>3.4778222228999995</v>
      </c>
      <c r="BO415" s="148">
        <v>3.4778222228999995</v>
      </c>
      <c r="BP415" s="148"/>
      <c r="BQ415" s="148"/>
    </row>
    <row r="416" spans="3:69" s="22" customFormat="1" outlineLevel="1">
      <c r="C416" s="22" t="str">
        <v>Vector Valley</v>
      </c>
      <c r="D416" s="180"/>
      <c r="E416" s="147"/>
      <c r="F416" s="29" t="s">
        <v>119</v>
      </c>
      <c r="G416" s="167">
        <v>26</v>
      </c>
      <c r="H416" s="148">
        <v>26.78</v>
      </c>
      <c r="I416" s="148">
        <v>26.78</v>
      </c>
      <c r="J416" s="148">
        <v>26.78</v>
      </c>
      <c r="K416" s="148">
        <v>26.78</v>
      </c>
      <c r="L416" s="148">
        <v>26.78</v>
      </c>
      <c r="M416" s="148">
        <v>26.78</v>
      </c>
      <c r="N416" s="148">
        <v>26.78</v>
      </c>
      <c r="O416" s="148">
        <v>26.78</v>
      </c>
      <c r="P416" s="148">
        <v>26.78</v>
      </c>
      <c r="Q416" s="148">
        <v>26.78</v>
      </c>
      <c r="R416" s="148">
        <v>26.78</v>
      </c>
      <c r="S416" s="148">
        <v>26.78</v>
      </c>
      <c r="T416" s="148">
        <v>27.583399999999997</v>
      </c>
      <c r="U416" s="148">
        <v>27.583399999999997</v>
      </c>
      <c r="V416" s="148">
        <v>27.583399999999997</v>
      </c>
      <c r="W416" s="148">
        <v>27.583399999999997</v>
      </c>
      <c r="X416" s="148">
        <v>27.583399999999997</v>
      </c>
      <c r="Y416" s="148">
        <v>27.583399999999997</v>
      </c>
      <c r="Z416" s="148">
        <v>27.583399999999997</v>
      </c>
      <c r="AA416" s="148">
        <v>27.583399999999997</v>
      </c>
      <c r="AB416" s="148">
        <v>27.583399999999997</v>
      </c>
      <c r="AC416" s="148">
        <v>28.644299999999998</v>
      </c>
      <c r="AD416" s="148">
        <v>28.644299999999998</v>
      </c>
      <c r="AE416" s="148">
        <v>28.644299999999998</v>
      </c>
      <c r="AF416" s="148">
        <v>29.503629</v>
      </c>
      <c r="AG416" s="148">
        <v>29.503629</v>
      </c>
      <c r="AH416" s="148">
        <v>29.503629</v>
      </c>
      <c r="AI416" s="148">
        <v>29.503629</v>
      </c>
      <c r="AJ416" s="148">
        <v>29.503629</v>
      </c>
      <c r="AK416" s="148">
        <v>29.503629</v>
      </c>
      <c r="AL416" s="148">
        <v>29.503629</v>
      </c>
      <c r="AM416" s="148">
        <v>29.503629</v>
      </c>
      <c r="AN416" s="148">
        <v>29.503629</v>
      </c>
      <c r="AO416" s="148">
        <v>29.503629</v>
      </c>
      <c r="AP416" s="148">
        <v>29.503629</v>
      </c>
      <c r="AQ416" s="148">
        <v>29.503629</v>
      </c>
      <c r="AR416" s="148">
        <v>30.388737869999996</v>
      </c>
      <c r="AS416" s="148">
        <v>30.388737869999996</v>
      </c>
      <c r="AT416" s="148">
        <v>30.388737869999996</v>
      </c>
      <c r="AU416" s="148">
        <v>30.388737869999996</v>
      </c>
      <c r="AV416" s="148">
        <v>30.388737869999996</v>
      </c>
      <c r="AW416" s="148">
        <v>30.388737869999996</v>
      </c>
      <c r="AX416" s="148">
        <v>30.388737869999996</v>
      </c>
      <c r="AY416" s="148">
        <v>30.388737869999996</v>
      </c>
      <c r="AZ416" s="148">
        <v>30.388737869999996</v>
      </c>
      <c r="BA416" s="148">
        <v>30.388737869999996</v>
      </c>
      <c r="BB416" s="148">
        <v>30.388737869999996</v>
      </c>
      <c r="BC416" s="148">
        <v>31.514246679999999</v>
      </c>
      <c r="BD416" s="148">
        <v>32.459674080399992</v>
      </c>
      <c r="BE416" s="148">
        <v>32.459674080399992</v>
      </c>
      <c r="BF416" s="148">
        <v>32.459674080399992</v>
      </c>
      <c r="BG416" s="148">
        <v>32.459674080399992</v>
      </c>
      <c r="BH416" s="148">
        <v>32.459674080399992</v>
      </c>
      <c r="BI416" s="148">
        <v>32.459674080399992</v>
      </c>
      <c r="BJ416" s="148">
        <v>32.459674080399992</v>
      </c>
      <c r="BK416" s="148">
        <v>32.459674080399992</v>
      </c>
      <c r="BL416" s="148">
        <v>32.459674080399992</v>
      </c>
      <c r="BM416" s="148">
        <v>32.459674080399992</v>
      </c>
      <c r="BN416" s="148">
        <v>32.459674080399992</v>
      </c>
      <c r="BO416" s="148">
        <v>32.459674080399992</v>
      </c>
      <c r="BP416" s="148"/>
      <c r="BQ416" s="148"/>
    </row>
    <row r="417" spans="2:69" s="22" customFormat="1" outlineLevel="1">
      <c r="C417" s="22" t="str">
        <v>Wiredown</v>
      </c>
      <c r="D417" s="180"/>
      <c r="E417" s="147"/>
      <c r="F417" s="29" t="s">
        <v>119</v>
      </c>
      <c r="G417" s="167">
        <v>7</v>
      </c>
      <c r="H417" s="148">
        <v>7.21</v>
      </c>
      <c r="I417" s="148">
        <v>7.21</v>
      </c>
      <c r="J417" s="148">
        <v>7.21</v>
      </c>
      <c r="K417" s="148">
        <v>7.21</v>
      </c>
      <c r="L417" s="148">
        <v>7.21</v>
      </c>
      <c r="M417" s="148">
        <v>7.21</v>
      </c>
      <c r="N417" s="148">
        <v>7.21</v>
      </c>
      <c r="O417" s="148">
        <v>7.21</v>
      </c>
      <c r="P417" s="148">
        <v>7.21</v>
      </c>
      <c r="Q417" s="148">
        <v>7.21</v>
      </c>
      <c r="R417" s="148">
        <v>7.21</v>
      </c>
      <c r="S417" s="148">
        <v>7.21</v>
      </c>
      <c r="T417" s="148">
        <v>7.4262999999999995</v>
      </c>
      <c r="U417" s="148">
        <v>7.4262999999999995</v>
      </c>
      <c r="V417" s="148">
        <v>7.4262999999999995</v>
      </c>
      <c r="W417" s="148">
        <v>7.4262999999999995</v>
      </c>
      <c r="X417" s="148">
        <v>7.4262999999999995</v>
      </c>
      <c r="Y417" s="148">
        <v>7.4262999999999995</v>
      </c>
      <c r="Z417" s="148">
        <v>7.4262999999999995</v>
      </c>
      <c r="AA417" s="148">
        <v>7.4262999999999995</v>
      </c>
      <c r="AB417" s="148">
        <v>7.4262999999999995</v>
      </c>
      <c r="AC417" s="148">
        <v>7.4262999999999995</v>
      </c>
      <c r="AD417" s="148">
        <v>8.4871999999999996</v>
      </c>
      <c r="AE417" s="148">
        <v>8.4871999999999996</v>
      </c>
      <c r="AF417" s="148">
        <v>8.741816</v>
      </c>
      <c r="AG417" s="148">
        <v>8.741816</v>
      </c>
      <c r="AH417" s="148">
        <v>8.741816</v>
      </c>
      <c r="AI417" s="148">
        <v>8.741816</v>
      </c>
      <c r="AJ417" s="148">
        <v>8.741816</v>
      </c>
      <c r="AK417" s="148">
        <v>8.741816</v>
      </c>
      <c r="AL417" s="148">
        <v>8.741816</v>
      </c>
      <c r="AM417" s="148">
        <v>8.741816</v>
      </c>
      <c r="AN417" s="148">
        <v>8.741816</v>
      </c>
      <c r="AO417" s="148">
        <v>8.741816</v>
      </c>
      <c r="AP417" s="148">
        <v>8.741816</v>
      </c>
      <c r="AQ417" s="148">
        <v>8.741816</v>
      </c>
      <c r="AR417" s="148">
        <v>9.0040704799999993</v>
      </c>
      <c r="AS417" s="148">
        <v>9.0040704799999993</v>
      </c>
      <c r="AT417" s="148">
        <v>9.0040704799999993</v>
      </c>
      <c r="AU417" s="148">
        <v>9.0040704799999993</v>
      </c>
      <c r="AV417" s="148">
        <v>9.0040704799999993</v>
      </c>
      <c r="AW417" s="148">
        <v>9.0040704799999993</v>
      </c>
      <c r="AX417" s="148">
        <v>9.0040704799999993</v>
      </c>
      <c r="AY417" s="148">
        <v>9.0040704799999993</v>
      </c>
      <c r="AZ417" s="148">
        <v>9.0040704799999993</v>
      </c>
      <c r="BA417" s="148">
        <v>9.0040704799999993</v>
      </c>
      <c r="BB417" s="148">
        <v>9.0040704799999993</v>
      </c>
      <c r="BC417" s="148">
        <v>9.0040704799999993</v>
      </c>
      <c r="BD417" s="148">
        <v>10.4334666687</v>
      </c>
      <c r="BE417" s="148">
        <v>10.4334666687</v>
      </c>
      <c r="BF417" s="148">
        <v>10.4334666687</v>
      </c>
      <c r="BG417" s="148">
        <v>10.4334666687</v>
      </c>
      <c r="BH417" s="148">
        <v>10.4334666687</v>
      </c>
      <c r="BI417" s="148">
        <v>10.4334666687</v>
      </c>
      <c r="BJ417" s="148">
        <v>10.4334666687</v>
      </c>
      <c r="BK417" s="148">
        <v>10.4334666687</v>
      </c>
      <c r="BL417" s="148">
        <v>10.4334666687</v>
      </c>
      <c r="BM417" s="148">
        <v>10.4334666687</v>
      </c>
      <c r="BN417" s="148">
        <v>10.4334666687</v>
      </c>
      <c r="BO417" s="148">
        <v>10.4334666687</v>
      </c>
      <c r="BP417" s="148"/>
      <c r="BQ417" s="148"/>
    </row>
    <row r="418" spans="2:69" s="22" customFormat="1" outlineLevel="1">
      <c r="C418" s="22" t="str">
        <v>Xenocode City</v>
      </c>
      <c r="D418" s="180"/>
      <c r="E418" s="147"/>
      <c r="F418" s="29" t="s">
        <v>119</v>
      </c>
      <c r="G418" s="167">
        <v>4</v>
      </c>
      <c r="H418" s="148">
        <v>4.12</v>
      </c>
      <c r="I418" s="148">
        <v>4.12</v>
      </c>
      <c r="J418" s="148">
        <v>4.12</v>
      </c>
      <c r="K418" s="148">
        <v>4.12</v>
      </c>
      <c r="L418" s="148">
        <v>4.12</v>
      </c>
      <c r="M418" s="148">
        <v>4.12</v>
      </c>
      <c r="N418" s="148">
        <v>4.12</v>
      </c>
      <c r="O418" s="148">
        <v>4.12</v>
      </c>
      <c r="P418" s="148">
        <v>4.12</v>
      </c>
      <c r="Q418" s="148">
        <v>4.12</v>
      </c>
      <c r="R418" s="148">
        <v>4.12</v>
      </c>
      <c r="S418" s="148">
        <v>4.12</v>
      </c>
      <c r="T418" s="148">
        <v>4.2435999999999998</v>
      </c>
      <c r="U418" s="148">
        <v>4.2435999999999998</v>
      </c>
      <c r="V418" s="148">
        <v>4.2435999999999998</v>
      </c>
      <c r="W418" s="148">
        <v>4.2435999999999998</v>
      </c>
      <c r="X418" s="148">
        <v>4.2435999999999998</v>
      </c>
      <c r="Y418" s="148">
        <v>4.2435999999999998</v>
      </c>
      <c r="Z418" s="148">
        <v>4.2435999999999998</v>
      </c>
      <c r="AA418" s="148">
        <v>4.2435999999999998</v>
      </c>
      <c r="AB418" s="148">
        <v>4.2435999999999998</v>
      </c>
      <c r="AC418" s="148">
        <v>4.2435999999999998</v>
      </c>
      <c r="AD418" s="148">
        <v>4.2435999999999998</v>
      </c>
      <c r="AE418" s="148">
        <v>5.3045</v>
      </c>
      <c r="AF418" s="148">
        <v>5.463635</v>
      </c>
      <c r="AG418" s="148">
        <v>5.463635</v>
      </c>
      <c r="AH418" s="148">
        <v>5.463635</v>
      </c>
      <c r="AI418" s="148">
        <v>5.463635</v>
      </c>
      <c r="AJ418" s="148">
        <v>5.463635</v>
      </c>
      <c r="AK418" s="148">
        <v>5.463635</v>
      </c>
      <c r="AL418" s="148">
        <v>5.463635</v>
      </c>
      <c r="AM418" s="148">
        <v>5.463635</v>
      </c>
      <c r="AN418" s="148">
        <v>5.463635</v>
      </c>
      <c r="AO418" s="148">
        <v>5.463635</v>
      </c>
      <c r="AP418" s="148">
        <v>5.463635</v>
      </c>
      <c r="AQ418" s="148">
        <v>5.463635</v>
      </c>
      <c r="AR418" s="148">
        <v>5.6275440499999991</v>
      </c>
      <c r="AS418" s="148">
        <v>5.6275440499999991</v>
      </c>
      <c r="AT418" s="148">
        <v>5.6275440499999991</v>
      </c>
      <c r="AU418" s="148">
        <v>5.6275440499999991</v>
      </c>
      <c r="AV418" s="148">
        <v>5.6275440499999991</v>
      </c>
      <c r="AW418" s="148">
        <v>5.6275440499999991</v>
      </c>
      <c r="AX418" s="148">
        <v>5.6275440499999991</v>
      </c>
      <c r="AY418" s="148">
        <v>5.6275440499999991</v>
      </c>
      <c r="AZ418" s="148">
        <v>5.6275440499999991</v>
      </c>
      <c r="BA418" s="148">
        <v>5.6275440499999991</v>
      </c>
      <c r="BB418" s="148">
        <v>5.6275440499999991</v>
      </c>
      <c r="BC418" s="148">
        <v>5.6275440499999991</v>
      </c>
      <c r="BD418" s="148">
        <v>5.7963703714999992</v>
      </c>
      <c r="BE418" s="148">
        <v>6.9556444457999991</v>
      </c>
      <c r="BF418" s="148">
        <v>6.9556444457999991</v>
      </c>
      <c r="BG418" s="148">
        <v>6.9556444457999991</v>
      </c>
      <c r="BH418" s="148">
        <v>6.9556444457999991</v>
      </c>
      <c r="BI418" s="148">
        <v>6.9556444457999991</v>
      </c>
      <c r="BJ418" s="148">
        <v>6.9556444457999991</v>
      </c>
      <c r="BK418" s="148">
        <v>6.9556444457999991</v>
      </c>
      <c r="BL418" s="148">
        <v>6.9556444457999991</v>
      </c>
      <c r="BM418" s="148">
        <v>6.9556444457999991</v>
      </c>
      <c r="BN418" s="148">
        <v>6.9556444457999991</v>
      </c>
      <c r="BO418" s="148">
        <v>6.9556444457999991</v>
      </c>
      <c r="BP418" s="148"/>
      <c r="BQ418" s="148"/>
    </row>
    <row r="419" spans="2:69" s="22" customFormat="1" outlineLevel="1">
      <c r="C419" s="22" t="str">
        <v>Yieldville</v>
      </c>
      <c r="D419" s="180"/>
      <c r="E419" s="147"/>
      <c r="F419" s="29" t="s">
        <v>119</v>
      </c>
      <c r="G419" s="167">
        <v>3</v>
      </c>
      <c r="H419" s="148">
        <v>3.09</v>
      </c>
      <c r="I419" s="148">
        <v>3.09</v>
      </c>
      <c r="J419" s="148">
        <v>3.09</v>
      </c>
      <c r="K419" s="148">
        <v>3.09</v>
      </c>
      <c r="L419" s="148">
        <v>3.09</v>
      </c>
      <c r="M419" s="148">
        <v>3.09</v>
      </c>
      <c r="N419" s="148">
        <v>3.09</v>
      </c>
      <c r="O419" s="148">
        <v>3.09</v>
      </c>
      <c r="P419" s="148">
        <v>3.09</v>
      </c>
      <c r="Q419" s="148">
        <v>3.09</v>
      </c>
      <c r="R419" s="148">
        <v>3.09</v>
      </c>
      <c r="S419" s="148">
        <v>3.09</v>
      </c>
      <c r="T419" s="148">
        <v>3.1826999999999996</v>
      </c>
      <c r="U419" s="148">
        <v>3.1826999999999996</v>
      </c>
      <c r="V419" s="148">
        <v>3.1826999999999996</v>
      </c>
      <c r="W419" s="148">
        <v>3.1826999999999996</v>
      </c>
      <c r="X419" s="148">
        <v>3.1826999999999996</v>
      </c>
      <c r="Y419" s="148">
        <v>3.1826999999999996</v>
      </c>
      <c r="Z419" s="148">
        <v>3.1826999999999996</v>
      </c>
      <c r="AA419" s="148">
        <v>3.1826999999999996</v>
      </c>
      <c r="AB419" s="148">
        <v>3.1826999999999996</v>
      </c>
      <c r="AC419" s="148">
        <v>3.1826999999999996</v>
      </c>
      <c r="AD419" s="148">
        <v>3.1826999999999996</v>
      </c>
      <c r="AE419" s="148">
        <v>3.1826999999999996</v>
      </c>
      <c r="AF419" s="148">
        <v>4.370908</v>
      </c>
      <c r="AG419" s="148">
        <v>4.370908</v>
      </c>
      <c r="AH419" s="148">
        <v>4.370908</v>
      </c>
      <c r="AI419" s="148">
        <v>4.370908</v>
      </c>
      <c r="AJ419" s="148">
        <v>4.370908</v>
      </c>
      <c r="AK419" s="148">
        <v>4.370908</v>
      </c>
      <c r="AL419" s="148">
        <v>4.370908</v>
      </c>
      <c r="AM419" s="148">
        <v>4.370908</v>
      </c>
      <c r="AN419" s="148">
        <v>4.370908</v>
      </c>
      <c r="AO419" s="148">
        <v>4.370908</v>
      </c>
      <c r="AP419" s="148">
        <v>4.370908</v>
      </c>
      <c r="AQ419" s="148">
        <v>4.370908</v>
      </c>
      <c r="AR419" s="148">
        <v>4.5020352399999997</v>
      </c>
      <c r="AS419" s="148">
        <v>4.5020352399999997</v>
      </c>
      <c r="AT419" s="148">
        <v>4.5020352399999997</v>
      </c>
      <c r="AU419" s="148">
        <v>4.5020352399999997</v>
      </c>
      <c r="AV419" s="148">
        <v>4.5020352399999997</v>
      </c>
      <c r="AW419" s="148">
        <v>4.5020352399999997</v>
      </c>
      <c r="AX419" s="148">
        <v>4.5020352399999997</v>
      </c>
      <c r="AY419" s="148">
        <v>4.5020352399999997</v>
      </c>
      <c r="AZ419" s="148">
        <v>4.5020352399999997</v>
      </c>
      <c r="BA419" s="148">
        <v>4.5020352399999997</v>
      </c>
      <c r="BB419" s="148">
        <v>4.5020352399999997</v>
      </c>
      <c r="BC419" s="148">
        <v>4.5020352399999997</v>
      </c>
      <c r="BD419" s="148">
        <v>4.6370962971999994</v>
      </c>
      <c r="BE419" s="148">
        <v>4.6370962971999994</v>
      </c>
      <c r="BF419" s="148">
        <v>5.7963703714999992</v>
      </c>
      <c r="BG419" s="148">
        <v>5.7963703714999992</v>
      </c>
      <c r="BH419" s="148">
        <v>5.7963703714999992</v>
      </c>
      <c r="BI419" s="148">
        <v>5.7963703714999992</v>
      </c>
      <c r="BJ419" s="148">
        <v>5.7963703714999992</v>
      </c>
      <c r="BK419" s="148">
        <v>5.7963703714999992</v>
      </c>
      <c r="BL419" s="148">
        <v>5.7963703714999992</v>
      </c>
      <c r="BM419" s="148">
        <v>5.7963703714999992</v>
      </c>
      <c r="BN419" s="148">
        <v>5.7963703714999992</v>
      </c>
      <c r="BO419" s="148">
        <v>5.7963703714999992</v>
      </c>
      <c r="BP419" s="148"/>
      <c r="BQ419" s="148"/>
    </row>
    <row r="420" spans="2:69" s="22" customFormat="1" outlineLevel="1">
      <c r="C420" s="22" t="str">
        <v>ZeroDay Zone</v>
      </c>
      <c r="D420" s="180"/>
      <c r="E420" s="147"/>
      <c r="F420" s="75" t="s">
        <v>119</v>
      </c>
      <c r="G420" s="167">
        <v>1</v>
      </c>
      <c r="H420" s="148">
        <v>1.03</v>
      </c>
      <c r="I420" s="148">
        <v>1.03</v>
      </c>
      <c r="J420" s="148">
        <v>1.03</v>
      </c>
      <c r="K420" s="148">
        <v>1.03</v>
      </c>
      <c r="L420" s="148">
        <v>1.03</v>
      </c>
      <c r="M420" s="148">
        <v>1.03</v>
      </c>
      <c r="N420" s="148">
        <v>1.03</v>
      </c>
      <c r="O420" s="148">
        <v>1.03</v>
      </c>
      <c r="P420" s="148">
        <v>1.03</v>
      </c>
      <c r="Q420" s="148">
        <v>1.03</v>
      </c>
      <c r="R420" s="148">
        <v>1.03</v>
      </c>
      <c r="S420" s="148">
        <v>1.03</v>
      </c>
      <c r="T420" s="148">
        <v>1.0609</v>
      </c>
      <c r="U420" s="148">
        <v>1.0609</v>
      </c>
      <c r="V420" s="148">
        <v>1.0609</v>
      </c>
      <c r="W420" s="148">
        <v>1.0609</v>
      </c>
      <c r="X420" s="148">
        <v>1.0609</v>
      </c>
      <c r="Y420" s="148">
        <v>1.0609</v>
      </c>
      <c r="Z420" s="148">
        <v>1.0609</v>
      </c>
      <c r="AA420" s="148">
        <v>1.0609</v>
      </c>
      <c r="AB420" s="148">
        <v>1.0609</v>
      </c>
      <c r="AC420" s="148">
        <v>1.0609</v>
      </c>
      <c r="AD420" s="148">
        <v>1.0609</v>
      </c>
      <c r="AE420" s="148">
        <v>1.0609</v>
      </c>
      <c r="AF420" s="148">
        <v>1.092727</v>
      </c>
      <c r="AG420" s="148">
        <v>2.185454</v>
      </c>
      <c r="AH420" s="148">
        <v>2.185454</v>
      </c>
      <c r="AI420" s="148">
        <v>2.185454</v>
      </c>
      <c r="AJ420" s="148">
        <v>2.185454</v>
      </c>
      <c r="AK420" s="148">
        <v>2.185454</v>
      </c>
      <c r="AL420" s="148">
        <v>2.185454</v>
      </c>
      <c r="AM420" s="148">
        <v>2.185454</v>
      </c>
      <c r="AN420" s="148">
        <v>2.185454</v>
      </c>
      <c r="AO420" s="148">
        <v>2.185454</v>
      </c>
      <c r="AP420" s="148">
        <v>2.185454</v>
      </c>
      <c r="AQ420" s="148">
        <v>2.185454</v>
      </c>
      <c r="AR420" s="148">
        <v>2.2510176199999998</v>
      </c>
      <c r="AS420" s="148">
        <v>2.2510176199999998</v>
      </c>
      <c r="AT420" s="148">
        <v>2.2510176199999998</v>
      </c>
      <c r="AU420" s="148">
        <v>2.2510176199999998</v>
      </c>
      <c r="AV420" s="148">
        <v>2.2510176199999998</v>
      </c>
      <c r="AW420" s="148">
        <v>2.2510176199999998</v>
      </c>
      <c r="AX420" s="148">
        <v>2.2510176199999998</v>
      </c>
      <c r="AY420" s="148">
        <v>2.2510176199999998</v>
      </c>
      <c r="AZ420" s="148">
        <v>2.2510176199999998</v>
      </c>
      <c r="BA420" s="148">
        <v>2.2510176199999998</v>
      </c>
      <c r="BB420" s="148">
        <v>2.2510176199999998</v>
      </c>
      <c r="BC420" s="148">
        <v>2.2510176199999998</v>
      </c>
      <c r="BD420" s="148">
        <v>2.3185481485999997</v>
      </c>
      <c r="BE420" s="148">
        <v>2.3185481485999997</v>
      </c>
      <c r="BF420" s="148">
        <v>2.3185481485999997</v>
      </c>
      <c r="BG420" s="148">
        <v>3.4778222228999995</v>
      </c>
      <c r="BH420" s="148">
        <v>3.4778222228999995</v>
      </c>
      <c r="BI420" s="148">
        <v>3.4778222228999995</v>
      </c>
      <c r="BJ420" s="148">
        <v>3.4778222228999995</v>
      </c>
      <c r="BK420" s="148">
        <v>3.4778222228999995</v>
      </c>
      <c r="BL420" s="148">
        <v>3.4778222228999995</v>
      </c>
      <c r="BM420" s="148">
        <v>3.4778222228999995</v>
      </c>
      <c r="BN420" s="148">
        <v>3.4778222228999995</v>
      </c>
      <c r="BO420" s="148">
        <v>3.4778222228999995</v>
      </c>
      <c r="BP420" s="148"/>
      <c r="BQ420" s="148"/>
    </row>
    <row r="421" spans="2:69" s="31" customFormat="1" ht="12" customHeight="1" outlineLevel="1">
      <c r="C421" s="70" t="s">
        <v>1280</v>
      </c>
      <c r="D421" s="70"/>
      <c r="E421" s="71"/>
      <c r="F421" s="29" t="s">
        <v>119</v>
      </c>
      <c r="G421" s="168">
        <f>SUM(G395:G420)</f>
        <v>1000</v>
      </c>
      <c r="H421" s="169">
        <f>SUM(H395:H420)</f>
        <v>1031.0299999999997</v>
      </c>
      <c r="I421" s="169">
        <f t="shared" ref="I421" si="398">SUM(I395:I420)</f>
        <v>1032.0599999999997</v>
      </c>
      <c r="J421" s="169">
        <f t="shared" ref="J421" si="399">SUM(J395:J420)</f>
        <v>1033.0899999999997</v>
      </c>
      <c r="K421" s="169">
        <f t="shared" ref="K421" si="400">SUM(K395:K420)</f>
        <v>1034.1199999999997</v>
      </c>
      <c r="L421" s="169">
        <f t="shared" ref="L421" si="401">SUM(L395:L420)</f>
        <v>1035.1499999999996</v>
      </c>
      <c r="M421" s="169">
        <f t="shared" ref="M421" si="402">SUM(M395:M420)</f>
        <v>1036.1799999999996</v>
      </c>
      <c r="N421" s="169">
        <f t="shared" ref="N421" si="403">SUM(N395:N420)</f>
        <v>1037.2099999999996</v>
      </c>
      <c r="O421" s="169">
        <f t="shared" ref="O421" si="404">SUM(O395:O420)</f>
        <v>1038.2399999999996</v>
      </c>
      <c r="P421" s="169">
        <f t="shared" ref="P421" si="405">SUM(P395:P420)</f>
        <v>1039.2699999999998</v>
      </c>
      <c r="Q421" s="169">
        <f t="shared" ref="Q421" si="406">SUM(Q395:Q420)</f>
        <v>1040.2999999999997</v>
      </c>
      <c r="R421" s="169">
        <f t="shared" ref="R421" si="407">SUM(R395:R420)</f>
        <v>1041.3299999999997</v>
      </c>
      <c r="S421" s="169">
        <f t="shared" ref="S421" si="408">SUM(S395:S420)</f>
        <v>1042.3599999999999</v>
      </c>
      <c r="T421" s="169">
        <f t="shared" ref="T421" si="409">SUM(T395:T420)</f>
        <v>1074.6916999999999</v>
      </c>
      <c r="U421" s="169">
        <f t="shared" ref="U421" si="410">SUM(U395:U420)</f>
        <v>1075.7526</v>
      </c>
      <c r="V421" s="169">
        <f t="shared" ref="V421" si="411">SUM(V395:V420)</f>
        <v>1076.8135</v>
      </c>
      <c r="W421" s="169">
        <f t="shared" ref="W421" si="412">SUM(W395:W420)</f>
        <v>1077.8743999999999</v>
      </c>
      <c r="X421" s="169">
        <f t="shared" ref="X421" si="413">SUM(X395:X420)</f>
        <v>1078.9352999999999</v>
      </c>
      <c r="Y421" s="169">
        <f t="shared" ref="Y421" si="414">SUM(Y395:Y420)</f>
        <v>1079.9962</v>
      </c>
      <c r="Z421" s="169">
        <f t="shared" ref="Z421" si="415">SUM(Z395:Z420)</f>
        <v>1081.0571</v>
      </c>
      <c r="AA421" s="169">
        <f t="shared" ref="AA421" si="416">SUM(AA395:AA420)</f>
        <v>1082.1179999999999</v>
      </c>
      <c r="AB421" s="169">
        <f t="shared" ref="AB421" si="417">SUM(AB395:AB420)</f>
        <v>1083.1788999999999</v>
      </c>
      <c r="AC421" s="169">
        <f t="shared" ref="AC421" si="418">SUM(AC395:AC420)</f>
        <v>1084.2397999999998</v>
      </c>
      <c r="AD421" s="169">
        <f t="shared" ref="AD421" si="419">SUM(AD395:AD420)</f>
        <v>1085.3006999999998</v>
      </c>
      <c r="AE421" s="169">
        <f t="shared" ref="AE421" si="420">SUM(AE395:AE420)</f>
        <v>1086.3615999999997</v>
      </c>
      <c r="AF421" s="169">
        <f t="shared" ref="AF421" si="421">SUM(AF395:AF420)</f>
        <v>1120.0451750000004</v>
      </c>
      <c r="AG421" s="169">
        <f t="shared" ref="AG421" si="422">SUM(AG395:AG420)</f>
        <v>1121.1379020000004</v>
      </c>
      <c r="AH421" s="169">
        <f t="shared" ref="AH421" si="423">SUM(AH395:AH420)</f>
        <v>1122.2306290000004</v>
      </c>
      <c r="AI421" s="169">
        <f t="shared" ref="AI421" si="424">SUM(AI395:AI420)</f>
        <v>1123.3233560000003</v>
      </c>
      <c r="AJ421" s="169">
        <f t="shared" ref="AJ421" si="425">SUM(AJ395:AJ420)</f>
        <v>1124.4160830000003</v>
      </c>
      <c r="AK421" s="169">
        <f t="shared" ref="AK421" si="426">SUM(AK395:AK420)</f>
        <v>1125.5088100000003</v>
      </c>
      <c r="AL421" s="169">
        <f t="shared" ref="AL421" si="427">SUM(AL395:AL420)</f>
        <v>1126.6015370000002</v>
      </c>
      <c r="AM421" s="169">
        <f t="shared" ref="AM421" si="428">SUM(AM395:AM420)</f>
        <v>1127.6942640000002</v>
      </c>
      <c r="AN421" s="169">
        <f t="shared" ref="AN421" si="429">SUM(AN395:AN420)</f>
        <v>1128.7869910000004</v>
      </c>
      <c r="AO421" s="169">
        <f t="shared" ref="AO421" si="430">SUM(AO395:AO420)</f>
        <v>1129.8797180000004</v>
      </c>
      <c r="AP421" s="169">
        <f t="shared" ref="AP421" si="431">SUM(AP395:AP420)</f>
        <v>1130.9724450000003</v>
      </c>
      <c r="AQ421" s="169">
        <f t="shared" ref="AQ421" si="432">SUM(AQ395:AQ420)</f>
        <v>1132.0651720000003</v>
      </c>
      <c r="AR421" s="169">
        <f t="shared" ref="AR421" si="433">SUM(AR395:AR420)</f>
        <v>1167.1526359700003</v>
      </c>
      <c r="AS421" s="169">
        <f t="shared" ref="AS421" si="434">SUM(AS395:AS420)</f>
        <v>1168.2781447800003</v>
      </c>
      <c r="AT421" s="169">
        <f t="shared" ref="AT421" si="435">SUM(AT395:AT420)</f>
        <v>1169.4036535900002</v>
      </c>
      <c r="AU421" s="169">
        <f t="shared" ref="AU421" si="436">SUM(AU395:AU420)</f>
        <v>1170.5291624000004</v>
      </c>
      <c r="AV421" s="169">
        <f t="shared" ref="AV421" si="437">SUM(AV395:AV420)</f>
        <v>1171.6546712100003</v>
      </c>
      <c r="AW421" s="169">
        <f t="shared" ref="AW421" si="438">SUM(AW395:AW420)</f>
        <v>1172.7801800200002</v>
      </c>
      <c r="AX421" s="169">
        <f t="shared" ref="AX421" si="439">SUM(AX395:AX420)</f>
        <v>1173.9056888300001</v>
      </c>
      <c r="AY421" s="169">
        <f t="shared" ref="AY421" si="440">SUM(AY395:AY420)</f>
        <v>1175.0311976400001</v>
      </c>
      <c r="AZ421" s="169">
        <f t="shared" ref="AZ421" si="441">SUM(AZ395:AZ420)</f>
        <v>1176.15670645</v>
      </c>
      <c r="BA421" s="169">
        <f t="shared" ref="BA421" si="442">SUM(BA395:BA420)</f>
        <v>1177.2822152599999</v>
      </c>
      <c r="BB421" s="169">
        <f t="shared" ref="BB421" si="443">SUM(BB395:BB420)</f>
        <v>1178.4077240699999</v>
      </c>
      <c r="BC421" s="169">
        <f t="shared" ref="BC421" si="444">SUM(BC395:BC420)</f>
        <v>1179.53323288</v>
      </c>
      <c r="BD421" s="169">
        <f t="shared" ref="BD421" si="445">SUM(BD395:BD420)</f>
        <v>1216.0785039406999</v>
      </c>
      <c r="BE421" s="169">
        <f t="shared" ref="BE421" si="446">SUM(BE395:BE420)</f>
        <v>1217.237778015</v>
      </c>
      <c r="BF421" s="169">
        <f t="shared" ref="BF421" si="447">SUM(BF395:BF420)</f>
        <v>1218.3970520892999</v>
      </c>
      <c r="BG421" s="169">
        <f t="shared" ref="BG421" si="448">SUM(BG395:BG420)</f>
        <v>1219.5563261635998</v>
      </c>
      <c r="BH421" s="169">
        <f t="shared" ref="BH421" si="449">SUM(BH395:BH420)</f>
        <v>1220.7156002378999</v>
      </c>
      <c r="BI421" s="169">
        <f t="shared" ref="BI421" si="450">SUM(BI395:BI420)</f>
        <v>1221.8748743121998</v>
      </c>
      <c r="BJ421" s="169">
        <f t="shared" ref="BJ421" si="451">SUM(BJ395:BJ420)</f>
        <v>1223.0341483864997</v>
      </c>
      <c r="BK421" s="169">
        <f t="shared" ref="BK421" si="452">SUM(BK395:BK420)</f>
        <v>1224.1934224607999</v>
      </c>
      <c r="BL421" s="169">
        <f t="shared" ref="BL421" si="453">SUM(BL395:BL420)</f>
        <v>1225.3526965350998</v>
      </c>
      <c r="BM421" s="169">
        <f t="shared" ref="BM421" si="454">SUM(BM395:BM420)</f>
        <v>1226.5119706093999</v>
      </c>
      <c r="BN421" s="169">
        <f t="shared" ref="BN421" si="455">SUM(BN395:BN420)</f>
        <v>1227.6712446836998</v>
      </c>
      <c r="BO421" s="169">
        <f t="shared" ref="BO421" si="456">SUM(BO395:BO420)</f>
        <v>1228.8305187579999</v>
      </c>
      <c r="BP421" s="358"/>
      <c r="BQ421" s="358"/>
    </row>
    <row r="422" spans="2:69" s="22" customFormat="1" outlineLevel="1">
      <c r="E422" s="28"/>
      <c r="F422" s="29"/>
      <c r="G422" s="66"/>
    </row>
    <row r="423" spans="2:69" s="22" customFormat="1" outlineLevel="1">
      <c r="B423" s="32" t="s">
        <v>1281</v>
      </c>
      <c r="E423" s="28"/>
      <c r="F423" s="29"/>
      <c r="G423" s="66"/>
    </row>
    <row r="424" spans="2:69" s="22" customFormat="1" outlineLevel="1">
      <c r="B424" s="69" t="s">
        <v>1282</v>
      </c>
      <c r="E424" s="28"/>
      <c r="F424" s="29"/>
      <c r="G424" s="66"/>
    </row>
    <row r="425" spans="2:69" s="22" customFormat="1" outlineLevel="1">
      <c r="B425" s="69"/>
      <c r="C425" s="22" t="s">
        <v>1283</v>
      </c>
      <c r="D425" s="179">
        <f>Assumptions!D36</f>
        <v>5000</v>
      </c>
      <c r="E425" s="171" t="s">
        <v>1284</v>
      </c>
      <c r="F425" s="29" t="s">
        <v>119</v>
      </c>
      <c r="G425" s="167" cm="1">
        <f t="array" ref="G425:BO425">D425*_xlfn.ANCHORARRAY(G118)</f>
        <v>5000</v>
      </c>
      <c r="H425" s="148">
        <v>5150</v>
      </c>
      <c r="I425" s="148">
        <v>5150</v>
      </c>
      <c r="J425" s="148">
        <v>5150</v>
      </c>
      <c r="K425" s="148">
        <v>5150</v>
      </c>
      <c r="L425" s="148">
        <v>5150</v>
      </c>
      <c r="M425" s="148">
        <v>5150</v>
      </c>
      <c r="N425" s="148">
        <v>5150</v>
      </c>
      <c r="O425" s="148">
        <v>5150</v>
      </c>
      <c r="P425" s="148">
        <v>5150</v>
      </c>
      <c r="Q425" s="148">
        <v>5150</v>
      </c>
      <c r="R425" s="148">
        <v>5150</v>
      </c>
      <c r="S425" s="148">
        <v>5150</v>
      </c>
      <c r="T425" s="148">
        <v>5304.5</v>
      </c>
      <c r="U425" s="148">
        <v>5304.5</v>
      </c>
      <c r="V425" s="148">
        <v>5304.5</v>
      </c>
      <c r="W425" s="148">
        <v>5304.5</v>
      </c>
      <c r="X425" s="148">
        <v>5304.5</v>
      </c>
      <c r="Y425" s="148">
        <v>5304.5</v>
      </c>
      <c r="Z425" s="148">
        <v>5304.5</v>
      </c>
      <c r="AA425" s="148">
        <v>5304.5</v>
      </c>
      <c r="AB425" s="148">
        <v>5304.5</v>
      </c>
      <c r="AC425" s="148">
        <v>5304.5</v>
      </c>
      <c r="AD425" s="148">
        <v>5304.5</v>
      </c>
      <c r="AE425" s="148">
        <v>5304.5</v>
      </c>
      <c r="AF425" s="148">
        <v>5463.6350000000002</v>
      </c>
      <c r="AG425" s="148">
        <v>5463.6350000000002</v>
      </c>
      <c r="AH425" s="148">
        <v>5463.6350000000002</v>
      </c>
      <c r="AI425" s="148">
        <v>5463.6350000000002</v>
      </c>
      <c r="AJ425" s="148">
        <v>5463.6350000000002</v>
      </c>
      <c r="AK425" s="148">
        <v>5463.6350000000002</v>
      </c>
      <c r="AL425" s="148">
        <v>5463.6350000000002</v>
      </c>
      <c r="AM425" s="148">
        <v>5463.6350000000002</v>
      </c>
      <c r="AN425" s="148">
        <v>5463.6350000000002</v>
      </c>
      <c r="AO425" s="148">
        <v>5463.6350000000002</v>
      </c>
      <c r="AP425" s="148">
        <v>5463.6350000000002</v>
      </c>
      <c r="AQ425" s="148">
        <v>5463.6350000000002</v>
      </c>
      <c r="AR425" s="148">
        <v>5627.5440499999995</v>
      </c>
      <c r="AS425" s="148">
        <v>5627.5440499999995</v>
      </c>
      <c r="AT425" s="148">
        <v>5627.5440499999995</v>
      </c>
      <c r="AU425" s="148">
        <v>5627.5440499999995</v>
      </c>
      <c r="AV425" s="148">
        <v>5627.5440499999995</v>
      </c>
      <c r="AW425" s="148">
        <v>5627.5440499999995</v>
      </c>
      <c r="AX425" s="148">
        <v>5627.5440499999995</v>
      </c>
      <c r="AY425" s="148">
        <v>5627.5440499999995</v>
      </c>
      <c r="AZ425" s="148">
        <v>5627.5440499999995</v>
      </c>
      <c r="BA425" s="148">
        <v>5627.5440499999995</v>
      </c>
      <c r="BB425" s="148">
        <v>5627.5440499999995</v>
      </c>
      <c r="BC425" s="148">
        <v>5627.5440499999995</v>
      </c>
      <c r="BD425" s="148">
        <v>5796.3703714999992</v>
      </c>
      <c r="BE425" s="148">
        <v>5796.3703714999992</v>
      </c>
      <c r="BF425" s="148">
        <v>5796.3703714999992</v>
      </c>
      <c r="BG425" s="148">
        <v>5796.3703714999992</v>
      </c>
      <c r="BH425" s="148">
        <v>5796.3703714999992</v>
      </c>
      <c r="BI425" s="148">
        <v>5796.3703714999992</v>
      </c>
      <c r="BJ425" s="148">
        <v>5796.3703714999992</v>
      </c>
      <c r="BK425" s="148">
        <v>5796.3703714999992</v>
      </c>
      <c r="BL425" s="148">
        <v>5796.3703714999992</v>
      </c>
      <c r="BM425" s="148">
        <v>5796.3703714999992</v>
      </c>
      <c r="BN425" s="148">
        <v>5796.3703714999992</v>
      </c>
      <c r="BO425" s="148">
        <v>5796.3703714999992</v>
      </c>
      <c r="BP425" s="148"/>
      <c r="BQ425" s="148"/>
    </row>
    <row r="426" spans="2:69" s="22" customFormat="1" outlineLevel="1">
      <c r="C426" s="22" t="s">
        <v>1285</v>
      </c>
      <c r="D426" s="179">
        <f>Assumptions!D41</f>
        <v>2</v>
      </c>
      <c r="E426" s="171" t="s">
        <v>1278</v>
      </c>
      <c r="F426" s="29" t="s">
        <v>119</v>
      </c>
      <c r="G426" s="92" cm="1">
        <f t="array" ref="G426:BO426">D426*_xlfn.ANCHORARRAY(G118)</f>
        <v>2</v>
      </c>
      <c r="H426" s="148">
        <v>2.06</v>
      </c>
      <c r="I426" s="148">
        <v>2.06</v>
      </c>
      <c r="J426" s="148">
        <v>2.06</v>
      </c>
      <c r="K426" s="148">
        <v>2.06</v>
      </c>
      <c r="L426" s="148">
        <v>2.06</v>
      </c>
      <c r="M426" s="148">
        <v>2.06</v>
      </c>
      <c r="N426" s="148">
        <v>2.06</v>
      </c>
      <c r="O426" s="148">
        <v>2.06</v>
      </c>
      <c r="P426" s="148">
        <v>2.06</v>
      </c>
      <c r="Q426" s="148">
        <v>2.06</v>
      </c>
      <c r="R426" s="148">
        <v>2.06</v>
      </c>
      <c r="S426" s="148">
        <v>2.06</v>
      </c>
      <c r="T426" s="148">
        <v>2.1217999999999999</v>
      </c>
      <c r="U426" s="148">
        <v>2.1217999999999999</v>
      </c>
      <c r="V426" s="148">
        <v>2.1217999999999999</v>
      </c>
      <c r="W426" s="148">
        <v>2.1217999999999999</v>
      </c>
      <c r="X426" s="148">
        <v>2.1217999999999999</v>
      </c>
      <c r="Y426" s="148">
        <v>2.1217999999999999</v>
      </c>
      <c r="Z426" s="148">
        <v>2.1217999999999999</v>
      </c>
      <c r="AA426" s="148">
        <v>2.1217999999999999</v>
      </c>
      <c r="AB426" s="148">
        <v>2.1217999999999999</v>
      </c>
      <c r="AC426" s="148">
        <v>2.1217999999999999</v>
      </c>
      <c r="AD426" s="148">
        <v>2.1217999999999999</v>
      </c>
      <c r="AE426" s="148">
        <v>2.1217999999999999</v>
      </c>
      <c r="AF426" s="148">
        <v>2.185454</v>
      </c>
      <c r="AG426" s="148">
        <v>2.185454</v>
      </c>
      <c r="AH426" s="148">
        <v>2.185454</v>
      </c>
      <c r="AI426" s="148">
        <v>2.185454</v>
      </c>
      <c r="AJ426" s="148">
        <v>2.185454</v>
      </c>
      <c r="AK426" s="148">
        <v>2.185454</v>
      </c>
      <c r="AL426" s="148">
        <v>2.185454</v>
      </c>
      <c r="AM426" s="148">
        <v>2.185454</v>
      </c>
      <c r="AN426" s="148">
        <v>2.185454</v>
      </c>
      <c r="AO426" s="148">
        <v>2.185454</v>
      </c>
      <c r="AP426" s="148">
        <v>2.185454</v>
      </c>
      <c r="AQ426" s="148">
        <v>2.185454</v>
      </c>
      <c r="AR426" s="148">
        <v>2.2510176199999998</v>
      </c>
      <c r="AS426" s="148">
        <v>2.2510176199999998</v>
      </c>
      <c r="AT426" s="148">
        <v>2.2510176199999998</v>
      </c>
      <c r="AU426" s="148">
        <v>2.2510176199999998</v>
      </c>
      <c r="AV426" s="148">
        <v>2.2510176199999998</v>
      </c>
      <c r="AW426" s="148">
        <v>2.2510176199999998</v>
      </c>
      <c r="AX426" s="148">
        <v>2.2510176199999998</v>
      </c>
      <c r="AY426" s="148">
        <v>2.2510176199999998</v>
      </c>
      <c r="AZ426" s="148">
        <v>2.2510176199999998</v>
      </c>
      <c r="BA426" s="148">
        <v>2.2510176199999998</v>
      </c>
      <c r="BB426" s="148">
        <v>2.2510176199999998</v>
      </c>
      <c r="BC426" s="148">
        <v>2.2510176199999998</v>
      </c>
      <c r="BD426" s="148">
        <v>2.3185481485999997</v>
      </c>
      <c r="BE426" s="148">
        <v>2.3185481485999997</v>
      </c>
      <c r="BF426" s="148">
        <v>2.3185481485999997</v>
      </c>
      <c r="BG426" s="148">
        <v>2.3185481485999997</v>
      </c>
      <c r="BH426" s="148">
        <v>2.3185481485999997</v>
      </c>
      <c r="BI426" s="148">
        <v>2.3185481485999997</v>
      </c>
      <c r="BJ426" s="148">
        <v>2.3185481485999997</v>
      </c>
      <c r="BK426" s="148">
        <v>2.3185481485999997</v>
      </c>
      <c r="BL426" s="148">
        <v>2.3185481485999997</v>
      </c>
      <c r="BM426" s="148">
        <v>2.3185481485999997</v>
      </c>
      <c r="BN426" s="148">
        <v>2.3185481485999997</v>
      </c>
      <c r="BO426" s="148">
        <v>2.3185481485999997</v>
      </c>
      <c r="BP426" s="148"/>
      <c r="BQ426" s="148"/>
    </row>
    <row r="427" spans="2:69" s="22" customFormat="1" outlineLevel="1">
      <c r="C427" s="22" t="s">
        <v>1286</v>
      </c>
      <c r="D427" s="179">
        <v>1</v>
      </c>
      <c r="E427" s="194" t="s">
        <v>1287</v>
      </c>
      <c r="F427" s="29" t="s">
        <v>1230</v>
      </c>
      <c r="G427" s="153" cm="1">
        <f t="array" ref="G427:BO427">_xlfn.SEQUENCE(,61,0)</f>
        <v>0</v>
      </c>
      <c r="H427" s="140">
        <v>1</v>
      </c>
      <c r="I427" s="140">
        <v>2</v>
      </c>
      <c r="J427" s="140">
        <v>3</v>
      </c>
      <c r="K427" s="140">
        <v>4</v>
      </c>
      <c r="L427" s="140">
        <v>5</v>
      </c>
      <c r="M427" s="140">
        <v>6</v>
      </c>
      <c r="N427" s="140">
        <v>7</v>
      </c>
      <c r="O427" s="140">
        <v>8</v>
      </c>
      <c r="P427" s="140">
        <v>9</v>
      </c>
      <c r="Q427" s="140">
        <v>10</v>
      </c>
      <c r="R427" s="140">
        <v>11</v>
      </c>
      <c r="S427" s="140">
        <v>12</v>
      </c>
      <c r="T427" s="140">
        <v>13</v>
      </c>
      <c r="U427" s="140">
        <v>14</v>
      </c>
      <c r="V427" s="140">
        <v>15</v>
      </c>
      <c r="W427" s="140">
        <v>16</v>
      </c>
      <c r="X427" s="140">
        <v>17</v>
      </c>
      <c r="Y427" s="140">
        <v>18</v>
      </c>
      <c r="Z427" s="140">
        <v>19</v>
      </c>
      <c r="AA427" s="140">
        <v>20</v>
      </c>
      <c r="AB427" s="140">
        <v>21</v>
      </c>
      <c r="AC427" s="140">
        <v>22</v>
      </c>
      <c r="AD427" s="140">
        <v>23</v>
      </c>
      <c r="AE427" s="140">
        <v>24</v>
      </c>
      <c r="AF427" s="140">
        <v>25</v>
      </c>
      <c r="AG427" s="140">
        <v>26</v>
      </c>
      <c r="AH427" s="140">
        <v>27</v>
      </c>
      <c r="AI427" s="140">
        <v>28</v>
      </c>
      <c r="AJ427" s="140">
        <v>29</v>
      </c>
      <c r="AK427" s="140">
        <v>30</v>
      </c>
      <c r="AL427" s="140">
        <v>31</v>
      </c>
      <c r="AM427" s="140">
        <v>32</v>
      </c>
      <c r="AN427" s="140">
        <v>33</v>
      </c>
      <c r="AO427" s="140">
        <v>34</v>
      </c>
      <c r="AP427" s="140">
        <v>35</v>
      </c>
      <c r="AQ427" s="140">
        <v>36</v>
      </c>
      <c r="AR427" s="140">
        <v>37</v>
      </c>
      <c r="AS427" s="140">
        <v>38</v>
      </c>
      <c r="AT427" s="140">
        <v>39</v>
      </c>
      <c r="AU427" s="140">
        <v>40</v>
      </c>
      <c r="AV427" s="140">
        <v>41</v>
      </c>
      <c r="AW427" s="140">
        <v>42</v>
      </c>
      <c r="AX427" s="140">
        <v>43</v>
      </c>
      <c r="AY427" s="140">
        <v>44</v>
      </c>
      <c r="AZ427" s="140">
        <v>45</v>
      </c>
      <c r="BA427" s="140">
        <v>46</v>
      </c>
      <c r="BB427" s="140">
        <v>47</v>
      </c>
      <c r="BC427" s="140">
        <v>48</v>
      </c>
      <c r="BD427" s="140">
        <v>49</v>
      </c>
      <c r="BE427" s="140">
        <v>50</v>
      </c>
      <c r="BF427" s="140">
        <v>51</v>
      </c>
      <c r="BG427" s="140">
        <v>52</v>
      </c>
      <c r="BH427" s="140">
        <v>53</v>
      </c>
      <c r="BI427" s="140">
        <v>54</v>
      </c>
      <c r="BJ427" s="140">
        <v>55</v>
      </c>
      <c r="BK427" s="140">
        <v>56</v>
      </c>
      <c r="BL427" s="140">
        <v>57</v>
      </c>
      <c r="BM427" s="140">
        <v>58</v>
      </c>
      <c r="BN427" s="140">
        <v>59</v>
      </c>
      <c r="BO427" s="140">
        <v>60</v>
      </c>
      <c r="BP427" s="140"/>
      <c r="BQ427" s="140"/>
    </row>
    <row r="428" spans="2:69" s="31" customFormat="1" ht="12" customHeight="1" outlineLevel="1">
      <c r="C428" s="70" t="s">
        <v>1288</v>
      </c>
      <c r="D428" s="70"/>
      <c r="E428" s="71"/>
      <c r="F428" s="80" t="s">
        <v>119</v>
      </c>
      <c r="G428" s="168">
        <f>SUM(G425:G427)</f>
        <v>5002</v>
      </c>
      <c r="H428" s="169" cm="1">
        <f t="array" ref="H428:BO428">H425:BO425+H426:BO426*H427:BO427</f>
        <v>5152.0600000000004</v>
      </c>
      <c r="I428" s="169">
        <v>5154.12</v>
      </c>
      <c r="J428" s="169">
        <v>5156.18</v>
      </c>
      <c r="K428" s="169">
        <v>5158.24</v>
      </c>
      <c r="L428" s="169">
        <v>5160.3</v>
      </c>
      <c r="M428" s="169">
        <v>5162.3599999999997</v>
      </c>
      <c r="N428" s="169">
        <v>5164.42</v>
      </c>
      <c r="O428" s="169">
        <v>5166.4799999999996</v>
      </c>
      <c r="P428" s="169">
        <v>5168.54</v>
      </c>
      <c r="Q428" s="169">
        <v>5170.6000000000004</v>
      </c>
      <c r="R428" s="169">
        <v>5172.66</v>
      </c>
      <c r="S428" s="169">
        <v>5174.72</v>
      </c>
      <c r="T428" s="169">
        <v>5332.0834000000004</v>
      </c>
      <c r="U428" s="169">
        <v>5334.2052000000003</v>
      </c>
      <c r="V428" s="169">
        <v>5336.3270000000002</v>
      </c>
      <c r="W428" s="169">
        <v>5338.4488000000001</v>
      </c>
      <c r="X428" s="169">
        <v>5340.5706</v>
      </c>
      <c r="Y428" s="169">
        <v>5342.6923999999999</v>
      </c>
      <c r="Z428" s="169">
        <v>5344.8141999999998</v>
      </c>
      <c r="AA428" s="169">
        <v>5346.9359999999997</v>
      </c>
      <c r="AB428" s="169">
        <v>5349.0577999999996</v>
      </c>
      <c r="AC428" s="169">
        <v>5351.1796000000004</v>
      </c>
      <c r="AD428" s="169">
        <v>5353.3014000000003</v>
      </c>
      <c r="AE428" s="169">
        <v>5355.4232000000002</v>
      </c>
      <c r="AF428" s="169">
        <v>5518.27135</v>
      </c>
      <c r="AG428" s="169">
        <v>5520.4568040000004</v>
      </c>
      <c r="AH428" s="169">
        <v>5522.6422579999999</v>
      </c>
      <c r="AI428" s="169">
        <v>5524.8277120000002</v>
      </c>
      <c r="AJ428" s="169">
        <v>5527.0131660000006</v>
      </c>
      <c r="AK428" s="169">
        <v>5529.1986200000001</v>
      </c>
      <c r="AL428" s="169">
        <v>5531.3840740000005</v>
      </c>
      <c r="AM428" s="169">
        <v>5533.569528</v>
      </c>
      <c r="AN428" s="169">
        <v>5535.7549820000004</v>
      </c>
      <c r="AO428" s="169">
        <v>5537.9404359999999</v>
      </c>
      <c r="AP428" s="169">
        <v>5540.1258900000003</v>
      </c>
      <c r="AQ428" s="169">
        <v>5542.3113440000006</v>
      </c>
      <c r="AR428" s="169">
        <v>5710.8317019399992</v>
      </c>
      <c r="AS428" s="169">
        <v>5713.0827195599995</v>
      </c>
      <c r="AT428" s="169">
        <v>5715.3337371799998</v>
      </c>
      <c r="AU428" s="169">
        <v>5717.5847547999992</v>
      </c>
      <c r="AV428" s="169">
        <v>5719.8357724199996</v>
      </c>
      <c r="AW428" s="169">
        <v>5722.0867900399999</v>
      </c>
      <c r="AX428" s="169">
        <v>5724.3378076599993</v>
      </c>
      <c r="AY428" s="169">
        <v>5726.5888252799996</v>
      </c>
      <c r="AZ428" s="169">
        <v>5728.8398428999999</v>
      </c>
      <c r="BA428" s="169">
        <v>5731.0908605199993</v>
      </c>
      <c r="BB428" s="169">
        <v>5733.3418781399996</v>
      </c>
      <c r="BC428" s="169">
        <v>5735.5928957599999</v>
      </c>
      <c r="BD428" s="169">
        <v>5909.9792307813996</v>
      </c>
      <c r="BE428" s="169">
        <v>5912.2977789299994</v>
      </c>
      <c r="BF428" s="169">
        <v>5914.6163270785992</v>
      </c>
      <c r="BG428" s="169">
        <v>5916.934875227199</v>
      </c>
      <c r="BH428" s="169">
        <v>5919.2534233757988</v>
      </c>
      <c r="BI428" s="169">
        <v>5921.5719715243995</v>
      </c>
      <c r="BJ428" s="169">
        <v>5923.8905196729993</v>
      </c>
      <c r="BK428" s="169">
        <v>5926.2090678215991</v>
      </c>
      <c r="BL428" s="169">
        <v>5928.5276159701989</v>
      </c>
      <c r="BM428" s="169">
        <v>5930.8461641187996</v>
      </c>
      <c r="BN428" s="169">
        <v>5933.1647122673994</v>
      </c>
      <c r="BO428" s="169">
        <v>5935.4832604159992</v>
      </c>
      <c r="BP428" s="358"/>
      <c r="BQ428" s="358"/>
    </row>
    <row r="429" spans="2:69" s="22" customFormat="1" outlineLevel="1">
      <c r="E429" s="28"/>
      <c r="F429" s="29"/>
      <c r="G429" s="66"/>
    </row>
    <row r="430" spans="2:69" s="22" customFormat="1" ht="12" customHeight="1" outlineLevel="1">
      <c r="B430" s="181" t="s">
        <v>1289</v>
      </c>
      <c r="C430" s="182"/>
      <c r="D430" s="182"/>
      <c r="E430" s="183"/>
      <c r="F430" s="184"/>
      <c r="G430" s="66"/>
      <c r="H430" s="182"/>
      <c r="I430" s="182"/>
      <c r="J430" s="182"/>
      <c r="K430" s="182"/>
      <c r="L430" s="182"/>
      <c r="M430" s="182"/>
      <c r="N430" s="182"/>
      <c r="O430" s="182"/>
      <c r="P430" s="182"/>
      <c r="Q430" s="182"/>
      <c r="R430" s="182"/>
      <c r="S430" s="182"/>
      <c r="T430" s="182"/>
      <c r="U430" s="182"/>
      <c r="V430" s="182"/>
      <c r="W430" s="182"/>
      <c r="X430" s="182"/>
      <c r="Y430" s="182"/>
      <c r="Z430" s="182"/>
      <c r="AA430" s="182"/>
      <c r="AB430" s="182"/>
      <c r="AC430" s="182"/>
      <c r="AD430" s="182"/>
      <c r="AE430" s="182"/>
      <c r="AF430" s="182"/>
      <c r="AG430" s="182"/>
      <c r="AH430" s="182"/>
      <c r="AI430" s="182"/>
      <c r="AJ430" s="182"/>
      <c r="AK430" s="182"/>
      <c r="AL430" s="182"/>
      <c r="AM430" s="182"/>
      <c r="AN430" s="182"/>
      <c r="AO430" s="182"/>
      <c r="AP430" s="182"/>
      <c r="AQ430" s="182"/>
      <c r="AR430" s="182"/>
      <c r="AS430" s="182"/>
      <c r="AT430" s="182"/>
      <c r="AU430" s="182"/>
      <c r="AV430" s="182"/>
      <c r="AW430" s="182"/>
      <c r="AX430" s="182"/>
      <c r="AY430" s="182"/>
      <c r="AZ430" s="182"/>
      <c r="BA430" s="182"/>
      <c r="BB430" s="182"/>
      <c r="BC430" s="182"/>
      <c r="BD430" s="182"/>
      <c r="BE430" s="182"/>
      <c r="BF430" s="182"/>
      <c r="BG430" s="182"/>
      <c r="BH430" s="182"/>
      <c r="BI430" s="182"/>
      <c r="BJ430" s="182"/>
      <c r="BK430" s="182"/>
      <c r="BL430" s="182"/>
      <c r="BM430" s="182"/>
      <c r="BN430" s="182"/>
      <c r="BO430" s="182"/>
      <c r="BP430" s="182"/>
      <c r="BQ430" s="182"/>
    </row>
    <row r="431" spans="2:69" s="22" customFormat="1" outlineLevel="1">
      <c r="B431" s="182"/>
      <c r="C431" s="185" t="s">
        <v>1259</v>
      </c>
      <c r="D431" s="185"/>
      <c r="E431" s="186"/>
      <c r="F431" s="187" t="str" cm="1">
        <f t="array" ref="F431:BO431">F323:BO323</f>
        <v>[$k]</v>
      </c>
      <c r="G431" s="81">
        <v>137551.31999999995</v>
      </c>
      <c r="H431" s="188">
        <v>75655.749519999983</v>
      </c>
      <c r="I431" s="188">
        <v>70997.200372499981</v>
      </c>
      <c r="J431" s="188">
        <v>94643.196145999973</v>
      </c>
      <c r="K431" s="188">
        <v>94741.696918727263</v>
      </c>
      <c r="L431" s="188">
        <v>94812.808118727262</v>
      </c>
      <c r="M431" s="188">
        <v>94826.651318727265</v>
      </c>
      <c r="N431" s="188">
        <v>94919.576651034949</v>
      </c>
      <c r="O431" s="188">
        <v>95014.779153607291</v>
      </c>
      <c r="P431" s="188">
        <v>95107.066547724928</v>
      </c>
      <c r="Q431" s="188">
        <v>95237.676985224927</v>
      </c>
      <c r="R431" s="188">
        <v>95336.567285224912</v>
      </c>
      <c r="S431" s="188">
        <v>143143.18713783746</v>
      </c>
      <c r="T431" s="188">
        <v>78681.202127025346</v>
      </c>
      <c r="U431" s="188">
        <v>73834.559146979125</v>
      </c>
      <c r="V431" s="188">
        <v>98545.427779227059</v>
      </c>
      <c r="W431" s="188">
        <v>98633.100555227065</v>
      </c>
      <c r="X431" s="188">
        <v>98732.102417102054</v>
      </c>
      <c r="Y431" s="188">
        <v>98829.632769545904</v>
      </c>
      <c r="Z431" s="188">
        <v>98924.371707885206</v>
      </c>
      <c r="AA431" s="188">
        <v>99017.497509885201</v>
      </c>
      <c r="AB431" s="188">
        <v>99074.251416285188</v>
      </c>
      <c r="AC431" s="188">
        <v>99172.256542208255</v>
      </c>
      <c r="AD431" s="188">
        <v>99267.819383065405</v>
      </c>
      <c r="AE431" s="188">
        <v>148901.72907459814</v>
      </c>
      <c r="AF431" s="188">
        <v>81864.423503829938</v>
      </c>
      <c r="AG431" s="188">
        <v>76805.330765960549</v>
      </c>
      <c r="AH431" s="188">
        <v>102532.06102039738</v>
      </c>
      <c r="AI431" s="188">
        <v>102630.98668843435</v>
      </c>
      <c r="AJ431" s="188">
        <v>102714.74552425677</v>
      </c>
      <c r="AK431" s="188">
        <v>102819.24499404314</v>
      </c>
      <c r="AL431" s="188">
        <v>102894.68686612314</v>
      </c>
      <c r="AM431" s="188">
        <v>102953.43186964314</v>
      </c>
      <c r="AN431" s="188">
        <v>103052.01635468837</v>
      </c>
      <c r="AO431" s="188">
        <v>103153.01668966735</v>
      </c>
      <c r="AP431" s="188">
        <v>103250.92438608679</v>
      </c>
      <c r="AQ431" s="188">
        <v>155084.23349884583</v>
      </c>
      <c r="AR431" s="188">
        <v>85279.38701604442</v>
      </c>
      <c r="AS431" s="188">
        <v>80025.007183414011</v>
      </c>
      <c r="AT431" s="188">
        <v>106784.66584853829</v>
      </c>
      <c r="AU431" s="188">
        <v>106885.00174321033</v>
      </c>
      <c r="AV431" s="188">
        <v>106990.40100881879</v>
      </c>
      <c r="AW431" s="188">
        <v>106990.40100881879</v>
      </c>
      <c r="AX431" s="188">
        <v>107095.43208408199</v>
      </c>
      <c r="AY431" s="188">
        <v>107198.90203498966</v>
      </c>
      <c r="AZ431" s="188">
        <v>107299.41057467381</v>
      </c>
      <c r="BA431" s="188">
        <v>107398.20773801563</v>
      </c>
      <c r="BB431" s="188">
        <v>107478.48803041529</v>
      </c>
      <c r="BC431" s="188">
        <v>161373.69250276062</v>
      </c>
      <c r="BD431" s="188">
        <v>88731.487691970906</v>
      </c>
      <c r="BE431" s="188">
        <v>83270.938099639272</v>
      </c>
      <c r="BF431" s="188">
        <v>111117.74961420322</v>
      </c>
      <c r="BG431" s="188">
        <v>111198.99154133016</v>
      </c>
      <c r="BH431" s="188">
        <v>111331.55453172637</v>
      </c>
      <c r="BI431" s="188">
        <v>111436.50477294682</v>
      </c>
      <c r="BJ431" s="188">
        <v>111525.36452187083</v>
      </c>
      <c r="BK431" s="188">
        <v>111636.22800936717</v>
      </c>
      <c r="BL431" s="188">
        <v>111716.26429145683</v>
      </c>
      <c r="BM431" s="188">
        <v>111778.58686569121</v>
      </c>
      <c r="BN431" s="188">
        <v>111883.17514587569</v>
      </c>
      <c r="BO431" s="188">
        <v>167985.48960188238</v>
      </c>
      <c r="BP431" s="359"/>
      <c r="BQ431" s="359"/>
    </row>
    <row r="432" spans="2:69" s="22" customFormat="1" outlineLevel="1">
      <c r="B432" s="182"/>
      <c r="C432" s="182" t="s">
        <v>1260</v>
      </c>
      <c r="D432" s="182"/>
      <c r="E432" s="186"/>
      <c r="F432" s="184" t="str" cm="1">
        <f t="array" ref="F432:BO432">F359:BO359</f>
        <v>[$k]</v>
      </c>
      <c r="G432" s="79">
        <v>8505.6</v>
      </c>
      <c r="H432" s="189">
        <v>8768.1839999999993</v>
      </c>
      <c r="I432" s="189">
        <v>8775.6</v>
      </c>
      <c r="J432" s="189">
        <v>8783.0159999999996</v>
      </c>
      <c r="K432" s="189">
        <v>8790.4320000000007</v>
      </c>
      <c r="L432" s="189">
        <v>8797.848</v>
      </c>
      <c r="M432" s="189">
        <v>8805.2639999999992</v>
      </c>
      <c r="N432" s="189">
        <v>8812.68</v>
      </c>
      <c r="O432" s="189">
        <v>8820.0959999999995</v>
      </c>
      <c r="P432" s="189">
        <v>8827.5120000000006</v>
      </c>
      <c r="Q432" s="189">
        <v>8834.9279999999999</v>
      </c>
      <c r="R432" s="189">
        <v>8842.3439999999991</v>
      </c>
      <c r="S432" s="189">
        <v>8849.76</v>
      </c>
      <c r="T432" s="189">
        <v>9122.8912799999998</v>
      </c>
      <c r="U432" s="189">
        <v>9130.5297599999994</v>
      </c>
      <c r="V432" s="189">
        <v>9138.1682400000009</v>
      </c>
      <c r="W432" s="189">
        <v>9145.8067199999987</v>
      </c>
      <c r="X432" s="189">
        <v>9153.4452000000001</v>
      </c>
      <c r="Y432" s="189">
        <v>9161.0836799999997</v>
      </c>
      <c r="Z432" s="189">
        <v>9168.7221599999993</v>
      </c>
      <c r="AA432" s="189">
        <v>9176.360639999999</v>
      </c>
      <c r="AB432" s="189">
        <v>9183.9991199999986</v>
      </c>
      <c r="AC432" s="189">
        <v>9191.6376</v>
      </c>
      <c r="AD432" s="189">
        <v>9199.2760799999996</v>
      </c>
      <c r="AE432" s="189">
        <v>9206.9145599999993</v>
      </c>
      <c r="AF432" s="189">
        <v>9490.9896312000001</v>
      </c>
      <c r="AG432" s="189">
        <v>9498.8572655999997</v>
      </c>
      <c r="AH432" s="189">
        <v>9506.7249000000011</v>
      </c>
      <c r="AI432" s="189">
        <v>9514.5925343999988</v>
      </c>
      <c r="AJ432" s="189">
        <v>9522.4601688000002</v>
      </c>
      <c r="AK432" s="189">
        <v>9530.3278032000017</v>
      </c>
      <c r="AL432" s="189">
        <v>9538.1954375999994</v>
      </c>
      <c r="AM432" s="189">
        <v>9546.0630720000008</v>
      </c>
      <c r="AN432" s="189">
        <v>9553.9307064000004</v>
      </c>
      <c r="AO432" s="189">
        <v>9561.7983408</v>
      </c>
      <c r="AP432" s="189">
        <v>9569.6659751999996</v>
      </c>
      <c r="AQ432" s="189">
        <v>9577.5336095999992</v>
      </c>
      <c r="AR432" s="189">
        <v>9872.9632813200005</v>
      </c>
      <c r="AS432" s="189">
        <v>9881.0669447519995</v>
      </c>
      <c r="AT432" s="189">
        <v>9889.1706081839984</v>
      </c>
      <c r="AU432" s="189">
        <v>9897.2742716159992</v>
      </c>
      <c r="AV432" s="189">
        <v>9905.3779350479999</v>
      </c>
      <c r="AW432" s="189">
        <v>9913.4815984799989</v>
      </c>
      <c r="AX432" s="189">
        <v>9921.5852619119996</v>
      </c>
      <c r="AY432" s="189">
        <v>9929.6889253440004</v>
      </c>
      <c r="AZ432" s="189">
        <v>9937.7925887759993</v>
      </c>
      <c r="BA432" s="189">
        <v>9945.8962522080001</v>
      </c>
      <c r="BB432" s="189">
        <v>9953.9999156400008</v>
      </c>
      <c r="BC432" s="189">
        <v>9962.103579071998</v>
      </c>
      <c r="BD432" s="189">
        <v>10269.313459779118</v>
      </c>
      <c r="BE432" s="189">
        <v>10277.660233114078</v>
      </c>
      <c r="BF432" s="189">
        <v>10286.007006449037</v>
      </c>
      <c r="BG432" s="189">
        <v>10294.353779783998</v>
      </c>
      <c r="BH432" s="189">
        <v>10302.700553118957</v>
      </c>
      <c r="BI432" s="189">
        <v>10311.047326453918</v>
      </c>
      <c r="BJ432" s="189">
        <v>10319.394099788879</v>
      </c>
      <c r="BK432" s="189">
        <v>10327.740873123837</v>
      </c>
      <c r="BL432" s="189">
        <v>10336.087646458798</v>
      </c>
      <c r="BM432" s="189">
        <v>10344.434419793759</v>
      </c>
      <c r="BN432" s="189">
        <v>10352.781193128718</v>
      </c>
      <c r="BO432" s="189">
        <v>10361.127966463677</v>
      </c>
      <c r="BP432" s="189"/>
      <c r="BQ432" s="189"/>
    </row>
    <row r="433" spans="2:69" s="22" customFormat="1" outlineLevel="1">
      <c r="B433" s="182"/>
      <c r="C433" s="182" t="s">
        <v>1290</v>
      </c>
      <c r="D433" s="182"/>
      <c r="E433" s="186"/>
      <c r="F433" s="184" t="str" cm="1">
        <f t="array" ref="F433:BO433">F389:BO389</f>
        <v>[$k]</v>
      </c>
      <c r="G433" s="79">
        <v>2917.1001900000001</v>
      </c>
      <c r="H433" s="189">
        <v>3008.2790738500012</v>
      </c>
      <c r="I433" s="189">
        <v>3011.1852772166676</v>
      </c>
      <c r="J433" s="189">
        <v>3014.3989493166678</v>
      </c>
      <c r="K433" s="189">
        <v>3017.6513742303041</v>
      </c>
      <c r="L433" s="189">
        <v>3019.768199330304</v>
      </c>
      <c r="M433" s="189">
        <v>3021.5420275636375</v>
      </c>
      <c r="N433" s="189">
        <v>3024.5455364036375</v>
      </c>
      <c r="O433" s="189">
        <v>3027.5741449923835</v>
      </c>
      <c r="P433" s="189">
        <v>3030.5038939570895</v>
      </c>
      <c r="Q433" s="189">
        <v>3035.0158977945894</v>
      </c>
      <c r="R433" s="189">
        <v>3038.3215385945896</v>
      </c>
      <c r="S433" s="189">
        <v>3041.2906495545894</v>
      </c>
      <c r="T433" s="189">
        <v>3135.8016938732267</v>
      </c>
      <c r="U433" s="189">
        <v>3139.1253783897982</v>
      </c>
      <c r="V433" s="189">
        <v>3142.3219320796411</v>
      </c>
      <c r="W433" s="189">
        <v>3145.854283501641</v>
      </c>
      <c r="X433" s="189">
        <v>3148.6402639250159</v>
      </c>
      <c r="Y433" s="189">
        <v>3151.7102215714226</v>
      </c>
      <c r="Z433" s="189">
        <v>3154.7241377490714</v>
      </c>
      <c r="AA433" s="189">
        <v>3157.6672012712893</v>
      </c>
      <c r="AB433" s="189">
        <v>3160.683255099289</v>
      </c>
      <c r="AC433" s="189">
        <v>3163.8435276732889</v>
      </c>
      <c r="AD433" s="189">
        <v>3166.5914481197174</v>
      </c>
      <c r="AE433" s="189">
        <v>3170.5317049827177</v>
      </c>
      <c r="AF433" s="189">
        <v>3268.4904910529763</v>
      </c>
      <c r="AG433" s="189">
        <v>3270.1421697680162</v>
      </c>
      <c r="AH433" s="189">
        <v>3274.0312998973513</v>
      </c>
      <c r="AI433" s="189">
        <v>3277.1144910490475</v>
      </c>
      <c r="AJ433" s="189">
        <v>3280.523875779938</v>
      </c>
      <c r="AK433" s="189">
        <v>3283.9743733708146</v>
      </c>
      <c r="AL433" s="189">
        <v>3286.2201131194047</v>
      </c>
      <c r="AM433" s="189">
        <v>3288.1019674921481</v>
      </c>
      <c r="AN433" s="189">
        <v>3291.2883900205043</v>
      </c>
      <c r="AO433" s="189">
        <v>3294.5014408723046</v>
      </c>
      <c r="AP433" s="189">
        <v>3297.6096115489609</v>
      </c>
      <c r="AQ433" s="189">
        <v>3302.3963964201648</v>
      </c>
      <c r="AR433" s="189">
        <v>3405.0804512672312</v>
      </c>
      <c r="AS433" s="189">
        <v>3408.3248789792187</v>
      </c>
      <c r="AT433" s="189">
        <v>3411.7964883934874</v>
      </c>
      <c r="AU433" s="189">
        <v>3415.3225852971182</v>
      </c>
      <c r="AV433" s="189">
        <v>3418.7138091066727</v>
      </c>
      <c r="AW433" s="189">
        <v>3422.4612807302728</v>
      </c>
      <c r="AX433" s="189">
        <v>3425.4169273614316</v>
      </c>
      <c r="AY433" s="189">
        <v>3428.6738454285041</v>
      </c>
      <c r="AZ433" s="189">
        <v>3431.8713091013719</v>
      </c>
      <c r="BA433" s="189">
        <v>3434.9936051920936</v>
      </c>
      <c r="BB433" s="189">
        <v>3438.1933366982189</v>
      </c>
      <c r="BC433" s="189">
        <v>3441.5460698719753</v>
      </c>
      <c r="BD433" s="189">
        <v>3547.7951788337973</v>
      </c>
      <c r="BE433" s="189">
        <v>3552.1008038949326</v>
      </c>
      <c r="BF433" s="189">
        <v>3555.1167674623844</v>
      </c>
      <c r="BG433" s="189">
        <v>3556.8690334111702</v>
      </c>
      <c r="BH433" s="189">
        <v>3560.9950115653824</v>
      </c>
      <c r="BI433" s="189">
        <v>3564.2659690582173</v>
      </c>
      <c r="BJ433" s="189">
        <v>3567.8829853192178</v>
      </c>
      <c r="BK433" s="189">
        <v>3571.5436182133794</v>
      </c>
      <c r="BL433" s="189">
        <v>3573.9261235126583</v>
      </c>
      <c r="BM433" s="189">
        <v>3575.9225828167023</v>
      </c>
      <c r="BN433" s="189">
        <v>3579.3030584770345</v>
      </c>
      <c r="BO433" s="189">
        <v>3582.71178412571</v>
      </c>
      <c r="BP433" s="189"/>
      <c r="BQ433" s="189"/>
    </row>
    <row r="434" spans="2:69" s="22" customFormat="1" outlineLevel="1">
      <c r="B434" s="182"/>
      <c r="C434" s="182" t="s">
        <v>1276</v>
      </c>
      <c r="D434" s="182"/>
      <c r="E434" s="186"/>
      <c r="F434" s="184" t="str" cm="1">
        <f t="array" ref="F434:BO434">F421:BO421</f>
        <v>[$k]</v>
      </c>
      <c r="G434" s="79">
        <v>1000</v>
      </c>
      <c r="H434" s="189">
        <v>1031.0299999999997</v>
      </c>
      <c r="I434" s="189">
        <v>1032.0599999999997</v>
      </c>
      <c r="J434" s="189">
        <v>1033.0899999999997</v>
      </c>
      <c r="K434" s="189">
        <v>1034.1199999999997</v>
      </c>
      <c r="L434" s="189">
        <v>1035.1499999999996</v>
      </c>
      <c r="M434" s="189">
        <v>1036.1799999999996</v>
      </c>
      <c r="N434" s="189">
        <v>1037.2099999999996</v>
      </c>
      <c r="O434" s="189">
        <v>1038.2399999999996</v>
      </c>
      <c r="P434" s="189">
        <v>1039.2699999999998</v>
      </c>
      <c r="Q434" s="189">
        <v>1040.2999999999997</v>
      </c>
      <c r="R434" s="189">
        <v>1041.3299999999997</v>
      </c>
      <c r="S434" s="189">
        <v>1042.3599999999999</v>
      </c>
      <c r="T434" s="189">
        <v>1074.6916999999999</v>
      </c>
      <c r="U434" s="189">
        <v>1075.7526</v>
      </c>
      <c r="V434" s="189">
        <v>1076.8135</v>
      </c>
      <c r="W434" s="189">
        <v>1077.8743999999999</v>
      </c>
      <c r="X434" s="189">
        <v>1078.9352999999999</v>
      </c>
      <c r="Y434" s="189">
        <v>1079.9962</v>
      </c>
      <c r="Z434" s="189">
        <v>1081.0571</v>
      </c>
      <c r="AA434" s="189">
        <v>1082.1179999999999</v>
      </c>
      <c r="AB434" s="189">
        <v>1083.1788999999999</v>
      </c>
      <c r="AC434" s="189">
        <v>1084.2397999999998</v>
      </c>
      <c r="AD434" s="189">
        <v>1085.3006999999998</v>
      </c>
      <c r="AE434" s="189">
        <v>1086.3615999999997</v>
      </c>
      <c r="AF434" s="189">
        <v>1120.0451750000004</v>
      </c>
      <c r="AG434" s="189">
        <v>1121.1379020000004</v>
      </c>
      <c r="AH434" s="189">
        <v>1122.2306290000004</v>
      </c>
      <c r="AI434" s="189">
        <v>1123.3233560000003</v>
      </c>
      <c r="AJ434" s="189">
        <v>1124.4160830000003</v>
      </c>
      <c r="AK434" s="189">
        <v>1125.5088100000003</v>
      </c>
      <c r="AL434" s="189">
        <v>1126.6015370000002</v>
      </c>
      <c r="AM434" s="189">
        <v>1127.6942640000002</v>
      </c>
      <c r="AN434" s="189">
        <v>1128.7869910000004</v>
      </c>
      <c r="AO434" s="189">
        <v>1129.8797180000004</v>
      </c>
      <c r="AP434" s="189">
        <v>1130.9724450000003</v>
      </c>
      <c r="AQ434" s="189">
        <v>1132.0651720000003</v>
      </c>
      <c r="AR434" s="189">
        <v>1167.1526359700003</v>
      </c>
      <c r="AS434" s="189">
        <v>1168.2781447800003</v>
      </c>
      <c r="AT434" s="189">
        <v>1169.4036535900002</v>
      </c>
      <c r="AU434" s="189">
        <v>1170.5291624000004</v>
      </c>
      <c r="AV434" s="189">
        <v>1171.6546712100003</v>
      </c>
      <c r="AW434" s="189">
        <v>1172.7801800200002</v>
      </c>
      <c r="AX434" s="189">
        <v>1173.9056888300001</v>
      </c>
      <c r="AY434" s="189">
        <v>1175.0311976400001</v>
      </c>
      <c r="AZ434" s="189">
        <v>1176.15670645</v>
      </c>
      <c r="BA434" s="189">
        <v>1177.2822152599999</v>
      </c>
      <c r="BB434" s="189">
        <v>1178.4077240699999</v>
      </c>
      <c r="BC434" s="189">
        <v>1179.53323288</v>
      </c>
      <c r="BD434" s="189">
        <v>1216.0785039406999</v>
      </c>
      <c r="BE434" s="189">
        <v>1217.237778015</v>
      </c>
      <c r="BF434" s="189">
        <v>1218.3970520892999</v>
      </c>
      <c r="BG434" s="189">
        <v>1219.5563261635998</v>
      </c>
      <c r="BH434" s="189">
        <v>1220.7156002378999</v>
      </c>
      <c r="BI434" s="189">
        <v>1221.8748743121998</v>
      </c>
      <c r="BJ434" s="189">
        <v>1223.0341483864997</v>
      </c>
      <c r="BK434" s="189">
        <v>1224.1934224607999</v>
      </c>
      <c r="BL434" s="189">
        <v>1225.3526965350998</v>
      </c>
      <c r="BM434" s="189">
        <v>1226.5119706093999</v>
      </c>
      <c r="BN434" s="189">
        <v>1227.6712446836998</v>
      </c>
      <c r="BO434" s="189">
        <v>1228.8305187579999</v>
      </c>
      <c r="BP434" s="189"/>
      <c r="BQ434" s="189"/>
    </row>
    <row r="435" spans="2:69" s="22" customFormat="1" outlineLevel="1">
      <c r="B435" s="182"/>
      <c r="C435" s="183" t="s">
        <v>1282</v>
      </c>
      <c r="D435" s="183"/>
      <c r="E435" s="195"/>
      <c r="F435" s="196" t="str" cm="1">
        <f t="array" ref="F435:BO435">F428:BO428</f>
        <v>[$k]</v>
      </c>
      <c r="G435" s="82">
        <v>5002</v>
      </c>
      <c r="H435" s="197">
        <v>5152.0600000000004</v>
      </c>
      <c r="I435" s="197">
        <v>5154.12</v>
      </c>
      <c r="J435" s="197">
        <v>5156.18</v>
      </c>
      <c r="K435" s="197">
        <v>5158.24</v>
      </c>
      <c r="L435" s="197">
        <v>5160.3</v>
      </c>
      <c r="M435" s="197">
        <v>5162.3599999999997</v>
      </c>
      <c r="N435" s="197">
        <v>5164.42</v>
      </c>
      <c r="O435" s="197">
        <v>5166.4799999999996</v>
      </c>
      <c r="P435" s="197">
        <v>5168.54</v>
      </c>
      <c r="Q435" s="197">
        <v>5170.6000000000004</v>
      </c>
      <c r="R435" s="197">
        <v>5172.66</v>
      </c>
      <c r="S435" s="197">
        <v>5174.72</v>
      </c>
      <c r="T435" s="197">
        <v>5332.0834000000004</v>
      </c>
      <c r="U435" s="197">
        <v>5334.2052000000003</v>
      </c>
      <c r="V435" s="197">
        <v>5336.3270000000002</v>
      </c>
      <c r="W435" s="197">
        <v>5338.4488000000001</v>
      </c>
      <c r="X435" s="197">
        <v>5340.5706</v>
      </c>
      <c r="Y435" s="197">
        <v>5342.6923999999999</v>
      </c>
      <c r="Z435" s="197">
        <v>5344.8141999999998</v>
      </c>
      <c r="AA435" s="197">
        <v>5346.9359999999997</v>
      </c>
      <c r="AB435" s="197">
        <v>5349.0577999999996</v>
      </c>
      <c r="AC435" s="197">
        <v>5351.1796000000004</v>
      </c>
      <c r="AD435" s="197">
        <v>5353.3014000000003</v>
      </c>
      <c r="AE435" s="197">
        <v>5355.4232000000002</v>
      </c>
      <c r="AF435" s="197">
        <v>5518.27135</v>
      </c>
      <c r="AG435" s="197">
        <v>5520.4568040000004</v>
      </c>
      <c r="AH435" s="197">
        <v>5522.6422579999999</v>
      </c>
      <c r="AI435" s="197">
        <v>5524.8277120000002</v>
      </c>
      <c r="AJ435" s="197">
        <v>5527.0131660000006</v>
      </c>
      <c r="AK435" s="197">
        <v>5529.1986200000001</v>
      </c>
      <c r="AL435" s="197">
        <v>5531.3840740000005</v>
      </c>
      <c r="AM435" s="197">
        <v>5533.569528</v>
      </c>
      <c r="AN435" s="197">
        <v>5535.7549820000004</v>
      </c>
      <c r="AO435" s="197">
        <v>5537.9404359999999</v>
      </c>
      <c r="AP435" s="197">
        <v>5540.1258900000003</v>
      </c>
      <c r="AQ435" s="197">
        <v>5542.3113440000006</v>
      </c>
      <c r="AR435" s="197">
        <v>5710.8317019399992</v>
      </c>
      <c r="AS435" s="197">
        <v>5713.0827195599995</v>
      </c>
      <c r="AT435" s="197">
        <v>5715.3337371799998</v>
      </c>
      <c r="AU435" s="197">
        <v>5717.5847547999992</v>
      </c>
      <c r="AV435" s="197">
        <v>5719.8357724199996</v>
      </c>
      <c r="AW435" s="197">
        <v>5722.0867900399999</v>
      </c>
      <c r="AX435" s="197">
        <v>5724.3378076599993</v>
      </c>
      <c r="AY435" s="197">
        <v>5726.5888252799996</v>
      </c>
      <c r="AZ435" s="197">
        <v>5728.8398428999999</v>
      </c>
      <c r="BA435" s="197">
        <v>5731.0908605199993</v>
      </c>
      <c r="BB435" s="197">
        <v>5733.3418781399996</v>
      </c>
      <c r="BC435" s="197">
        <v>5735.5928957599999</v>
      </c>
      <c r="BD435" s="197">
        <v>5909.9792307813996</v>
      </c>
      <c r="BE435" s="197">
        <v>5912.2977789299994</v>
      </c>
      <c r="BF435" s="197">
        <v>5914.6163270785992</v>
      </c>
      <c r="BG435" s="197">
        <v>5916.934875227199</v>
      </c>
      <c r="BH435" s="197">
        <v>5919.2534233757988</v>
      </c>
      <c r="BI435" s="197">
        <v>5921.5719715243995</v>
      </c>
      <c r="BJ435" s="197">
        <v>5923.8905196729993</v>
      </c>
      <c r="BK435" s="197">
        <v>5926.2090678215991</v>
      </c>
      <c r="BL435" s="197">
        <v>5928.5276159701989</v>
      </c>
      <c r="BM435" s="197">
        <v>5930.8461641187996</v>
      </c>
      <c r="BN435" s="197">
        <v>5933.1647122673994</v>
      </c>
      <c r="BO435" s="197">
        <v>5935.4832604159992</v>
      </c>
      <c r="BP435" s="359"/>
      <c r="BQ435" s="359"/>
    </row>
    <row r="436" spans="2:69" s="31" customFormat="1" ht="12.6" customHeight="1" outlineLevel="1">
      <c r="B436" s="190"/>
      <c r="C436" s="83" t="s">
        <v>1291</v>
      </c>
      <c r="D436" s="84"/>
      <c r="E436" s="85"/>
      <c r="F436" s="86" t="s">
        <v>119</v>
      </c>
      <c r="G436" s="178">
        <f>SUM(G431:G435)</f>
        <v>154976.02018999995</v>
      </c>
      <c r="H436" s="174">
        <f>SUM(H431:H435)</f>
        <v>93615.302593849978</v>
      </c>
      <c r="I436" s="174">
        <f t="shared" ref="I436:BO436" si="457">SUM(I431:I435)</f>
        <v>88970.165649716655</v>
      </c>
      <c r="J436" s="174">
        <f t="shared" si="457"/>
        <v>112629.88109531664</v>
      </c>
      <c r="K436" s="174">
        <f t="shared" si="457"/>
        <v>112742.14029295757</v>
      </c>
      <c r="L436" s="174">
        <f t="shared" si="457"/>
        <v>112825.87431805755</v>
      </c>
      <c r="M436" s="174">
        <f t="shared" si="457"/>
        <v>112851.9973462909</v>
      </c>
      <c r="N436" s="174">
        <f t="shared" si="457"/>
        <v>112958.43218743859</v>
      </c>
      <c r="O436" s="174">
        <f t="shared" si="457"/>
        <v>113067.16929859968</v>
      </c>
      <c r="P436" s="174">
        <f t="shared" si="457"/>
        <v>113172.89244168202</v>
      </c>
      <c r="Q436" s="174">
        <f t="shared" si="457"/>
        <v>113318.52088301952</v>
      </c>
      <c r="R436" s="174">
        <f t="shared" si="457"/>
        <v>113431.22282381951</v>
      </c>
      <c r="S436" s="174">
        <f t="shared" si="457"/>
        <v>161251.31778739204</v>
      </c>
      <c r="T436" s="174">
        <f t="shared" si="457"/>
        <v>97346.670200898574</v>
      </c>
      <c r="U436" s="174">
        <f t="shared" si="457"/>
        <v>92514.172085368933</v>
      </c>
      <c r="V436" s="174">
        <f t="shared" si="457"/>
        <v>117239.0584513067</v>
      </c>
      <c r="W436" s="174">
        <f t="shared" si="457"/>
        <v>117341.0847587287</v>
      </c>
      <c r="X436" s="174">
        <f t="shared" si="457"/>
        <v>117453.69378102708</v>
      </c>
      <c r="Y436" s="174">
        <f t="shared" si="457"/>
        <v>117565.11527111732</v>
      </c>
      <c r="Z436" s="174">
        <f t="shared" si="457"/>
        <v>117673.68930563428</v>
      </c>
      <c r="AA436" s="174">
        <f t="shared" si="457"/>
        <v>117780.5793511565</v>
      </c>
      <c r="AB436" s="174">
        <f t="shared" si="457"/>
        <v>117851.17049138446</v>
      </c>
      <c r="AC436" s="174">
        <f t="shared" si="457"/>
        <v>117963.15706988155</v>
      </c>
      <c r="AD436" s="174">
        <f t="shared" si="457"/>
        <v>118072.28901118512</v>
      </c>
      <c r="AE436" s="174">
        <f t="shared" si="457"/>
        <v>167720.96013958086</v>
      </c>
      <c r="AF436" s="174">
        <f t="shared" si="457"/>
        <v>101262.22015108292</v>
      </c>
      <c r="AG436" s="174">
        <f t="shared" si="457"/>
        <v>96215.924907328576</v>
      </c>
      <c r="AH436" s="174">
        <f t="shared" si="457"/>
        <v>121957.69010729474</v>
      </c>
      <c r="AI436" s="174">
        <f t="shared" si="457"/>
        <v>122070.8447818834</v>
      </c>
      <c r="AJ436" s="174">
        <f t="shared" si="457"/>
        <v>122169.15881783671</v>
      </c>
      <c r="AK436" s="174">
        <f t="shared" si="457"/>
        <v>122288.25460061395</v>
      </c>
      <c r="AL436" s="174">
        <f t="shared" si="457"/>
        <v>122377.08802784253</v>
      </c>
      <c r="AM436" s="174">
        <f t="shared" si="457"/>
        <v>122448.8607011353</v>
      </c>
      <c r="AN436" s="174">
        <f t="shared" si="457"/>
        <v>122561.77742410888</v>
      </c>
      <c r="AO436" s="174">
        <f t="shared" si="457"/>
        <v>122677.13662533966</v>
      </c>
      <c r="AP436" s="174">
        <f t="shared" si="457"/>
        <v>122789.29830783575</v>
      </c>
      <c r="AQ436" s="174">
        <f t="shared" si="457"/>
        <v>174638.540020866</v>
      </c>
      <c r="AR436" s="174">
        <f t="shared" si="457"/>
        <v>105435.41508654166</v>
      </c>
      <c r="AS436" s="174">
        <f t="shared" si="457"/>
        <v>100195.75987148522</v>
      </c>
      <c r="AT436" s="174">
        <f t="shared" si="457"/>
        <v>126970.37033588577</v>
      </c>
      <c r="AU436" s="174">
        <f t="shared" si="457"/>
        <v>127085.71251732345</v>
      </c>
      <c r="AV436" s="174">
        <f t="shared" si="457"/>
        <v>127205.98319660347</v>
      </c>
      <c r="AW436" s="174">
        <f t="shared" si="457"/>
        <v>127221.21085808906</v>
      </c>
      <c r="AX436" s="174">
        <f t="shared" si="457"/>
        <v>127340.67776984541</v>
      </c>
      <c r="AY436" s="174">
        <f t="shared" si="457"/>
        <v>127458.88482868217</v>
      </c>
      <c r="AZ436" s="174">
        <f t="shared" si="457"/>
        <v>127574.07102190117</v>
      </c>
      <c r="BA436" s="174">
        <f t="shared" si="457"/>
        <v>127687.47067119571</v>
      </c>
      <c r="BB436" s="174">
        <f t="shared" si="457"/>
        <v>127782.4308849635</v>
      </c>
      <c r="BC436" s="174">
        <f t="shared" si="457"/>
        <v>181692.46828034459</v>
      </c>
      <c r="BD436" s="174">
        <f t="shared" si="457"/>
        <v>109674.65406530593</v>
      </c>
      <c r="BE436" s="174">
        <f t="shared" si="457"/>
        <v>104230.23469359329</v>
      </c>
      <c r="BF436" s="174">
        <f t="shared" si="457"/>
        <v>132091.88676728256</v>
      </c>
      <c r="BG436" s="174">
        <f t="shared" si="457"/>
        <v>132186.70555591612</v>
      </c>
      <c r="BH436" s="174">
        <f t="shared" si="457"/>
        <v>132335.21912002441</v>
      </c>
      <c r="BI436" s="174">
        <f t="shared" si="457"/>
        <v>132455.26491429555</v>
      </c>
      <c r="BJ436" s="174">
        <f t="shared" si="457"/>
        <v>132559.56627503844</v>
      </c>
      <c r="BK436" s="174">
        <f t="shared" si="457"/>
        <v>132685.91499098678</v>
      </c>
      <c r="BL436" s="174">
        <f t="shared" si="457"/>
        <v>132780.15837393358</v>
      </c>
      <c r="BM436" s="174">
        <f t="shared" si="457"/>
        <v>132856.30200302985</v>
      </c>
      <c r="BN436" s="174">
        <f t="shared" si="457"/>
        <v>132976.09535443253</v>
      </c>
      <c r="BO436" s="174">
        <f t="shared" si="457"/>
        <v>189093.64313164577</v>
      </c>
      <c r="BP436" s="360"/>
      <c r="BQ436" s="360"/>
    </row>
    <row r="437" spans="2:69" s="22" customFormat="1" outlineLevel="1">
      <c r="E437" s="28"/>
      <c r="F437" s="29"/>
      <c r="G437" s="66"/>
    </row>
    <row r="438" spans="2:69" s="23" customFormat="1" ht="13.7" customHeight="1">
      <c r="B438" s="57" t="s">
        <v>1292</v>
      </c>
      <c r="C438" s="58"/>
      <c r="D438" s="58"/>
      <c r="E438" s="59"/>
      <c r="F438" s="60"/>
      <c r="G438" s="58"/>
      <c r="H438" s="58"/>
      <c r="I438" s="58"/>
      <c r="J438" s="58"/>
      <c r="K438" s="58"/>
      <c r="L438" s="58"/>
      <c r="M438" s="58"/>
      <c r="N438" s="58"/>
      <c r="O438" s="58"/>
      <c r="P438" s="58"/>
      <c r="Q438" s="58"/>
      <c r="R438" s="58"/>
      <c r="S438" s="58"/>
      <c r="T438" s="58"/>
      <c r="U438" s="58"/>
      <c r="V438" s="58"/>
      <c r="W438" s="58"/>
      <c r="X438" s="58"/>
      <c r="Y438" s="58"/>
      <c r="Z438" s="58"/>
      <c r="AA438" s="58"/>
      <c r="AB438" s="58"/>
      <c r="AC438" s="58"/>
      <c r="AD438" s="58"/>
      <c r="AE438" s="58"/>
      <c r="AF438" s="58"/>
      <c r="AG438" s="58"/>
      <c r="AH438" s="58"/>
      <c r="AI438" s="58"/>
      <c r="AJ438" s="58"/>
      <c r="AK438" s="58"/>
      <c r="AL438" s="58"/>
      <c r="AM438" s="58"/>
      <c r="AN438" s="58"/>
      <c r="AO438" s="58"/>
      <c r="AP438" s="58"/>
      <c r="AQ438" s="58"/>
      <c r="AR438" s="58"/>
      <c r="AS438" s="58"/>
      <c r="AT438" s="58"/>
      <c r="AU438" s="58"/>
      <c r="AV438" s="58"/>
      <c r="AW438" s="58"/>
      <c r="AX438" s="58"/>
      <c r="AY438" s="58"/>
      <c r="AZ438" s="58"/>
      <c r="BA438" s="58"/>
      <c r="BB438" s="58"/>
      <c r="BC438" s="58"/>
      <c r="BD438" s="58"/>
      <c r="BE438" s="58"/>
      <c r="BF438" s="58"/>
      <c r="BG438" s="58"/>
      <c r="BH438" s="58"/>
      <c r="BI438" s="58"/>
      <c r="BJ438" s="58"/>
      <c r="BK438" s="58"/>
      <c r="BL438" s="58"/>
      <c r="BM438" s="58"/>
      <c r="BN438" s="58"/>
      <c r="BO438" s="58"/>
      <c r="BP438" s="356"/>
      <c r="BQ438" s="356"/>
    </row>
    <row r="439" spans="2:69" s="22" customFormat="1" outlineLevel="1">
      <c r="B439" s="32"/>
      <c r="E439" s="28"/>
      <c r="F439" s="29"/>
      <c r="G439" s="66"/>
    </row>
    <row r="440" spans="2:69" s="22" customFormat="1" outlineLevel="1">
      <c r="B440" s="32"/>
      <c r="C440" s="22" t="s">
        <v>1293</v>
      </c>
      <c r="E440" s="28"/>
      <c r="F440" s="29" t="s">
        <v>1294</v>
      </c>
      <c r="G440" s="66"/>
      <c r="H440" s="22" cm="1">
        <f t="array" ref="H440:BO440">H8:BO8-H7:BO7+1</f>
        <v>31</v>
      </c>
      <c r="I440" s="22">
        <v>28</v>
      </c>
      <c r="J440" s="22">
        <v>31</v>
      </c>
      <c r="K440" s="22">
        <v>30</v>
      </c>
      <c r="L440" s="22">
        <v>31</v>
      </c>
      <c r="M440" s="22">
        <v>30</v>
      </c>
      <c r="N440" s="22">
        <v>31</v>
      </c>
      <c r="O440" s="22">
        <v>31</v>
      </c>
      <c r="P440" s="22">
        <v>30</v>
      </c>
      <c r="Q440" s="22">
        <v>31</v>
      </c>
      <c r="R440" s="22">
        <v>30</v>
      </c>
      <c r="S440" s="22">
        <v>31</v>
      </c>
      <c r="T440" s="22">
        <v>31</v>
      </c>
      <c r="U440" s="22">
        <v>28</v>
      </c>
      <c r="V440" s="22">
        <v>31</v>
      </c>
      <c r="W440" s="22">
        <v>30</v>
      </c>
      <c r="X440" s="22">
        <v>31</v>
      </c>
      <c r="Y440" s="22">
        <v>30</v>
      </c>
      <c r="Z440" s="22">
        <v>31</v>
      </c>
      <c r="AA440" s="22">
        <v>31</v>
      </c>
      <c r="AB440" s="22">
        <v>30</v>
      </c>
      <c r="AC440" s="22">
        <v>31</v>
      </c>
      <c r="AD440" s="22">
        <v>30</v>
      </c>
      <c r="AE440" s="22">
        <v>31</v>
      </c>
      <c r="AF440" s="22">
        <v>31</v>
      </c>
      <c r="AG440" s="22">
        <v>29</v>
      </c>
      <c r="AH440" s="22">
        <v>31</v>
      </c>
      <c r="AI440" s="22">
        <v>30</v>
      </c>
      <c r="AJ440" s="22">
        <v>31</v>
      </c>
      <c r="AK440" s="22">
        <v>30</v>
      </c>
      <c r="AL440" s="22">
        <v>31</v>
      </c>
      <c r="AM440" s="22">
        <v>31</v>
      </c>
      <c r="AN440" s="22">
        <v>30</v>
      </c>
      <c r="AO440" s="22">
        <v>31</v>
      </c>
      <c r="AP440" s="22">
        <v>30</v>
      </c>
      <c r="AQ440" s="22">
        <v>31</v>
      </c>
      <c r="AR440" s="22">
        <v>31</v>
      </c>
      <c r="AS440" s="22">
        <v>28</v>
      </c>
      <c r="AT440" s="22">
        <v>31</v>
      </c>
      <c r="AU440" s="22">
        <v>30</v>
      </c>
      <c r="AV440" s="22">
        <v>31</v>
      </c>
      <c r="AW440" s="22">
        <v>30</v>
      </c>
      <c r="AX440" s="22">
        <v>31</v>
      </c>
      <c r="AY440" s="22">
        <v>31</v>
      </c>
      <c r="AZ440" s="22">
        <v>30</v>
      </c>
      <c r="BA440" s="22">
        <v>31</v>
      </c>
      <c r="BB440" s="22">
        <v>30</v>
      </c>
      <c r="BC440" s="22">
        <v>31</v>
      </c>
      <c r="BD440" s="22">
        <v>31</v>
      </c>
      <c r="BE440" s="22">
        <v>28</v>
      </c>
      <c r="BF440" s="22">
        <v>31</v>
      </c>
      <c r="BG440" s="22">
        <v>30</v>
      </c>
      <c r="BH440" s="22">
        <v>31</v>
      </c>
      <c r="BI440" s="22">
        <v>30</v>
      </c>
      <c r="BJ440" s="22">
        <v>31</v>
      </c>
      <c r="BK440" s="22">
        <v>31</v>
      </c>
      <c r="BL440" s="22">
        <v>30</v>
      </c>
      <c r="BM440" s="22">
        <v>31</v>
      </c>
      <c r="BN440" s="22">
        <v>30</v>
      </c>
      <c r="BO440" s="22">
        <v>31</v>
      </c>
    </row>
    <row r="441" spans="2:69" s="22" customFormat="1" outlineLevel="1">
      <c r="B441" s="32"/>
      <c r="E441" s="28"/>
      <c r="F441" s="29"/>
      <c r="G441" s="66"/>
    </row>
    <row r="442" spans="2:69" s="22" customFormat="1" outlineLevel="1">
      <c r="B442" s="69" t="s">
        <v>1295</v>
      </c>
      <c r="E442" s="28"/>
      <c r="F442" s="29"/>
      <c r="G442" s="66"/>
    </row>
    <row r="443" spans="2:69" s="22" customFormat="1" outlineLevel="1">
      <c r="B443" s="69"/>
      <c r="C443" s="22" t="s">
        <v>120</v>
      </c>
      <c r="D443" s="198">
        <f>Assumptions!D66</f>
        <v>0.5</v>
      </c>
      <c r="E443" s="171" t="s">
        <v>1296</v>
      </c>
      <c r="F443" s="29" t="s">
        <v>62</v>
      </c>
      <c r="G443" s="167">
        <f>+D443</f>
        <v>0.5</v>
      </c>
      <c r="H443" s="148">
        <f>$D$443</f>
        <v>0.5</v>
      </c>
      <c r="I443" s="148">
        <f t="shared" ref="I443:BO443" si="458">$D$443</f>
        <v>0.5</v>
      </c>
      <c r="J443" s="148">
        <f t="shared" si="458"/>
        <v>0.5</v>
      </c>
      <c r="K443" s="148">
        <f t="shared" si="458"/>
        <v>0.5</v>
      </c>
      <c r="L443" s="148">
        <f t="shared" si="458"/>
        <v>0.5</v>
      </c>
      <c r="M443" s="148">
        <f t="shared" si="458"/>
        <v>0.5</v>
      </c>
      <c r="N443" s="148">
        <f t="shared" si="458"/>
        <v>0.5</v>
      </c>
      <c r="O443" s="148">
        <f t="shared" si="458"/>
        <v>0.5</v>
      </c>
      <c r="P443" s="148">
        <f t="shared" si="458"/>
        <v>0.5</v>
      </c>
      <c r="Q443" s="148">
        <f t="shared" si="458"/>
        <v>0.5</v>
      </c>
      <c r="R443" s="148">
        <f t="shared" si="458"/>
        <v>0.5</v>
      </c>
      <c r="S443" s="148">
        <f t="shared" si="458"/>
        <v>0.5</v>
      </c>
      <c r="T443" s="148">
        <f t="shared" si="458"/>
        <v>0.5</v>
      </c>
      <c r="U443" s="148">
        <f t="shared" si="458"/>
        <v>0.5</v>
      </c>
      <c r="V443" s="148">
        <f t="shared" si="458"/>
        <v>0.5</v>
      </c>
      <c r="W443" s="148">
        <f t="shared" si="458"/>
        <v>0.5</v>
      </c>
      <c r="X443" s="148">
        <f t="shared" si="458"/>
        <v>0.5</v>
      </c>
      <c r="Y443" s="148">
        <f t="shared" si="458"/>
        <v>0.5</v>
      </c>
      <c r="Z443" s="148">
        <f t="shared" si="458"/>
        <v>0.5</v>
      </c>
      <c r="AA443" s="148">
        <f t="shared" si="458"/>
        <v>0.5</v>
      </c>
      <c r="AB443" s="148">
        <f t="shared" si="458"/>
        <v>0.5</v>
      </c>
      <c r="AC443" s="148">
        <f t="shared" si="458"/>
        <v>0.5</v>
      </c>
      <c r="AD443" s="148">
        <f t="shared" si="458"/>
        <v>0.5</v>
      </c>
      <c r="AE443" s="148">
        <f t="shared" si="458"/>
        <v>0.5</v>
      </c>
      <c r="AF443" s="148">
        <f t="shared" si="458"/>
        <v>0.5</v>
      </c>
      <c r="AG443" s="148">
        <f t="shared" si="458"/>
        <v>0.5</v>
      </c>
      <c r="AH443" s="148">
        <f t="shared" si="458"/>
        <v>0.5</v>
      </c>
      <c r="AI443" s="148">
        <f t="shared" si="458"/>
        <v>0.5</v>
      </c>
      <c r="AJ443" s="148">
        <f t="shared" si="458"/>
        <v>0.5</v>
      </c>
      <c r="AK443" s="148">
        <f t="shared" si="458"/>
        <v>0.5</v>
      </c>
      <c r="AL443" s="148">
        <f t="shared" si="458"/>
        <v>0.5</v>
      </c>
      <c r="AM443" s="148">
        <f t="shared" si="458"/>
        <v>0.5</v>
      </c>
      <c r="AN443" s="148">
        <f t="shared" si="458"/>
        <v>0.5</v>
      </c>
      <c r="AO443" s="148">
        <f t="shared" si="458"/>
        <v>0.5</v>
      </c>
      <c r="AP443" s="148">
        <f t="shared" si="458"/>
        <v>0.5</v>
      </c>
      <c r="AQ443" s="148">
        <f t="shared" si="458"/>
        <v>0.5</v>
      </c>
      <c r="AR443" s="148">
        <f t="shared" si="458"/>
        <v>0.5</v>
      </c>
      <c r="AS443" s="148">
        <f t="shared" si="458"/>
        <v>0.5</v>
      </c>
      <c r="AT443" s="148">
        <f t="shared" si="458"/>
        <v>0.5</v>
      </c>
      <c r="AU443" s="148">
        <f t="shared" si="458"/>
        <v>0.5</v>
      </c>
      <c r="AV443" s="148">
        <f t="shared" si="458"/>
        <v>0.5</v>
      </c>
      <c r="AW443" s="148">
        <f t="shared" si="458"/>
        <v>0.5</v>
      </c>
      <c r="AX443" s="148">
        <f t="shared" si="458"/>
        <v>0.5</v>
      </c>
      <c r="AY443" s="148">
        <f t="shared" si="458"/>
        <v>0.5</v>
      </c>
      <c r="AZ443" s="148">
        <f t="shared" si="458"/>
        <v>0.5</v>
      </c>
      <c r="BA443" s="148">
        <f t="shared" si="458"/>
        <v>0.5</v>
      </c>
      <c r="BB443" s="148">
        <f t="shared" si="458"/>
        <v>0.5</v>
      </c>
      <c r="BC443" s="148">
        <f t="shared" si="458"/>
        <v>0.5</v>
      </c>
      <c r="BD443" s="148">
        <f t="shared" si="458"/>
        <v>0.5</v>
      </c>
      <c r="BE443" s="148">
        <f t="shared" si="458"/>
        <v>0.5</v>
      </c>
      <c r="BF443" s="148">
        <f t="shared" si="458"/>
        <v>0.5</v>
      </c>
      <c r="BG443" s="148">
        <f t="shared" si="458"/>
        <v>0.5</v>
      </c>
      <c r="BH443" s="148">
        <f t="shared" si="458"/>
        <v>0.5</v>
      </c>
      <c r="BI443" s="148">
        <f t="shared" si="458"/>
        <v>0.5</v>
      </c>
      <c r="BJ443" s="148">
        <f t="shared" si="458"/>
        <v>0.5</v>
      </c>
      <c r="BK443" s="148">
        <f t="shared" si="458"/>
        <v>0.5</v>
      </c>
      <c r="BL443" s="148">
        <f t="shared" si="458"/>
        <v>0.5</v>
      </c>
      <c r="BM443" s="148">
        <f t="shared" si="458"/>
        <v>0.5</v>
      </c>
      <c r="BN443" s="148">
        <f t="shared" si="458"/>
        <v>0.5</v>
      </c>
      <c r="BO443" s="148">
        <f t="shared" si="458"/>
        <v>0.5</v>
      </c>
      <c r="BP443" s="148"/>
      <c r="BQ443" s="148"/>
    </row>
    <row r="444" spans="2:69" s="22" customFormat="1" outlineLevel="1">
      <c r="B444" s="69"/>
      <c r="C444" s="22" t="s">
        <v>1297</v>
      </c>
      <c r="D444" s="199">
        <f>Assumptions!D67</f>
        <v>92.5</v>
      </c>
      <c r="E444" s="194" t="s">
        <v>1298</v>
      </c>
      <c r="F444" s="29" t="s">
        <v>119</v>
      </c>
      <c r="G444" s="167">
        <f>+D444</f>
        <v>92.5</v>
      </c>
      <c r="H444" s="148" cm="1">
        <f t="array" ref="H444:BO444">D444*H118:BO118</f>
        <v>95.275000000000006</v>
      </c>
      <c r="I444" s="148">
        <v>95.275000000000006</v>
      </c>
      <c r="J444" s="148">
        <v>95.275000000000006</v>
      </c>
      <c r="K444" s="148">
        <v>95.275000000000006</v>
      </c>
      <c r="L444" s="148">
        <v>95.275000000000006</v>
      </c>
      <c r="M444" s="148">
        <v>95.275000000000006</v>
      </c>
      <c r="N444" s="148">
        <v>95.275000000000006</v>
      </c>
      <c r="O444" s="148">
        <v>95.275000000000006</v>
      </c>
      <c r="P444" s="148">
        <v>95.275000000000006</v>
      </c>
      <c r="Q444" s="148">
        <v>95.275000000000006</v>
      </c>
      <c r="R444" s="148">
        <v>95.275000000000006</v>
      </c>
      <c r="S444" s="148">
        <v>95.275000000000006</v>
      </c>
      <c r="T444" s="148">
        <v>98.13324999999999</v>
      </c>
      <c r="U444" s="148">
        <v>98.13324999999999</v>
      </c>
      <c r="V444" s="148">
        <v>98.13324999999999</v>
      </c>
      <c r="W444" s="148">
        <v>98.13324999999999</v>
      </c>
      <c r="X444" s="148">
        <v>98.13324999999999</v>
      </c>
      <c r="Y444" s="148">
        <v>98.13324999999999</v>
      </c>
      <c r="Z444" s="148">
        <v>98.13324999999999</v>
      </c>
      <c r="AA444" s="148">
        <v>98.13324999999999</v>
      </c>
      <c r="AB444" s="148">
        <v>98.13324999999999</v>
      </c>
      <c r="AC444" s="148">
        <v>98.13324999999999</v>
      </c>
      <c r="AD444" s="148">
        <v>98.13324999999999</v>
      </c>
      <c r="AE444" s="148">
        <v>98.13324999999999</v>
      </c>
      <c r="AF444" s="148">
        <v>101.0772475</v>
      </c>
      <c r="AG444" s="148">
        <v>101.0772475</v>
      </c>
      <c r="AH444" s="148">
        <v>101.0772475</v>
      </c>
      <c r="AI444" s="148">
        <v>101.0772475</v>
      </c>
      <c r="AJ444" s="148">
        <v>101.0772475</v>
      </c>
      <c r="AK444" s="148">
        <v>101.0772475</v>
      </c>
      <c r="AL444" s="148">
        <v>101.0772475</v>
      </c>
      <c r="AM444" s="148">
        <v>101.0772475</v>
      </c>
      <c r="AN444" s="148">
        <v>101.0772475</v>
      </c>
      <c r="AO444" s="148">
        <v>101.0772475</v>
      </c>
      <c r="AP444" s="148">
        <v>101.0772475</v>
      </c>
      <c r="AQ444" s="148">
        <v>101.0772475</v>
      </c>
      <c r="AR444" s="148">
        <v>104.10956492499999</v>
      </c>
      <c r="AS444" s="148">
        <v>104.10956492499999</v>
      </c>
      <c r="AT444" s="148">
        <v>104.10956492499999</v>
      </c>
      <c r="AU444" s="148">
        <v>104.10956492499999</v>
      </c>
      <c r="AV444" s="148">
        <v>104.10956492499999</v>
      </c>
      <c r="AW444" s="148">
        <v>104.10956492499999</v>
      </c>
      <c r="AX444" s="148">
        <v>104.10956492499999</v>
      </c>
      <c r="AY444" s="148">
        <v>104.10956492499999</v>
      </c>
      <c r="AZ444" s="148">
        <v>104.10956492499999</v>
      </c>
      <c r="BA444" s="148">
        <v>104.10956492499999</v>
      </c>
      <c r="BB444" s="148">
        <v>104.10956492499999</v>
      </c>
      <c r="BC444" s="148">
        <v>104.10956492499999</v>
      </c>
      <c r="BD444" s="148">
        <v>107.23285187274999</v>
      </c>
      <c r="BE444" s="148">
        <v>107.23285187274999</v>
      </c>
      <c r="BF444" s="148">
        <v>107.23285187274999</v>
      </c>
      <c r="BG444" s="148">
        <v>107.23285187274999</v>
      </c>
      <c r="BH444" s="148">
        <v>107.23285187274999</v>
      </c>
      <c r="BI444" s="148">
        <v>107.23285187274999</v>
      </c>
      <c r="BJ444" s="148">
        <v>107.23285187274999</v>
      </c>
      <c r="BK444" s="148">
        <v>107.23285187274999</v>
      </c>
      <c r="BL444" s="148">
        <v>107.23285187274999</v>
      </c>
      <c r="BM444" s="148">
        <v>107.23285187274999</v>
      </c>
      <c r="BN444" s="148">
        <v>107.23285187274999</v>
      </c>
      <c r="BO444" s="148">
        <v>107.23285187274999</v>
      </c>
      <c r="BP444" s="148"/>
      <c r="BQ444" s="148"/>
    </row>
    <row r="445" spans="2:69" s="22" customFormat="1" outlineLevel="1">
      <c r="B445" s="69"/>
      <c r="C445" s="22" t="s">
        <v>129</v>
      </c>
      <c r="D445" s="198">
        <f>Assumptions!D68</f>
        <v>1</v>
      </c>
      <c r="E445" s="171" t="s">
        <v>1299</v>
      </c>
      <c r="F445" s="29" t="s">
        <v>62</v>
      </c>
      <c r="G445" s="167">
        <f>+D445</f>
        <v>1</v>
      </c>
      <c r="H445" s="148">
        <f>$D$445</f>
        <v>1</v>
      </c>
      <c r="I445" s="148">
        <f t="shared" ref="I445:BO445" si="459">$D$445</f>
        <v>1</v>
      </c>
      <c r="J445" s="148">
        <f t="shared" si="459"/>
        <v>1</v>
      </c>
      <c r="K445" s="148">
        <f t="shared" si="459"/>
        <v>1</v>
      </c>
      <c r="L445" s="148">
        <f t="shared" si="459"/>
        <v>1</v>
      </c>
      <c r="M445" s="148">
        <f t="shared" si="459"/>
        <v>1</v>
      </c>
      <c r="N445" s="148">
        <f t="shared" si="459"/>
        <v>1</v>
      </c>
      <c r="O445" s="148">
        <f t="shared" si="459"/>
        <v>1</v>
      </c>
      <c r="P445" s="148">
        <f t="shared" si="459"/>
        <v>1</v>
      </c>
      <c r="Q445" s="148">
        <f t="shared" si="459"/>
        <v>1</v>
      </c>
      <c r="R445" s="148">
        <f t="shared" si="459"/>
        <v>1</v>
      </c>
      <c r="S445" s="148">
        <f t="shared" si="459"/>
        <v>1</v>
      </c>
      <c r="T445" s="148">
        <f t="shared" si="459"/>
        <v>1</v>
      </c>
      <c r="U445" s="148">
        <f t="shared" si="459"/>
        <v>1</v>
      </c>
      <c r="V445" s="148">
        <f t="shared" si="459"/>
        <v>1</v>
      </c>
      <c r="W445" s="148">
        <f t="shared" si="459"/>
        <v>1</v>
      </c>
      <c r="X445" s="148">
        <f t="shared" si="459"/>
        <v>1</v>
      </c>
      <c r="Y445" s="148">
        <f t="shared" si="459"/>
        <v>1</v>
      </c>
      <c r="Z445" s="148">
        <f t="shared" si="459"/>
        <v>1</v>
      </c>
      <c r="AA445" s="148">
        <f t="shared" si="459"/>
        <v>1</v>
      </c>
      <c r="AB445" s="148">
        <f t="shared" si="459"/>
        <v>1</v>
      </c>
      <c r="AC445" s="148">
        <f t="shared" si="459"/>
        <v>1</v>
      </c>
      <c r="AD445" s="148">
        <f t="shared" si="459"/>
        <v>1</v>
      </c>
      <c r="AE445" s="148">
        <f t="shared" si="459"/>
        <v>1</v>
      </c>
      <c r="AF445" s="148">
        <f t="shared" si="459"/>
        <v>1</v>
      </c>
      <c r="AG445" s="148">
        <f t="shared" si="459"/>
        <v>1</v>
      </c>
      <c r="AH445" s="148">
        <f t="shared" si="459"/>
        <v>1</v>
      </c>
      <c r="AI445" s="148">
        <f t="shared" si="459"/>
        <v>1</v>
      </c>
      <c r="AJ445" s="148">
        <f t="shared" si="459"/>
        <v>1</v>
      </c>
      <c r="AK445" s="148">
        <f t="shared" si="459"/>
        <v>1</v>
      </c>
      <c r="AL445" s="148">
        <f t="shared" si="459"/>
        <v>1</v>
      </c>
      <c r="AM445" s="148">
        <f t="shared" si="459"/>
        <v>1</v>
      </c>
      <c r="AN445" s="148">
        <f t="shared" si="459"/>
        <v>1</v>
      </c>
      <c r="AO445" s="148">
        <f t="shared" si="459"/>
        <v>1</v>
      </c>
      <c r="AP445" s="148">
        <f t="shared" si="459"/>
        <v>1</v>
      </c>
      <c r="AQ445" s="148">
        <f t="shared" si="459"/>
        <v>1</v>
      </c>
      <c r="AR445" s="148">
        <f t="shared" si="459"/>
        <v>1</v>
      </c>
      <c r="AS445" s="148">
        <f t="shared" si="459"/>
        <v>1</v>
      </c>
      <c r="AT445" s="148">
        <f t="shared" si="459"/>
        <v>1</v>
      </c>
      <c r="AU445" s="148">
        <f t="shared" si="459"/>
        <v>1</v>
      </c>
      <c r="AV445" s="148">
        <f t="shared" si="459"/>
        <v>1</v>
      </c>
      <c r="AW445" s="148">
        <f t="shared" si="459"/>
        <v>1</v>
      </c>
      <c r="AX445" s="148">
        <f t="shared" si="459"/>
        <v>1</v>
      </c>
      <c r="AY445" s="148">
        <f t="shared" si="459"/>
        <v>1</v>
      </c>
      <c r="AZ445" s="148">
        <f t="shared" si="459"/>
        <v>1</v>
      </c>
      <c r="BA445" s="148">
        <f t="shared" si="459"/>
        <v>1</v>
      </c>
      <c r="BB445" s="148">
        <f t="shared" si="459"/>
        <v>1</v>
      </c>
      <c r="BC445" s="148">
        <f t="shared" si="459"/>
        <v>1</v>
      </c>
      <c r="BD445" s="148">
        <f t="shared" si="459"/>
        <v>1</v>
      </c>
      <c r="BE445" s="148">
        <f t="shared" si="459"/>
        <v>1</v>
      </c>
      <c r="BF445" s="148">
        <f t="shared" si="459"/>
        <v>1</v>
      </c>
      <c r="BG445" s="148">
        <f t="shared" si="459"/>
        <v>1</v>
      </c>
      <c r="BH445" s="148">
        <f t="shared" si="459"/>
        <v>1</v>
      </c>
      <c r="BI445" s="148">
        <f t="shared" si="459"/>
        <v>1</v>
      </c>
      <c r="BJ445" s="148">
        <f t="shared" si="459"/>
        <v>1</v>
      </c>
      <c r="BK445" s="148">
        <f t="shared" si="459"/>
        <v>1</v>
      </c>
      <c r="BL445" s="148">
        <f t="shared" si="459"/>
        <v>1</v>
      </c>
      <c r="BM445" s="148">
        <f t="shared" si="459"/>
        <v>1</v>
      </c>
      <c r="BN445" s="148">
        <f t="shared" si="459"/>
        <v>1</v>
      </c>
      <c r="BO445" s="148">
        <f t="shared" si="459"/>
        <v>1</v>
      </c>
      <c r="BP445" s="148"/>
      <c r="BQ445" s="148"/>
    </row>
    <row r="446" spans="2:69" s="22" customFormat="1" outlineLevel="1">
      <c r="B446" s="69"/>
      <c r="E446" s="28"/>
      <c r="F446" s="29"/>
      <c r="G446" s="66"/>
    </row>
    <row r="447" spans="2:69" s="22" customFormat="1" outlineLevel="1">
      <c r="B447" s="181" t="s">
        <v>1300</v>
      </c>
      <c r="C447" s="182"/>
      <c r="D447" s="182"/>
      <c r="E447" s="200"/>
      <c r="F447" s="184"/>
      <c r="G447" s="66"/>
      <c r="H447" s="182"/>
      <c r="I447" s="182"/>
      <c r="J447" s="182"/>
      <c r="K447" s="182"/>
      <c r="L447" s="182"/>
      <c r="M447" s="182"/>
      <c r="N447" s="182"/>
      <c r="O447" s="182"/>
      <c r="P447" s="182"/>
      <c r="Q447" s="182"/>
      <c r="R447" s="182"/>
      <c r="S447" s="182"/>
      <c r="T447" s="182"/>
      <c r="U447" s="182"/>
      <c r="V447" s="182"/>
      <c r="W447" s="182"/>
      <c r="X447" s="182"/>
      <c r="Y447" s="182"/>
      <c r="Z447" s="182"/>
      <c r="AA447" s="182"/>
      <c r="AB447" s="182"/>
      <c r="AC447" s="182"/>
      <c r="AD447" s="182"/>
      <c r="AE447" s="182"/>
      <c r="AF447" s="182"/>
      <c r="AG447" s="182"/>
      <c r="AH447" s="182"/>
      <c r="AI447" s="182"/>
      <c r="AJ447" s="182"/>
      <c r="AK447" s="182"/>
      <c r="AL447" s="182"/>
      <c r="AM447" s="182"/>
      <c r="AN447" s="182"/>
      <c r="AO447" s="182"/>
      <c r="AP447" s="182"/>
      <c r="AQ447" s="182"/>
      <c r="AR447" s="182"/>
      <c r="AS447" s="182"/>
      <c r="AT447" s="182"/>
      <c r="AU447" s="182"/>
      <c r="AV447" s="182"/>
      <c r="AW447" s="182"/>
      <c r="AX447" s="182"/>
      <c r="AY447" s="182"/>
      <c r="AZ447" s="182"/>
      <c r="BA447" s="182"/>
      <c r="BB447" s="182"/>
      <c r="BC447" s="182"/>
      <c r="BD447" s="182"/>
      <c r="BE447" s="182"/>
      <c r="BF447" s="182"/>
      <c r="BG447" s="182"/>
      <c r="BH447" s="182"/>
      <c r="BI447" s="182"/>
      <c r="BJ447" s="182"/>
      <c r="BK447" s="182"/>
      <c r="BL447" s="182"/>
      <c r="BM447" s="182"/>
      <c r="BN447" s="182"/>
      <c r="BO447" s="182"/>
      <c r="BP447" s="182"/>
      <c r="BQ447" s="182"/>
    </row>
    <row r="448" spans="2:69" s="22" customFormat="1" outlineLevel="1">
      <c r="B448" s="181"/>
      <c r="C448" s="182" t="s">
        <v>120</v>
      </c>
      <c r="D448" s="182"/>
      <c r="E448" s="200"/>
      <c r="F448" s="184" t="s">
        <v>119</v>
      </c>
      <c r="G448" s="167">
        <f>Assumptions!D48</f>
        <v>90000</v>
      </c>
      <c r="H448" s="201" cm="1">
        <f t="array" ref="H448:BO448">H443:BO443*H312:BO312</f>
        <v>48733.433733333324</v>
      </c>
      <c r="I448" s="201">
        <v>45732.608987499989</v>
      </c>
      <c r="J448" s="201">
        <v>60964.118263333316</v>
      </c>
      <c r="K448" s="201">
        <v>61027.212786060605</v>
      </c>
      <c r="L448" s="201">
        <v>61073.562786060596</v>
      </c>
      <c r="M448" s="201">
        <v>61082.427652727267</v>
      </c>
      <c r="N448" s="201">
        <v>61142.233414265727</v>
      </c>
      <c r="O448" s="201">
        <v>61203.502020375046</v>
      </c>
      <c r="P448" s="201">
        <v>61262.920902727987</v>
      </c>
      <c r="Q448" s="201">
        <v>61346.64059022798</v>
      </c>
      <c r="R448" s="201">
        <v>61410.964090227979</v>
      </c>
      <c r="S448" s="201">
        <v>92206.905885342014</v>
      </c>
      <c r="T448" s="201">
        <v>50683.262810347856</v>
      </c>
      <c r="U448" s="201">
        <v>47560.900992915398</v>
      </c>
      <c r="V448" s="201">
        <v>63478.786713593086</v>
      </c>
      <c r="W448" s="201">
        <v>63534.766870259751</v>
      </c>
      <c r="X448" s="201">
        <v>63598.871752759755</v>
      </c>
      <c r="Y448" s="201">
        <v>63661.832196476331</v>
      </c>
      <c r="Z448" s="201">
        <v>63722.735118589422</v>
      </c>
      <c r="AA448" s="201">
        <v>63782.833174680331</v>
      </c>
      <c r="AB448" s="201">
        <v>63819.529705680332</v>
      </c>
      <c r="AC448" s="201">
        <v>63882.991927603405</v>
      </c>
      <c r="AD448" s="201">
        <v>63944.274058317693</v>
      </c>
      <c r="AE448" s="201">
        <v>95916.411087476547</v>
      </c>
      <c r="AF448" s="201">
        <v>52733.790904053792</v>
      </c>
      <c r="AG448" s="201">
        <v>49474.767531537931</v>
      </c>
      <c r="AH448" s="201">
        <v>66046.41717358389</v>
      </c>
      <c r="AI448" s="201">
        <v>66110.092197085542</v>
      </c>
      <c r="AJ448" s="201">
        <v>66163.959267277562</v>
      </c>
      <c r="AK448" s="201">
        <v>66230.896246438919</v>
      </c>
      <c r="AL448" s="201">
        <v>66280.068961438927</v>
      </c>
      <c r="AM448" s="201">
        <v>66317.687909625587</v>
      </c>
      <c r="AN448" s="201">
        <v>66381.135842041753</v>
      </c>
      <c r="AO448" s="201">
        <v>66446.135706263129</v>
      </c>
      <c r="AP448" s="201">
        <v>66509.173198551362</v>
      </c>
      <c r="AQ448" s="201">
        <v>99896.98712253019</v>
      </c>
      <c r="AR448" s="201">
        <v>54932.975346124171</v>
      </c>
      <c r="AS448" s="201">
        <v>51549.088292610541</v>
      </c>
      <c r="AT448" s="201">
        <v>68786.817451646726</v>
      </c>
      <c r="AU448" s="201">
        <v>68850.955375119433</v>
      </c>
      <c r="AV448" s="201">
        <v>68919.120381725064</v>
      </c>
      <c r="AW448" s="201">
        <v>68919.120381725064</v>
      </c>
      <c r="AX448" s="201">
        <v>68987.12925156932</v>
      </c>
      <c r="AY448" s="201">
        <v>69053.923986308233</v>
      </c>
      <c r="AZ448" s="201">
        <v>69118.535896378016</v>
      </c>
      <c r="BA448" s="201">
        <v>69182.293924084865</v>
      </c>
      <c r="BB448" s="201">
        <v>69234.202390402061</v>
      </c>
      <c r="BC448" s="201">
        <v>103952.29419246039</v>
      </c>
      <c r="BD448" s="201">
        <v>57158.031987470808</v>
      </c>
      <c r="BE448" s="201">
        <v>53640.743692264594</v>
      </c>
      <c r="BF448" s="201">
        <v>71578.95529340113</v>
      </c>
      <c r="BG448" s="201">
        <v>71631.064663040932</v>
      </c>
      <c r="BH448" s="201">
        <v>71716.000810217971</v>
      </c>
      <c r="BI448" s="201">
        <v>71783.553642650877</v>
      </c>
      <c r="BJ448" s="201">
        <v>71840.701217417576</v>
      </c>
      <c r="BK448" s="201">
        <v>71911.714658609868</v>
      </c>
      <c r="BL448" s="201">
        <v>71963.881991953356</v>
      </c>
      <c r="BM448" s="201">
        <v>72003.791934084598</v>
      </c>
      <c r="BN448" s="201">
        <v>72071.103845584905</v>
      </c>
      <c r="BO448" s="201">
        <v>108210.09330230605</v>
      </c>
      <c r="BP448" s="201"/>
      <c r="BQ448" s="201"/>
    </row>
    <row r="449" spans="2:69" s="22" customFormat="1" outlineLevel="1">
      <c r="B449" s="181"/>
      <c r="C449" s="182" t="s">
        <v>1297</v>
      </c>
      <c r="D449" s="182"/>
      <c r="E449" s="200"/>
      <c r="F449" s="184" t="s">
        <v>119</v>
      </c>
      <c r="G449" s="167">
        <f>Assumptions!D49</f>
        <v>92500</v>
      </c>
      <c r="H449" s="201" cm="1">
        <f t="array" ref="H449:BO449">_xlfn.ANCHORARRAY(H444)*H153:BO153</f>
        <v>95370.275000000009</v>
      </c>
      <c r="I449" s="201">
        <v>95465.55</v>
      </c>
      <c r="J449" s="201">
        <v>95560.825000000012</v>
      </c>
      <c r="K449" s="201">
        <v>95656.1</v>
      </c>
      <c r="L449" s="201">
        <v>95751.375</v>
      </c>
      <c r="M449" s="201">
        <v>95846.650000000009</v>
      </c>
      <c r="N449" s="201">
        <v>95941.925000000003</v>
      </c>
      <c r="O449" s="201">
        <v>96037.200000000012</v>
      </c>
      <c r="P449" s="201">
        <v>96132.475000000006</v>
      </c>
      <c r="Q449" s="201">
        <v>96227.75</v>
      </c>
      <c r="R449" s="201">
        <v>96323.025000000009</v>
      </c>
      <c r="S449" s="201">
        <v>96418.3</v>
      </c>
      <c r="T449" s="201">
        <v>99408.982249999986</v>
      </c>
      <c r="U449" s="201">
        <v>99507.115499999985</v>
      </c>
      <c r="V449" s="201">
        <v>99605.248749999984</v>
      </c>
      <c r="W449" s="201">
        <v>99703.381999999983</v>
      </c>
      <c r="X449" s="201">
        <v>99801.515249999997</v>
      </c>
      <c r="Y449" s="201">
        <v>99899.648499999996</v>
      </c>
      <c r="Z449" s="201">
        <v>99997.781749999995</v>
      </c>
      <c r="AA449" s="201">
        <v>100095.91499999999</v>
      </c>
      <c r="AB449" s="201">
        <v>100194.04824999999</v>
      </c>
      <c r="AC449" s="201">
        <v>100292.18149999999</v>
      </c>
      <c r="AD449" s="201">
        <v>100390.31474999999</v>
      </c>
      <c r="AE449" s="201">
        <v>100488.44799999999</v>
      </c>
      <c r="AF449" s="201">
        <v>103604.1786875</v>
      </c>
      <c r="AG449" s="201">
        <v>103705.25593499999</v>
      </c>
      <c r="AH449" s="201">
        <v>103806.33318249999</v>
      </c>
      <c r="AI449" s="201">
        <v>103907.41043</v>
      </c>
      <c r="AJ449" s="201">
        <v>104008.4876775</v>
      </c>
      <c r="AK449" s="201">
        <v>104109.564925</v>
      </c>
      <c r="AL449" s="201">
        <v>104210.6421725</v>
      </c>
      <c r="AM449" s="201">
        <v>104311.71941999999</v>
      </c>
      <c r="AN449" s="201">
        <v>104412.79666749999</v>
      </c>
      <c r="AO449" s="201">
        <v>104513.873915</v>
      </c>
      <c r="AP449" s="201">
        <v>104614.9511625</v>
      </c>
      <c r="AQ449" s="201">
        <v>104716.02841</v>
      </c>
      <c r="AR449" s="201">
        <v>107961.61882722499</v>
      </c>
      <c r="AS449" s="201">
        <v>108065.72839214999</v>
      </c>
      <c r="AT449" s="201">
        <v>108169.83795707498</v>
      </c>
      <c r="AU449" s="201">
        <v>108273.94752199999</v>
      </c>
      <c r="AV449" s="201">
        <v>108378.05708692499</v>
      </c>
      <c r="AW449" s="201">
        <v>108482.16665184998</v>
      </c>
      <c r="AX449" s="201">
        <v>108586.27621677499</v>
      </c>
      <c r="AY449" s="201">
        <v>108690.38578169998</v>
      </c>
      <c r="AZ449" s="201">
        <v>108794.49534662499</v>
      </c>
      <c r="BA449" s="201">
        <v>108898.60491154999</v>
      </c>
      <c r="BB449" s="201">
        <v>109002.71447647498</v>
      </c>
      <c r="BC449" s="201">
        <v>109106.82404139999</v>
      </c>
      <c r="BD449" s="201">
        <v>112487.26161451473</v>
      </c>
      <c r="BE449" s="201">
        <v>112594.49446638749</v>
      </c>
      <c r="BF449" s="201">
        <v>112701.72731826024</v>
      </c>
      <c r="BG449" s="201">
        <v>112808.960170133</v>
      </c>
      <c r="BH449" s="201">
        <v>112916.19302200574</v>
      </c>
      <c r="BI449" s="201">
        <v>113023.42587387848</v>
      </c>
      <c r="BJ449" s="201">
        <v>113130.65872575124</v>
      </c>
      <c r="BK449" s="201">
        <v>113237.89157762399</v>
      </c>
      <c r="BL449" s="201">
        <v>113345.12442949673</v>
      </c>
      <c r="BM449" s="201">
        <v>113452.35728136949</v>
      </c>
      <c r="BN449" s="201">
        <v>113559.59013324224</v>
      </c>
      <c r="BO449" s="201">
        <v>113666.822985115</v>
      </c>
      <c r="BP449" s="201"/>
      <c r="BQ449" s="201"/>
    </row>
    <row r="450" spans="2:69" s="22" customFormat="1" outlineLevel="1">
      <c r="B450" s="190"/>
      <c r="C450" s="182" t="s">
        <v>129</v>
      </c>
      <c r="D450" s="182"/>
      <c r="E450" s="200"/>
      <c r="F450" s="184" t="s">
        <v>119</v>
      </c>
      <c r="G450" s="167">
        <f>-Assumptions!D53</f>
        <v>-150000</v>
      </c>
      <c r="H450" s="273" cm="1">
        <f t="array" ref="H450:BO450">-H445:BO445*H436:BO436</f>
        <v>-93615.302593849978</v>
      </c>
      <c r="I450" s="201">
        <v>-88970.165649716655</v>
      </c>
      <c r="J450" s="201">
        <v>-112629.88109531664</v>
      </c>
      <c r="K450" s="201">
        <v>-112742.14029295757</v>
      </c>
      <c r="L450" s="201">
        <v>-112825.87431805755</v>
      </c>
      <c r="M450" s="201">
        <v>-112851.9973462909</v>
      </c>
      <c r="N450" s="201">
        <v>-112958.43218743859</v>
      </c>
      <c r="O450" s="201">
        <v>-113067.16929859968</v>
      </c>
      <c r="P450" s="201">
        <v>-113172.89244168202</v>
      </c>
      <c r="Q450" s="201">
        <v>-113318.52088301952</v>
      </c>
      <c r="R450" s="201">
        <v>-113431.22282381951</v>
      </c>
      <c r="S450" s="201">
        <v>-161251.31778739204</v>
      </c>
      <c r="T450" s="201">
        <v>-97346.670200898574</v>
      </c>
      <c r="U450" s="201">
        <v>-92514.172085368933</v>
      </c>
      <c r="V450" s="201">
        <v>-117239.0584513067</v>
      </c>
      <c r="W450" s="201">
        <v>-117341.0847587287</v>
      </c>
      <c r="X450" s="201">
        <v>-117453.69378102708</v>
      </c>
      <c r="Y450" s="201">
        <v>-117565.11527111732</v>
      </c>
      <c r="Z450" s="201">
        <v>-117673.68930563428</v>
      </c>
      <c r="AA450" s="201">
        <v>-117780.5793511565</v>
      </c>
      <c r="AB450" s="201">
        <v>-117851.17049138446</v>
      </c>
      <c r="AC450" s="201">
        <v>-117963.15706988155</v>
      </c>
      <c r="AD450" s="201">
        <v>-118072.28901118512</v>
      </c>
      <c r="AE450" s="201">
        <v>-167720.96013958086</v>
      </c>
      <c r="AF450" s="201">
        <v>-101262.22015108292</v>
      </c>
      <c r="AG450" s="201">
        <v>-96215.924907328576</v>
      </c>
      <c r="AH450" s="201">
        <v>-121957.69010729474</v>
      </c>
      <c r="AI450" s="201">
        <v>-122070.8447818834</v>
      </c>
      <c r="AJ450" s="201">
        <v>-122169.15881783671</v>
      </c>
      <c r="AK450" s="201">
        <v>-122288.25460061395</v>
      </c>
      <c r="AL450" s="201">
        <v>-122377.08802784253</v>
      </c>
      <c r="AM450" s="201">
        <v>-122448.8607011353</v>
      </c>
      <c r="AN450" s="201">
        <v>-122561.77742410888</v>
      </c>
      <c r="AO450" s="201">
        <v>-122677.13662533966</v>
      </c>
      <c r="AP450" s="201">
        <v>-122789.29830783575</v>
      </c>
      <c r="AQ450" s="201">
        <v>-174638.540020866</v>
      </c>
      <c r="AR450" s="201">
        <v>-105435.41508654166</v>
      </c>
      <c r="AS450" s="201">
        <v>-100195.75987148522</v>
      </c>
      <c r="AT450" s="201">
        <v>-126970.37033588577</v>
      </c>
      <c r="AU450" s="201">
        <v>-127085.71251732345</v>
      </c>
      <c r="AV450" s="201">
        <v>-127205.98319660347</v>
      </c>
      <c r="AW450" s="201">
        <v>-127221.21085808906</v>
      </c>
      <c r="AX450" s="201">
        <v>-127340.67776984541</v>
      </c>
      <c r="AY450" s="201">
        <v>-127458.88482868217</v>
      </c>
      <c r="AZ450" s="201">
        <v>-127574.07102190117</v>
      </c>
      <c r="BA450" s="201">
        <v>-127687.47067119571</v>
      </c>
      <c r="BB450" s="201">
        <v>-127782.4308849635</v>
      </c>
      <c r="BC450" s="201">
        <v>-181692.46828034459</v>
      </c>
      <c r="BD450" s="201">
        <v>-109674.65406530593</v>
      </c>
      <c r="BE450" s="201">
        <v>-104230.23469359329</v>
      </c>
      <c r="BF450" s="201">
        <v>-132091.88676728256</v>
      </c>
      <c r="BG450" s="201">
        <v>-132186.70555591612</v>
      </c>
      <c r="BH450" s="201">
        <v>-132335.21912002441</v>
      </c>
      <c r="BI450" s="201">
        <v>-132455.26491429555</v>
      </c>
      <c r="BJ450" s="201">
        <v>-132559.56627503844</v>
      </c>
      <c r="BK450" s="201">
        <v>-132685.91499098678</v>
      </c>
      <c r="BL450" s="201">
        <v>-132780.15837393358</v>
      </c>
      <c r="BM450" s="201">
        <v>-132856.30200302985</v>
      </c>
      <c r="BN450" s="201">
        <v>-132976.09535443253</v>
      </c>
      <c r="BO450" s="201">
        <v>-189093.64313164577</v>
      </c>
      <c r="BP450" s="201"/>
      <c r="BQ450" s="201"/>
    </row>
    <row r="451" spans="2:69" s="22" customFormat="1" outlineLevel="1">
      <c r="B451" s="190"/>
      <c r="C451" s="182" t="s">
        <v>132</v>
      </c>
      <c r="D451" s="182"/>
      <c r="E451" s="200"/>
      <c r="F451" s="184" t="s">
        <v>119</v>
      </c>
      <c r="G451" s="66">
        <f>-Assumptions!D54</f>
        <v>-2000</v>
      </c>
      <c r="H451" s="201" cm="1">
        <f t="array" aca="1" ref="H451:BO451" ca="1">_xlfn.ANCHORARRAY(H50)</f>
        <v>-147.28519678555506</v>
      </c>
      <c r="I451" s="201">
        <f ca="1"/>
        <v>133.74222271254015</v>
      </c>
      <c r="J451" s="201">
        <f ca="1"/>
        <v>-1226.8737127127908</v>
      </c>
      <c r="K451" s="201">
        <f ca="1"/>
        <v>-1240.7138613882846</v>
      </c>
      <c r="L451" s="201">
        <f ca="1"/>
        <v>-1242.9352508127258</v>
      </c>
      <c r="M451" s="201">
        <f ca="1"/>
        <v>-1241.6847862771713</v>
      </c>
      <c r="N451" s="201">
        <f ca="1"/>
        <v>-1244.7483171074628</v>
      </c>
      <c r="O451" s="201">
        <f ca="1"/>
        <v>-1247.9365317634174</v>
      </c>
      <c r="P451" s="201">
        <f ca="1"/>
        <v>-1250.9876505325688</v>
      </c>
      <c r="Q451" s="201">
        <f ca="1"/>
        <v>-1255.7780317095112</v>
      </c>
      <c r="R451" s="201">
        <f ca="1"/>
        <v>-1259.3952379939583</v>
      </c>
      <c r="S451" s="201">
        <f ca="1"/>
        <v>-4014.1811577695062</v>
      </c>
      <c r="T451" s="201">
        <f ca="1"/>
        <v>-187.28163951498357</v>
      </c>
      <c r="U451" s="201">
        <f ca="1"/>
        <v>94.770569907625173</v>
      </c>
      <c r="V451" s="201">
        <f ca="1"/>
        <v>-1327.7993396203392</v>
      </c>
      <c r="W451" s="201">
        <f ca="1"/>
        <v>-1330.1790352470482</v>
      </c>
      <c r="X451" s="201">
        <f ca="1"/>
        <v>-1333.6920782318216</v>
      </c>
      <c r="Y451" s="201">
        <f ca="1"/>
        <v>-1336.9848521448453</v>
      </c>
      <c r="Z451" s="201">
        <f ca="1"/>
        <v>-1340.0241085311357</v>
      </c>
      <c r="AA451" s="201">
        <f ca="1"/>
        <v>-1343.078216307501</v>
      </c>
      <c r="AB451" s="201">
        <f ca="1"/>
        <v>-1344.0314951063492</v>
      </c>
      <c r="AC451" s="201">
        <f ca="1"/>
        <v>-1347.4119626206088</v>
      </c>
      <c r="AD451" s="201">
        <f ca="1"/>
        <v>-1350.4913210900527</v>
      </c>
      <c r="AE451" s="201">
        <f ca="1"/>
        <v>-4210.0048015188913</v>
      </c>
      <c r="AF451" s="201">
        <f ca="1"/>
        <v>-229.84762029382287</v>
      </c>
      <c r="AG451" s="201">
        <f ca="1"/>
        <v>64.141227850540631</v>
      </c>
      <c r="AH451" s="201">
        <f ca="1"/>
        <v>-1416.5270410857213</v>
      </c>
      <c r="AI451" s="201">
        <f ca="1"/>
        <v>-1419.7275676797597</v>
      </c>
      <c r="AJ451" s="201">
        <f ca="1"/>
        <v>-1421.9730406770173</v>
      </c>
      <c r="AK451" s="201">
        <f ca="1"/>
        <v>-1425.2901278972208</v>
      </c>
      <c r="AL451" s="201">
        <f ca="1"/>
        <v>-1427.5539805626172</v>
      </c>
      <c r="AM451" s="201">
        <f ca="1"/>
        <v>-1428.6084772898432</v>
      </c>
      <c r="AN451" s="201">
        <f ca="1"/>
        <v>-1431.7657577727041</v>
      </c>
      <c r="AO451" s="201">
        <f ca="1"/>
        <v>-1435.0553153262101</v>
      </c>
      <c r="AP451" s="201">
        <f ca="1"/>
        <v>-1438.1994278533957</v>
      </c>
      <c r="AQ451" s="201">
        <f ca="1"/>
        <v>-4423.8381069499874</v>
      </c>
      <c r="AR451" s="201">
        <f ca="1"/>
        <v>-834.77539091911592</v>
      </c>
      <c r="AS451" s="201">
        <f ca="1"/>
        <v>-529.50213736605951</v>
      </c>
      <c r="AT451" s="201">
        <f ca="1"/>
        <v>-2070.0222329415351</v>
      </c>
      <c r="AU451" s="201">
        <f ca="1"/>
        <v>-2072.9594908841937</v>
      </c>
      <c r="AV451" s="201">
        <f ca="1"/>
        <v>-2076.5218825115548</v>
      </c>
      <c r="AW451" s="201">
        <f ca="1"/>
        <v>-2073.8268750555467</v>
      </c>
      <c r="AX451" s="201">
        <f ca="1"/>
        <v>-2077.4875654830894</v>
      </c>
      <c r="AY451" s="201">
        <f ca="1"/>
        <v>-2080.914572452416</v>
      </c>
      <c r="AZ451" s="201">
        <f ca="1"/>
        <v>-2084.0726226776383</v>
      </c>
      <c r="BA451" s="201">
        <f ca="1"/>
        <v>-2087.2464287425801</v>
      </c>
      <c r="BB451" s="201">
        <f ca="1"/>
        <v>-2089.3682973570117</v>
      </c>
      <c r="BC451" s="201">
        <f ca="1"/>
        <v>-5194.9480639452404</v>
      </c>
      <c r="BD451" s="201">
        <f ca="1"/>
        <v>-881.15654979825013</v>
      </c>
      <c r="BE451" s="201">
        <f ca="1"/>
        <v>-563.46437581130328</v>
      </c>
      <c r="BF451" s="201">
        <f ca="1"/>
        <v>-2166.7578712810782</v>
      </c>
      <c r="BG451" s="201">
        <f ca="1"/>
        <v>-2168.9771311632912</v>
      </c>
      <c r="BH451" s="201">
        <f ca="1"/>
        <v>-2173.5881469654614</v>
      </c>
      <c r="BI451" s="201">
        <f ca="1"/>
        <v>-2176.9393908374072</v>
      </c>
      <c r="BJ451" s="201">
        <f ca="1"/>
        <v>-2179.2774183485235</v>
      </c>
      <c r="BK451" s="201">
        <f ca="1"/>
        <v>-2182.7523213887789</v>
      </c>
      <c r="BL451" s="201">
        <f ca="1"/>
        <v>-2185.1098478898261</v>
      </c>
      <c r="BM451" s="201">
        <f ca="1"/>
        <v>-2186.1843686760772</v>
      </c>
      <c r="BN451" s="201">
        <f ca="1"/>
        <v>-2189.489732748676</v>
      </c>
      <c r="BO451" s="201">
        <f ca="1"/>
        <v>-5421.9152297475011</v>
      </c>
      <c r="BP451" s="201"/>
      <c r="BQ451" s="201"/>
    </row>
    <row r="452" spans="2:69" s="31" customFormat="1" ht="12.6" customHeight="1" outlineLevel="1">
      <c r="B452" s="190"/>
      <c r="C452" s="202" t="s">
        <v>1301</v>
      </c>
      <c r="D452" s="203"/>
      <c r="E452" s="204"/>
      <c r="F452" s="205" t="s">
        <v>119</v>
      </c>
      <c r="G452" s="56">
        <f>SUM(G448:G451)</f>
        <v>30500</v>
      </c>
      <c r="H452" s="206">
        <f ca="1">SUM(H448:H451)</f>
        <v>50341.120942697802</v>
      </c>
      <c r="I452" s="206">
        <f ca="1">SUM(I448:I451)</f>
        <v>52361.735560495894</v>
      </c>
      <c r="J452" s="206">
        <f t="shared" ref="J452:BN452" ca="1" si="460">SUM(J448:J451)</f>
        <v>42668.188455303891</v>
      </c>
      <c r="K452" s="206">
        <f t="shared" ca="1" si="460"/>
        <v>42700.458631714762</v>
      </c>
      <c r="L452" s="206">
        <f t="shared" ca="1" si="460"/>
        <v>42756.128217190308</v>
      </c>
      <c r="M452" s="206">
        <f t="shared" ca="1" si="460"/>
        <v>42835.395520159218</v>
      </c>
      <c r="N452" s="206">
        <f t="shared" ca="1" si="460"/>
        <v>42880.977909719666</v>
      </c>
      <c r="O452" s="206">
        <f t="shared" ca="1" si="460"/>
        <v>42925.596190011966</v>
      </c>
      <c r="P452" s="206">
        <f t="shared" ca="1" si="460"/>
        <v>42971.515810513403</v>
      </c>
      <c r="Q452" s="206">
        <f t="shared" ca="1" si="460"/>
        <v>43000.091675498938</v>
      </c>
      <c r="R452" s="206">
        <f t="shared" ca="1" si="460"/>
        <v>43043.37102841452</v>
      </c>
      <c r="S452" s="206">
        <f t="shared" ca="1" si="460"/>
        <v>23359.706940180491</v>
      </c>
      <c r="T452" s="206">
        <f t="shared" ca="1" si="460"/>
        <v>52558.293219934276</v>
      </c>
      <c r="U452" s="206">
        <f t="shared" ca="1" si="460"/>
        <v>54648.61497745409</v>
      </c>
      <c r="V452" s="206">
        <f t="shared" ca="1" si="460"/>
        <v>44517.177672666046</v>
      </c>
      <c r="W452" s="206">
        <f t="shared" ca="1" si="460"/>
        <v>44566.885076283979</v>
      </c>
      <c r="X452" s="206">
        <f t="shared" ca="1" si="460"/>
        <v>44613.001143500864</v>
      </c>
      <c r="Y452" s="206">
        <f t="shared" ca="1" si="460"/>
        <v>44659.380573214163</v>
      </c>
      <c r="Z452" s="206">
        <f t="shared" ca="1" si="460"/>
        <v>44706.803454424</v>
      </c>
      <c r="AA452" s="206">
        <f t="shared" ca="1" si="460"/>
        <v>44755.090607216342</v>
      </c>
      <c r="AB452" s="206">
        <f t="shared" ca="1" si="460"/>
        <v>44818.37596918951</v>
      </c>
      <c r="AC452" s="206">
        <f t="shared" ca="1" si="460"/>
        <v>44864.604395101225</v>
      </c>
      <c r="AD452" s="206">
        <f t="shared" ca="1" si="460"/>
        <v>44911.808476042497</v>
      </c>
      <c r="AE452" s="206">
        <f t="shared" ca="1" si="460"/>
        <v>24473.894146376788</v>
      </c>
      <c r="AF452" s="206">
        <f t="shared" ca="1" si="460"/>
        <v>54845.901820177045</v>
      </c>
      <c r="AG452" s="206">
        <f t="shared" ca="1" si="460"/>
        <v>57028.239787059902</v>
      </c>
      <c r="AH452" s="206">
        <f t="shared" ca="1" si="460"/>
        <v>46478.533207703425</v>
      </c>
      <c r="AI452" s="206">
        <f t="shared" ca="1" si="460"/>
        <v>46526.930277522391</v>
      </c>
      <c r="AJ452" s="206">
        <f t="shared" ca="1" si="460"/>
        <v>46581.315086263836</v>
      </c>
      <c r="AK452" s="206">
        <f t="shared" ca="1" si="460"/>
        <v>46626.916442927752</v>
      </c>
      <c r="AL452" s="206">
        <f t="shared" ca="1" si="460"/>
        <v>46686.069125533773</v>
      </c>
      <c r="AM452" s="206">
        <f t="shared" ca="1" si="460"/>
        <v>46751.938151200418</v>
      </c>
      <c r="AN452" s="206">
        <f t="shared" ca="1" si="460"/>
        <v>46800.389327660159</v>
      </c>
      <c r="AO452" s="206">
        <f t="shared" ca="1" si="460"/>
        <v>46847.817680597269</v>
      </c>
      <c r="AP452" s="206">
        <f t="shared" ca="1" si="460"/>
        <v>46896.626625362216</v>
      </c>
      <c r="AQ452" s="206">
        <f t="shared" ca="1" si="460"/>
        <v>25550.637404714216</v>
      </c>
      <c r="AR452" s="206">
        <f t="shared" ca="1" si="460"/>
        <v>56624.403695888373</v>
      </c>
      <c r="AS452" s="206">
        <f t="shared" ca="1" si="460"/>
        <v>58889.554675909254</v>
      </c>
      <c r="AT452" s="206">
        <f t="shared" ca="1" si="460"/>
        <v>47916.2628398944</v>
      </c>
      <c r="AU452" s="206">
        <f t="shared" ca="1" si="460"/>
        <v>47966.230888911756</v>
      </c>
      <c r="AV452" s="206">
        <f t="shared" ca="1" si="460"/>
        <v>48014.672389535022</v>
      </c>
      <c r="AW452" s="206">
        <f t="shared" ca="1" si="460"/>
        <v>48106.249300430456</v>
      </c>
      <c r="AX452" s="206">
        <f t="shared" ca="1" si="460"/>
        <v>48155.24013301581</v>
      </c>
      <c r="AY452" s="206">
        <f t="shared" ca="1" si="460"/>
        <v>48204.510366873626</v>
      </c>
      <c r="AZ452" s="206">
        <f t="shared" ca="1" si="460"/>
        <v>48254.887598424197</v>
      </c>
      <c r="BA452" s="206">
        <f t="shared" ca="1" si="460"/>
        <v>48306.181735696577</v>
      </c>
      <c r="BB452" s="206">
        <f t="shared" ca="1" si="460"/>
        <v>48365.11768455655</v>
      </c>
      <c r="BC452" s="206">
        <f t="shared" ca="1" si="460"/>
        <v>26171.701889570551</v>
      </c>
      <c r="BD452" s="206">
        <f t="shared" ca="1" si="460"/>
        <v>59089.482986881369</v>
      </c>
      <c r="BE452" s="206">
        <f t="shared" ca="1" si="460"/>
        <v>61441.539089247504</v>
      </c>
      <c r="BF452" s="206">
        <f t="shared" ca="1" si="460"/>
        <v>50022.037973097744</v>
      </c>
      <c r="BG452" s="206">
        <f t="shared" ca="1" si="460"/>
        <v>50084.34214609451</v>
      </c>
      <c r="BH452" s="206">
        <f t="shared" ca="1" si="460"/>
        <v>50123.386565233835</v>
      </c>
      <c r="BI452" s="206">
        <f t="shared" ca="1" si="460"/>
        <v>50174.775211396409</v>
      </c>
      <c r="BJ452" s="206">
        <f t="shared" ca="1" si="460"/>
        <v>50232.51624978186</v>
      </c>
      <c r="BK452" s="206">
        <f t="shared" ca="1" si="460"/>
        <v>50280.938923858281</v>
      </c>
      <c r="BL452" s="206">
        <f t="shared" ca="1" si="460"/>
        <v>50343.738199626685</v>
      </c>
      <c r="BM452" s="206">
        <f t="shared" ca="1" si="460"/>
        <v>50413.662843748163</v>
      </c>
      <c r="BN452" s="206">
        <f t="shared" ca="1" si="460"/>
        <v>50465.108891645948</v>
      </c>
      <c r="BO452" s="206">
        <f ca="1">SUM(BO448:BO451)</f>
        <v>27361.357926027769</v>
      </c>
      <c r="BP452" s="360"/>
      <c r="BQ452" s="360"/>
    </row>
    <row r="453" spans="2:69" s="31" customFormat="1" outlineLevel="1">
      <c r="B453" s="208"/>
      <c r="C453" s="208" t="s">
        <v>1302</v>
      </c>
      <c r="D453" s="208"/>
      <c r="E453" s="190"/>
      <c r="F453" s="209"/>
      <c r="G453" s="34"/>
      <c r="H453" s="210">
        <f ca="1">H452-G452</f>
        <v>19841.120942697802</v>
      </c>
      <c r="I453" s="210">
        <f t="shared" ref="I453:BO453" ca="1" si="461">I452-H452</f>
        <v>2020.6146177980918</v>
      </c>
      <c r="J453" s="210">
        <f t="shared" ca="1" si="461"/>
        <v>-9693.5471051920031</v>
      </c>
      <c r="K453" s="210">
        <f t="shared" ca="1" si="461"/>
        <v>32.2701764108715</v>
      </c>
      <c r="L453" s="210">
        <f t="shared" ca="1" si="461"/>
        <v>55.669585475545318</v>
      </c>
      <c r="M453" s="210">
        <f t="shared" ca="1" si="461"/>
        <v>79.267302968910371</v>
      </c>
      <c r="N453" s="210">
        <f t="shared" ca="1" si="461"/>
        <v>45.582389560448064</v>
      </c>
      <c r="O453" s="210">
        <f t="shared" ca="1" si="461"/>
        <v>44.61828029229946</v>
      </c>
      <c r="P453" s="210">
        <f t="shared" ca="1" si="461"/>
        <v>45.919620501437748</v>
      </c>
      <c r="Q453" s="210">
        <f t="shared" ca="1" si="461"/>
        <v>28.575864985534281</v>
      </c>
      <c r="R453" s="210">
        <f t="shared" ca="1" si="461"/>
        <v>43.279352915582422</v>
      </c>
      <c r="S453" s="210">
        <f t="shared" ca="1" si="461"/>
        <v>-19683.664088234029</v>
      </c>
      <c r="T453" s="210">
        <f t="shared" ca="1" si="461"/>
        <v>29198.586279753785</v>
      </c>
      <c r="U453" s="210">
        <f t="shared" ca="1" si="461"/>
        <v>2090.3217575198141</v>
      </c>
      <c r="V453" s="210">
        <f t="shared" ca="1" si="461"/>
        <v>-10131.437304788044</v>
      </c>
      <c r="W453" s="210">
        <f t="shared" ca="1" si="461"/>
        <v>49.707403617932869</v>
      </c>
      <c r="X453" s="210">
        <f t="shared" ca="1" si="461"/>
        <v>46.116067216884403</v>
      </c>
      <c r="Y453" s="210">
        <f t="shared" ca="1" si="461"/>
        <v>46.379429713299032</v>
      </c>
      <c r="Z453" s="210">
        <f t="shared" ca="1" si="461"/>
        <v>47.422881209837215</v>
      </c>
      <c r="AA453" s="210">
        <f t="shared" ca="1" si="461"/>
        <v>48.287152792341658</v>
      </c>
      <c r="AB453" s="210">
        <f t="shared" ca="1" si="461"/>
        <v>63.285361973168619</v>
      </c>
      <c r="AC453" s="210">
        <f t="shared" ca="1" si="461"/>
        <v>46.228425911715021</v>
      </c>
      <c r="AD453" s="210">
        <f t="shared" ca="1" si="461"/>
        <v>47.204080941271968</v>
      </c>
      <c r="AE453" s="210">
        <f t="shared" ca="1" si="461"/>
        <v>-20437.914329665709</v>
      </c>
      <c r="AF453" s="210">
        <f t="shared" ca="1" si="461"/>
        <v>30372.007673800257</v>
      </c>
      <c r="AG453" s="210">
        <f t="shared" ca="1" si="461"/>
        <v>2182.3379668828566</v>
      </c>
      <c r="AH453" s="210">
        <f t="shared" ca="1" si="461"/>
        <v>-10549.706579356476</v>
      </c>
      <c r="AI453" s="210">
        <f t="shared" ca="1" si="461"/>
        <v>48.397069818965974</v>
      </c>
      <c r="AJ453" s="210">
        <f t="shared" ca="1" si="461"/>
        <v>54.384808741444431</v>
      </c>
      <c r="AK453" s="210">
        <f t="shared" ca="1" si="461"/>
        <v>45.601356663915794</v>
      </c>
      <c r="AL453" s="210">
        <f t="shared" ca="1" si="461"/>
        <v>59.152682606021699</v>
      </c>
      <c r="AM453" s="210">
        <f t="shared" ca="1" si="461"/>
        <v>65.86902566664503</v>
      </c>
      <c r="AN453" s="210">
        <f t="shared" ca="1" si="461"/>
        <v>48.451176459740964</v>
      </c>
      <c r="AO453" s="210">
        <f t="shared" ca="1" si="461"/>
        <v>47.428352937109594</v>
      </c>
      <c r="AP453" s="210">
        <f t="shared" ca="1" si="461"/>
        <v>48.808944764947228</v>
      </c>
      <c r="AQ453" s="210">
        <f t="shared" ca="1" si="461"/>
        <v>-21345.989220648</v>
      </c>
      <c r="AR453" s="210">
        <f t="shared" ca="1" si="461"/>
        <v>31073.766291174157</v>
      </c>
      <c r="AS453" s="210">
        <f t="shared" ca="1" si="461"/>
        <v>2265.1509800208805</v>
      </c>
      <c r="AT453" s="210">
        <f t="shared" ca="1" si="461"/>
        <v>-10973.291836014854</v>
      </c>
      <c r="AU453" s="210">
        <f t="shared" ca="1" si="461"/>
        <v>49.968049017355952</v>
      </c>
      <c r="AV453" s="210">
        <f t="shared" ca="1" si="461"/>
        <v>48.44150062326662</v>
      </c>
      <c r="AW453" s="210">
        <f t="shared" ca="1" si="461"/>
        <v>91.576910895433684</v>
      </c>
      <c r="AX453" s="210">
        <f t="shared" ca="1" si="461"/>
        <v>48.990832585353928</v>
      </c>
      <c r="AY453" s="210">
        <f t="shared" ca="1" si="461"/>
        <v>49.270233857816493</v>
      </c>
      <c r="AZ453" s="210">
        <f t="shared" ca="1" si="461"/>
        <v>50.377231550570286</v>
      </c>
      <c r="BA453" s="210">
        <f t="shared" ca="1" si="461"/>
        <v>51.294137272379885</v>
      </c>
      <c r="BB453" s="210">
        <f t="shared" ca="1" si="461"/>
        <v>58.935948859972996</v>
      </c>
      <c r="BC453" s="210">
        <f t="shared" ca="1" si="461"/>
        <v>-22193.415794985998</v>
      </c>
      <c r="BD453" s="210">
        <f t="shared" ca="1" si="461"/>
        <v>32917.781097310813</v>
      </c>
      <c r="BE453" s="210">
        <f t="shared" ca="1" si="461"/>
        <v>2352.0561023661357</v>
      </c>
      <c r="BF453" s="210">
        <f t="shared" ca="1" si="461"/>
        <v>-11419.50111614976</v>
      </c>
      <c r="BG453" s="210">
        <f t="shared" ca="1" si="461"/>
        <v>62.304172996766283</v>
      </c>
      <c r="BH453" s="210">
        <f t="shared" ca="1" si="461"/>
        <v>39.044419139325328</v>
      </c>
      <c r="BI453" s="210">
        <f t="shared" ca="1" si="461"/>
        <v>51.388646162573423</v>
      </c>
      <c r="BJ453" s="210">
        <f t="shared" ca="1" si="461"/>
        <v>57.741038385451247</v>
      </c>
      <c r="BK453" s="210">
        <f t="shared" ca="1" si="461"/>
        <v>48.422674076420662</v>
      </c>
      <c r="BL453" s="210">
        <f t="shared" ca="1" si="461"/>
        <v>62.799275768404186</v>
      </c>
      <c r="BM453" s="210">
        <f t="shared" ca="1" si="461"/>
        <v>69.924644121478195</v>
      </c>
      <c r="BN453" s="210">
        <f t="shared" ca="1" si="461"/>
        <v>51.44604789778532</v>
      </c>
      <c r="BO453" s="210">
        <f t="shared" ca="1" si="461"/>
        <v>-23103.750965618179</v>
      </c>
      <c r="BP453" s="210"/>
      <c r="BQ453" s="210"/>
    </row>
    <row r="454" spans="2:69" s="22" customFormat="1" outlineLevel="1">
      <c r="E454" s="28"/>
      <c r="F454" s="29"/>
      <c r="G454" s="66"/>
    </row>
    <row r="455" spans="2:69" s="23" customFormat="1" ht="13.7" customHeight="1">
      <c r="B455" s="57" t="s">
        <v>1303</v>
      </c>
      <c r="C455" s="58"/>
      <c r="D455" s="58"/>
      <c r="E455" s="59"/>
      <c r="F455" s="60"/>
      <c r="G455" s="58"/>
      <c r="H455" s="58"/>
      <c r="I455" s="58"/>
      <c r="J455" s="58"/>
      <c r="K455" s="58"/>
      <c r="L455" s="58"/>
      <c r="M455" s="58"/>
      <c r="N455" s="58"/>
      <c r="O455" s="58"/>
      <c r="P455" s="58"/>
      <c r="Q455" s="58"/>
      <c r="R455" s="58"/>
      <c r="S455" s="58"/>
      <c r="T455" s="58"/>
      <c r="U455" s="58"/>
      <c r="V455" s="58"/>
      <c r="W455" s="58"/>
      <c r="X455" s="58"/>
      <c r="Y455" s="58"/>
      <c r="Z455" s="58"/>
      <c r="AA455" s="58"/>
      <c r="AB455" s="58"/>
      <c r="AC455" s="58"/>
      <c r="AD455" s="58"/>
      <c r="AE455" s="58"/>
      <c r="AF455" s="58"/>
      <c r="AG455" s="58"/>
      <c r="AH455" s="58"/>
      <c r="AI455" s="58"/>
      <c r="AJ455" s="58"/>
      <c r="AK455" s="58"/>
      <c r="AL455" s="58"/>
      <c r="AM455" s="58"/>
      <c r="AN455" s="58"/>
      <c r="AO455" s="58"/>
      <c r="AP455" s="58"/>
      <c r="AQ455" s="58"/>
      <c r="AR455" s="58"/>
      <c r="AS455" s="58"/>
      <c r="AT455" s="58"/>
      <c r="AU455" s="58"/>
      <c r="AV455" s="58"/>
      <c r="AW455" s="58"/>
      <c r="AX455" s="58"/>
      <c r="AY455" s="58"/>
      <c r="AZ455" s="58"/>
      <c r="BA455" s="58"/>
      <c r="BB455" s="58"/>
      <c r="BC455" s="58"/>
      <c r="BD455" s="58"/>
      <c r="BE455" s="58"/>
      <c r="BF455" s="58"/>
      <c r="BG455" s="58"/>
      <c r="BH455" s="58"/>
      <c r="BI455" s="58"/>
      <c r="BJ455" s="58"/>
      <c r="BK455" s="58"/>
      <c r="BL455" s="58"/>
      <c r="BM455" s="58"/>
      <c r="BN455" s="58"/>
      <c r="BO455" s="58"/>
      <c r="BP455" s="356"/>
      <c r="BQ455" s="356"/>
    </row>
    <row r="456" spans="2:69" s="22" customFormat="1" outlineLevel="1">
      <c r="E456" s="28"/>
      <c r="F456" s="29"/>
      <c r="G456" s="66"/>
    </row>
    <row r="457" spans="2:69" s="22" customFormat="1" outlineLevel="1">
      <c r="B457" s="69" t="s">
        <v>1304</v>
      </c>
      <c r="E457" s="28"/>
      <c r="F457" s="29"/>
      <c r="G457" s="66"/>
    </row>
    <row r="458" spans="2:69" s="22" customFormat="1" outlineLevel="1">
      <c r="C458" s="22" t="s">
        <v>1305</v>
      </c>
      <c r="D458" s="176">
        <f>Assumptions!D50</f>
        <v>100000</v>
      </c>
      <c r="E458" s="176" t="s">
        <v>1306</v>
      </c>
      <c r="F458" s="29" t="s">
        <v>119</v>
      </c>
      <c r="G458" s="66"/>
      <c r="H458" s="148">
        <f>D458</f>
        <v>100000</v>
      </c>
      <c r="I458" s="172">
        <f t="shared" ref="I458:AQ458" si="462">+H461</f>
        <v>97222.222222222219</v>
      </c>
      <c r="J458" s="172">
        <f t="shared" si="462"/>
        <v>94444.444444444438</v>
      </c>
      <c r="K458" s="172">
        <f t="shared" si="462"/>
        <v>91666.666666666657</v>
      </c>
      <c r="L458" s="172">
        <f t="shared" si="462"/>
        <v>88888.888888888876</v>
      </c>
      <c r="M458" s="172">
        <f t="shared" si="462"/>
        <v>86111.111111111095</v>
      </c>
      <c r="N458" s="172">
        <f t="shared" si="462"/>
        <v>83333.333333333314</v>
      </c>
      <c r="O458" s="172">
        <f t="shared" si="462"/>
        <v>80555.555555555533</v>
      </c>
      <c r="P458" s="172">
        <f t="shared" si="462"/>
        <v>77777.777777777752</v>
      </c>
      <c r="Q458" s="172">
        <f t="shared" si="462"/>
        <v>74999.999999999971</v>
      </c>
      <c r="R458" s="172">
        <f t="shared" si="462"/>
        <v>72222.22222222219</v>
      </c>
      <c r="S458" s="172">
        <f t="shared" si="462"/>
        <v>69444.444444444409</v>
      </c>
      <c r="T458" s="172">
        <f t="shared" si="462"/>
        <v>66666.666666666628</v>
      </c>
      <c r="U458" s="172">
        <f t="shared" si="462"/>
        <v>63888.888888888847</v>
      </c>
      <c r="V458" s="172">
        <f t="shared" si="462"/>
        <v>61111.111111111066</v>
      </c>
      <c r="W458" s="172">
        <f t="shared" si="462"/>
        <v>58333.333333333285</v>
      </c>
      <c r="X458" s="172">
        <f t="shared" si="462"/>
        <v>55555.555555555504</v>
      </c>
      <c r="Y458" s="172">
        <f t="shared" si="462"/>
        <v>52777.777777777723</v>
      </c>
      <c r="Z458" s="172">
        <f t="shared" si="462"/>
        <v>49999.999999999942</v>
      </c>
      <c r="AA458" s="172">
        <f t="shared" si="462"/>
        <v>47222.222222222161</v>
      </c>
      <c r="AB458" s="172">
        <f t="shared" si="462"/>
        <v>44444.44444444438</v>
      </c>
      <c r="AC458" s="172">
        <f t="shared" si="462"/>
        <v>41666.666666666599</v>
      </c>
      <c r="AD458" s="172">
        <f t="shared" si="462"/>
        <v>38888.888888888818</v>
      </c>
      <c r="AE458" s="172">
        <f t="shared" si="462"/>
        <v>36111.111111111037</v>
      </c>
      <c r="AF458" s="172">
        <f t="shared" si="462"/>
        <v>33333.333333333256</v>
      </c>
      <c r="AG458" s="172">
        <f t="shared" si="462"/>
        <v>30555.555555555478</v>
      </c>
      <c r="AH458" s="172">
        <f t="shared" si="462"/>
        <v>27777.777777777701</v>
      </c>
      <c r="AI458" s="172">
        <f t="shared" si="462"/>
        <v>24999.999999999924</v>
      </c>
      <c r="AJ458" s="172">
        <f t="shared" si="462"/>
        <v>22222.222222222146</v>
      </c>
      <c r="AK458" s="172">
        <f t="shared" si="462"/>
        <v>19444.444444444369</v>
      </c>
      <c r="AL458" s="172">
        <f t="shared" si="462"/>
        <v>16666.666666666591</v>
      </c>
      <c r="AM458" s="172">
        <f t="shared" si="462"/>
        <v>13888.888888888814</v>
      </c>
      <c r="AN458" s="172">
        <f t="shared" si="462"/>
        <v>11111.111111111037</v>
      </c>
      <c r="AO458" s="172">
        <f t="shared" si="462"/>
        <v>8333.3333333332594</v>
      </c>
      <c r="AP458" s="172">
        <f t="shared" si="462"/>
        <v>5555.555555555482</v>
      </c>
      <c r="AQ458" s="211">
        <f t="shared" si="462"/>
        <v>2777.7777777777042</v>
      </c>
      <c r="AR458" s="211">
        <f t="shared" ref="AR458:BO458" si="463">+AQ461</f>
        <v>-7.3669070843607187E-11</v>
      </c>
      <c r="AS458" s="211">
        <f t="shared" si="463"/>
        <v>-7.3669070843607187E-11</v>
      </c>
      <c r="AT458" s="211">
        <f t="shared" si="463"/>
        <v>-7.3669070843607187E-11</v>
      </c>
      <c r="AU458" s="211">
        <f t="shared" si="463"/>
        <v>-7.3669070843607187E-11</v>
      </c>
      <c r="AV458" s="211">
        <f t="shared" si="463"/>
        <v>-7.3669070843607187E-11</v>
      </c>
      <c r="AW458" s="211">
        <f t="shared" si="463"/>
        <v>-7.3669070843607187E-11</v>
      </c>
      <c r="AX458" s="211">
        <f t="shared" si="463"/>
        <v>-7.3669070843607187E-11</v>
      </c>
      <c r="AY458" s="211">
        <f t="shared" si="463"/>
        <v>-7.3669070843607187E-11</v>
      </c>
      <c r="AZ458" s="211">
        <f t="shared" si="463"/>
        <v>-7.3669070843607187E-11</v>
      </c>
      <c r="BA458" s="211">
        <f t="shared" si="463"/>
        <v>-7.3669070843607187E-11</v>
      </c>
      <c r="BB458" s="211">
        <f t="shared" si="463"/>
        <v>-7.3669070843607187E-11</v>
      </c>
      <c r="BC458" s="211">
        <f t="shared" si="463"/>
        <v>-7.3669070843607187E-11</v>
      </c>
      <c r="BD458" s="211">
        <f t="shared" si="463"/>
        <v>-7.3669070843607187E-11</v>
      </c>
      <c r="BE458" s="211">
        <f t="shared" si="463"/>
        <v>-7.3669070843607187E-11</v>
      </c>
      <c r="BF458" s="211">
        <f t="shared" si="463"/>
        <v>-7.3669070843607187E-11</v>
      </c>
      <c r="BG458" s="211">
        <f t="shared" si="463"/>
        <v>-7.3669070843607187E-11</v>
      </c>
      <c r="BH458" s="211">
        <f t="shared" si="463"/>
        <v>-7.3669070843607187E-11</v>
      </c>
      <c r="BI458" s="211">
        <f t="shared" si="463"/>
        <v>-7.3669070843607187E-11</v>
      </c>
      <c r="BJ458" s="211">
        <f t="shared" si="463"/>
        <v>-7.3669070843607187E-11</v>
      </c>
      <c r="BK458" s="211">
        <f t="shared" si="463"/>
        <v>-7.3669070843607187E-11</v>
      </c>
      <c r="BL458" s="211">
        <f t="shared" si="463"/>
        <v>-7.3669070843607187E-11</v>
      </c>
      <c r="BM458" s="211">
        <f t="shared" si="463"/>
        <v>-7.3669070843607187E-11</v>
      </c>
      <c r="BN458" s="211">
        <f t="shared" si="463"/>
        <v>-7.3669070843607187E-11</v>
      </c>
      <c r="BO458" s="211">
        <f t="shared" si="463"/>
        <v>-7.3669070843607187E-11</v>
      </c>
      <c r="BP458" s="211"/>
      <c r="BQ458" s="211"/>
    </row>
    <row r="459" spans="2:69" s="22" customFormat="1" outlineLevel="1">
      <c r="C459" s="22" t="s">
        <v>1307</v>
      </c>
      <c r="D459" s="176" t="s">
        <v>1308</v>
      </c>
      <c r="E459" s="176"/>
      <c r="F459" s="29" t="s">
        <v>119</v>
      </c>
      <c r="G459" s="66"/>
      <c r="H459" s="148">
        <f>IF($D$459="None",0,$D$459)</f>
        <v>0</v>
      </c>
      <c r="I459" s="148">
        <f t="shared" ref="I459:BO459" si="464">IF($D$459="None",0,$D$459)</f>
        <v>0</v>
      </c>
      <c r="J459" s="148">
        <f t="shared" si="464"/>
        <v>0</v>
      </c>
      <c r="K459" s="148">
        <f t="shared" si="464"/>
        <v>0</v>
      </c>
      <c r="L459" s="148">
        <f t="shared" si="464"/>
        <v>0</v>
      </c>
      <c r="M459" s="148">
        <f t="shared" si="464"/>
        <v>0</v>
      </c>
      <c r="N459" s="148">
        <f t="shared" si="464"/>
        <v>0</v>
      </c>
      <c r="O459" s="148">
        <f t="shared" si="464"/>
        <v>0</v>
      </c>
      <c r="P459" s="148">
        <f t="shared" si="464"/>
        <v>0</v>
      </c>
      <c r="Q459" s="148">
        <f t="shared" si="464"/>
        <v>0</v>
      </c>
      <c r="R459" s="148">
        <f t="shared" si="464"/>
        <v>0</v>
      </c>
      <c r="S459" s="148">
        <f t="shared" si="464"/>
        <v>0</v>
      </c>
      <c r="T459" s="148">
        <f t="shared" si="464"/>
        <v>0</v>
      </c>
      <c r="U459" s="148">
        <f t="shared" si="464"/>
        <v>0</v>
      </c>
      <c r="V459" s="148">
        <f t="shared" si="464"/>
        <v>0</v>
      </c>
      <c r="W459" s="148">
        <f t="shared" si="464"/>
        <v>0</v>
      </c>
      <c r="X459" s="148">
        <f t="shared" si="464"/>
        <v>0</v>
      </c>
      <c r="Y459" s="148">
        <f t="shared" si="464"/>
        <v>0</v>
      </c>
      <c r="Z459" s="148">
        <f t="shared" si="464"/>
        <v>0</v>
      </c>
      <c r="AA459" s="148">
        <f t="shared" si="464"/>
        <v>0</v>
      </c>
      <c r="AB459" s="148">
        <f t="shared" si="464"/>
        <v>0</v>
      </c>
      <c r="AC459" s="148">
        <f t="shared" si="464"/>
        <v>0</v>
      </c>
      <c r="AD459" s="148">
        <f t="shared" si="464"/>
        <v>0</v>
      </c>
      <c r="AE459" s="148">
        <f t="shared" si="464"/>
        <v>0</v>
      </c>
      <c r="AF459" s="148">
        <f t="shared" si="464"/>
        <v>0</v>
      </c>
      <c r="AG459" s="148">
        <f t="shared" si="464"/>
        <v>0</v>
      </c>
      <c r="AH459" s="148">
        <f t="shared" si="464"/>
        <v>0</v>
      </c>
      <c r="AI459" s="148">
        <f t="shared" si="464"/>
        <v>0</v>
      </c>
      <c r="AJ459" s="148">
        <f t="shared" si="464"/>
        <v>0</v>
      </c>
      <c r="AK459" s="148">
        <f t="shared" si="464"/>
        <v>0</v>
      </c>
      <c r="AL459" s="148">
        <f t="shared" si="464"/>
        <v>0</v>
      </c>
      <c r="AM459" s="148">
        <f t="shared" si="464"/>
        <v>0</v>
      </c>
      <c r="AN459" s="148">
        <f t="shared" si="464"/>
        <v>0</v>
      </c>
      <c r="AO459" s="148">
        <f t="shared" si="464"/>
        <v>0</v>
      </c>
      <c r="AP459" s="148">
        <f t="shared" si="464"/>
        <v>0</v>
      </c>
      <c r="AQ459" s="148">
        <f t="shared" si="464"/>
        <v>0</v>
      </c>
      <c r="AR459" s="148">
        <f t="shared" si="464"/>
        <v>0</v>
      </c>
      <c r="AS459" s="148">
        <f t="shared" si="464"/>
        <v>0</v>
      </c>
      <c r="AT459" s="148">
        <f t="shared" si="464"/>
        <v>0</v>
      </c>
      <c r="AU459" s="148">
        <f t="shared" si="464"/>
        <v>0</v>
      </c>
      <c r="AV459" s="148">
        <f t="shared" si="464"/>
        <v>0</v>
      </c>
      <c r="AW459" s="148">
        <f t="shared" si="464"/>
        <v>0</v>
      </c>
      <c r="AX459" s="148">
        <f t="shared" si="464"/>
        <v>0</v>
      </c>
      <c r="AY459" s="148">
        <f t="shared" si="464"/>
        <v>0</v>
      </c>
      <c r="AZ459" s="148">
        <f t="shared" si="464"/>
        <v>0</v>
      </c>
      <c r="BA459" s="148">
        <f t="shared" si="464"/>
        <v>0</v>
      </c>
      <c r="BB459" s="148">
        <f t="shared" si="464"/>
        <v>0</v>
      </c>
      <c r="BC459" s="148">
        <f t="shared" si="464"/>
        <v>0</v>
      </c>
      <c r="BD459" s="148">
        <f t="shared" si="464"/>
        <v>0</v>
      </c>
      <c r="BE459" s="148">
        <f t="shared" si="464"/>
        <v>0</v>
      </c>
      <c r="BF459" s="148">
        <f t="shared" si="464"/>
        <v>0</v>
      </c>
      <c r="BG459" s="148">
        <f t="shared" si="464"/>
        <v>0</v>
      </c>
      <c r="BH459" s="148">
        <f t="shared" si="464"/>
        <v>0</v>
      </c>
      <c r="BI459" s="148">
        <f t="shared" si="464"/>
        <v>0</v>
      </c>
      <c r="BJ459" s="148">
        <f t="shared" si="464"/>
        <v>0</v>
      </c>
      <c r="BK459" s="148">
        <f t="shared" si="464"/>
        <v>0</v>
      </c>
      <c r="BL459" s="148">
        <f t="shared" si="464"/>
        <v>0</v>
      </c>
      <c r="BM459" s="148">
        <f t="shared" si="464"/>
        <v>0</v>
      </c>
      <c r="BN459" s="148">
        <f t="shared" si="464"/>
        <v>0</v>
      </c>
      <c r="BO459" s="148">
        <f t="shared" si="464"/>
        <v>0</v>
      </c>
      <c r="BP459" s="148"/>
      <c r="BQ459" s="148"/>
    </row>
    <row r="460" spans="2:69" s="22" customFormat="1" outlineLevel="1">
      <c r="C460" s="22" t="s">
        <v>1309</v>
      </c>
      <c r="D460" s="176">
        <f>Assumptions!H48</f>
        <v>3</v>
      </c>
      <c r="E460" s="176" t="s">
        <v>1310</v>
      </c>
      <c r="F460" s="29" t="s">
        <v>119</v>
      </c>
      <c r="G460" s="66"/>
      <c r="H460" s="148">
        <f t="shared" ref="H460:AM460" si="465">IF(H11-$G$11&gt;$D$460,0,-$H$458/($D$460*12))</f>
        <v>-2777.7777777777778</v>
      </c>
      <c r="I460" s="148">
        <f t="shared" si="465"/>
        <v>-2777.7777777777778</v>
      </c>
      <c r="J460" s="148">
        <f t="shared" si="465"/>
        <v>-2777.7777777777778</v>
      </c>
      <c r="K460" s="148">
        <f t="shared" si="465"/>
        <v>-2777.7777777777778</v>
      </c>
      <c r="L460" s="148">
        <f t="shared" si="465"/>
        <v>-2777.7777777777778</v>
      </c>
      <c r="M460" s="148">
        <f t="shared" si="465"/>
        <v>-2777.7777777777778</v>
      </c>
      <c r="N460" s="148">
        <f t="shared" si="465"/>
        <v>-2777.7777777777778</v>
      </c>
      <c r="O460" s="148">
        <f t="shared" si="465"/>
        <v>-2777.7777777777778</v>
      </c>
      <c r="P460" s="148">
        <f t="shared" si="465"/>
        <v>-2777.7777777777778</v>
      </c>
      <c r="Q460" s="148">
        <f t="shared" si="465"/>
        <v>-2777.7777777777778</v>
      </c>
      <c r="R460" s="148">
        <f t="shared" si="465"/>
        <v>-2777.7777777777778</v>
      </c>
      <c r="S460" s="148">
        <f t="shared" si="465"/>
        <v>-2777.7777777777778</v>
      </c>
      <c r="T460" s="148">
        <f t="shared" si="465"/>
        <v>-2777.7777777777778</v>
      </c>
      <c r="U460" s="148">
        <f t="shared" si="465"/>
        <v>-2777.7777777777778</v>
      </c>
      <c r="V460" s="148">
        <f t="shared" si="465"/>
        <v>-2777.7777777777778</v>
      </c>
      <c r="W460" s="148">
        <f t="shared" si="465"/>
        <v>-2777.7777777777778</v>
      </c>
      <c r="X460" s="148">
        <f t="shared" si="465"/>
        <v>-2777.7777777777778</v>
      </c>
      <c r="Y460" s="148">
        <f t="shared" si="465"/>
        <v>-2777.7777777777778</v>
      </c>
      <c r="Z460" s="148">
        <f t="shared" si="465"/>
        <v>-2777.7777777777778</v>
      </c>
      <c r="AA460" s="148">
        <f t="shared" si="465"/>
        <v>-2777.7777777777778</v>
      </c>
      <c r="AB460" s="148">
        <f t="shared" si="465"/>
        <v>-2777.7777777777778</v>
      </c>
      <c r="AC460" s="148">
        <f t="shared" si="465"/>
        <v>-2777.7777777777778</v>
      </c>
      <c r="AD460" s="148">
        <f t="shared" si="465"/>
        <v>-2777.7777777777778</v>
      </c>
      <c r="AE460" s="148">
        <f t="shared" si="465"/>
        <v>-2777.7777777777778</v>
      </c>
      <c r="AF460" s="148">
        <f t="shared" si="465"/>
        <v>-2777.7777777777778</v>
      </c>
      <c r="AG460" s="148">
        <f t="shared" si="465"/>
        <v>-2777.7777777777778</v>
      </c>
      <c r="AH460" s="148">
        <f t="shared" si="465"/>
        <v>-2777.7777777777778</v>
      </c>
      <c r="AI460" s="148">
        <f t="shared" si="465"/>
        <v>-2777.7777777777778</v>
      </c>
      <c r="AJ460" s="148">
        <f t="shared" si="465"/>
        <v>-2777.7777777777778</v>
      </c>
      <c r="AK460" s="148">
        <f t="shared" si="465"/>
        <v>-2777.7777777777778</v>
      </c>
      <c r="AL460" s="148">
        <f t="shared" si="465"/>
        <v>-2777.7777777777778</v>
      </c>
      <c r="AM460" s="148">
        <f t="shared" si="465"/>
        <v>-2777.7777777777778</v>
      </c>
      <c r="AN460" s="148">
        <f t="shared" ref="AN460:BO460" si="466">IF(AN11-$G$11&gt;$D$460,0,-$H$458/($D$460*12))</f>
        <v>-2777.7777777777778</v>
      </c>
      <c r="AO460" s="148">
        <f t="shared" si="466"/>
        <v>-2777.7777777777778</v>
      </c>
      <c r="AP460" s="148">
        <f t="shared" si="466"/>
        <v>-2777.7777777777778</v>
      </c>
      <c r="AQ460" s="148">
        <f t="shared" si="466"/>
        <v>-2777.7777777777778</v>
      </c>
      <c r="AR460" s="148">
        <f t="shared" si="466"/>
        <v>0</v>
      </c>
      <c r="AS460" s="148">
        <f t="shared" si="466"/>
        <v>0</v>
      </c>
      <c r="AT460" s="148">
        <f t="shared" si="466"/>
        <v>0</v>
      </c>
      <c r="AU460" s="148">
        <f t="shared" si="466"/>
        <v>0</v>
      </c>
      <c r="AV460" s="148">
        <f t="shared" si="466"/>
        <v>0</v>
      </c>
      <c r="AW460" s="148">
        <f t="shared" si="466"/>
        <v>0</v>
      </c>
      <c r="AX460" s="148">
        <f t="shared" si="466"/>
        <v>0</v>
      </c>
      <c r="AY460" s="148">
        <f t="shared" si="466"/>
        <v>0</v>
      </c>
      <c r="AZ460" s="148">
        <f t="shared" si="466"/>
        <v>0</v>
      </c>
      <c r="BA460" s="148">
        <f t="shared" si="466"/>
        <v>0</v>
      </c>
      <c r="BB460" s="148">
        <f t="shared" si="466"/>
        <v>0</v>
      </c>
      <c r="BC460" s="148">
        <f t="shared" si="466"/>
        <v>0</v>
      </c>
      <c r="BD460" s="148">
        <f t="shared" si="466"/>
        <v>0</v>
      </c>
      <c r="BE460" s="148">
        <f t="shared" si="466"/>
        <v>0</v>
      </c>
      <c r="BF460" s="148">
        <f t="shared" si="466"/>
        <v>0</v>
      </c>
      <c r="BG460" s="148">
        <f t="shared" si="466"/>
        <v>0</v>
      </c>
      <c r="BH460" s="148">
        <f t="shared" si="466"/>
        <v>0</v>
      </c>
      <c r="BI460" s="148">
        <f t="shared" si="466"/>
        <v>0</v>
      </c>
      <c r="BJ460" s="148">
        <f t="shared" si="466"/>
        <v>0</v>
      </c>
      <c r="BK460" s="148">
        <f t="shared" si="466"/>
        <v>0</v>
      </c>
      <c r="BL460" s="148">
        <f t="shared" si="466"/>
        <v>0</v>
      </c>
      <c r="BM460" s="148">
        <f t="shared" si="466"/>
        <v>0</v>
      </c>
      <c r="BN460" s="148">
        <f t="shared" si="466"/>
        <v>0</v>
      </c>
      <c r="BO460" s="148">
        <f t="shared" si="466"/>
        <v>0</v>
      </c>
      <c r="BP460" s="148"/>
      <c r="BQ460" s="148"/>
    </row>
    <row r="461" spans="2:69" s="31" customFormat="1" ht="12" customHeight="1" outlineLevel="1">
      <c r="C461" s="70" t="s">
        <v>1311</v>
      </c>
      <c r="D461" s="70"/>
      <c r="E461" s="71"/>
      <c r="F461" s="80" t="s">
        <v>119</v>
      </c>
      <c r="G461" s="168"/>
      <c r="H461" s="169">
        <f t="shared" ref="H461:AQ461" si="467">+SUM(H458:H460)</f>
        <v>97222.222222222219</v>
      </c>
      <c r="I461" s="169">
        <f t="shared" si="467"/>
        <v>94444.444444444438</v>
      </c>
      <c r="J461" s="169">
        <f t="shared" si="467"/>
        <v>91666.666666666657</v>
      </c>
      <c r="K461" s="169">
        <f t="shared" si="467"/>
        <v>88888.888888888876</v>
      </c>
      <c r="L461" s="169">
        <f t="shared" si="467"/>
        <v>86111.111111111095</v>
      </c>
      <c r="M461" s="169">
        <f t="shared" si="467"/>
        <v>83333.333333333314</v>
      </c>
      <c r="N461" s="169">
        <f t="shared" si="467"/>
        <v>80555.555555555533</v>
      </c>
      <c r="O461" s="169">
        <f t="shared" si="467"/>
        <v>77777.777777777752</v>
      </c>
      <c r="P461" s="169">
        <f t="shared" si="467"/>
        <v>74999.999999999971</v>
      </c>
      <c r="Q461" s="169">
        <f t="shared" si="467"/>
        <v>72222.22222222219</v>
      </c>
      <c r="R461" s="169">
        <f t="shared" si="467"/>
        <v>69444.444444444409</v>
      </c>
      <c r="S461" s="169">
        <f t="shared" si="467"/>
        <v>66666.666666666628</v>
      </c>
      <c r="T461" s="169">
        <f t="shared" si="467"/>
        <v>63888.888888888847</v>
      </c>
      <c r="U461" s="169">
        <f t="shared" si="467"/>
        <v>61111.111111111066</v>
      </c>
      <c r="V461" s="169">
        <f t="shared" si="467"/>
        <v>58333.333333333285</v>
      </c>
      <c r="W461" s="169">
        <f t="shared" si="467"/>
        <v>55555.555555555504</v>
      </c>
      <c r="X461" s="169">
        <f t="shared" si="467"/>
        <v>52777.777777777723</v>
      </c>
      <c r="Y461" s="169">
        <f t="shared" si="467"/>
        <v>49999.999999999942</v>
      </c>
      <c r="Z461" s="169">
        <f t="shared" si="467"/>
        <v>47222.222222222161</v>
      </c>
      <c r="AA461" s="169">
        <f t="shared" si="467"/>
        <v>44444.44444444438</v>
      </c>
      <c r="AB461" s="169">
        <f t="shared" si="467"/>
        <v>41666.666666666599</v>
      </c>
      <c r="AC461" s="169">
        <f t="shared" si="467"/>
        <v>38888.888888888818</v>
      </c>
      <c r="AD461" s="169">
        <f t="shared" si="467"/>
        <v>36111.111111111037</v>
      </c>
      <c r="AE461" s="169">
        <f t="shared" si="467"/>
        <v>33333.333333333256</v>
      </c>
      <c r="AF461" s="169">
        <f t="shared" si="467"/>
        <v>30555.555555555478</v>
      </c>
      <c r="AG461" s="169">
        <f t="shared" si="467"/>
        <v>27777.777777777701</v>
      </c>
      <c r="AH461" s="169">
        <f t="shared" si="467"/>
        <v>24999.999999999924</v>
      </c>
      <c r="AI461" s="169">
        <f t="shared" si="467"/>
        <v>22222.222222222146</v>
      </c>
      <c r="AJ461" s="169">
        <f t="shared" si="467"/>
        <v>19444.444444444369</v>
      </c>
      <c r="AK461" s="169">
        <f t="shared" si="467"/>
        <v>16666.666666666591</v>
      </c>
      <c r="AL461" s="169">
        <f t="shared" si="467"/>
        <v>13888.888888888814</v>
      </c>
      <c r="AM461" s="169">
        <f t="shared" si="467"/>
        <v>11111.111111111037</v>
      </c>
      <c r="AN461" s="169">
        <f t="shared" si="467"/>
        <v>8333.3333333332594</v>
      </c>
      <c r="AO461" s="169">
        <f t="shared" si="467"/>
        <v>5555.555555555482</v>
      </c>
      <c r="AP461" s="169">
        <f t="shared" si="467"/>
        <v>2777.7777777777042</v>
      </c>
      <c r="AQ461" s="169">
        <f t="shared" si="467"/>
        <v>-7.3669070843607187E-11</v>
      </c>
      <c r="AR461" s="169">
        <f t="shared" ref="AR461:BO461" si="468">+SUM(AR458:AR460)</f>
        <v>-7.3669070843607187E-11</v>
      </c>
      <c r="AS461" s="169">
        <f t="shared" si="468"/>
        <v>-7.3669070843607187E-11</v>
      </c>
      <c r="AT461" s="169">
        <f t="shared" si="468"/>
        <v>-7.3669070843607187E-11</v>
      </c>
      <c r="AU461" s="169">
        <f t="shared" si="468"/>
        <v>-7.3669070843607187E-11</v>
      </c>
      <c r="AV461" s="169">
        <f t="shared" si="468"/>
        <v>-7.3669070843607187E-11</v>
      </c>
      <c r="AW461" s="169">
        <f t="shared" si="468"/>
        <v>-7.3669070843607187E-11</v>
      </c>
      <c r="AX461" s="169">
        <f t="shared" si="468"/>
        <v>-7.3669070843607187E-11</v>
      </c>
      <c r="AY461" s="169">
        <f t="shared" si="468"/>
        <v>-7.3669070843607187E-11</v>
      </c>
      <c r="AZ461" s="169">
        <f t="shared" si="468"/>
        <v>-7.3669070843607187E-11</v>
      </c>
      <c r="BA461" s="169">
        <f t="shared" si="468"/>
        <v>-7.3669070843607187E-11</v>
      </c>
      <c r="BB461" s="169">
        <f t="shared" si="468"/>
        <v>-7.3669070843607187E-11</v>
      </c>
      <c r="BC461" s="169">
        <f t="shared" si="468"/>
        <v>-7.3669070843607187E-11</v>
      </c>
      <c r="BD461" s="169">
        <f t="shared" si="468"/>
        <v>-7.3669070843607187E-11</v>
      </c>
      <c r="BE461" s="169">
        <f t="shared" si="468"/>
        <v>-7.3669070843607187E-11</v>
      </c>
      <c r="BF461" s="169">
        <f t="shared" si="468"/>
        <v>-7.3669070843607187E-11</v>
      </c>
      <c r="BG461" s="169">
        <f t="shared" si="468"/>
        <v>-7.3669070843607187E-11</v>
      </c>
      <c r="BH461" s="169">
        <f t="shared" si="468"/>
        <v>-7.3669070843607187E-11</v>
      </c>
      <c r="BI461" s="169">
        <f t="shared" si="468"/>
        <v>-7.3669070843607187E-11</v>
      </c>
      <c r="BJ461" s="169">
        <f t="shared" si="468"/>
        <v>-7.3669070843607187E-11</v>
      </c>
      <c r="BK461" s="169">
        <f t="shared" si="468"/>
        <v>-7.3669070843607187E-11</v>
      </c>
      <c r="BL461" s="169">
        <f t="shared" si="468"/>
        <v>-7.3669070843607187E-11</v>
      </c>
      <c r="BM461" s="169">
        <f t="shared" si="468"/>
        <v>-7.3669070843607187E-11</v>
      </c>
      <c r="BN461" s="169">
        <f t="shared" si="468"/>
        <v>-7.3669070843607187E-11</v>
      </c>
      <c r="BO461" s="169">
        <f t="shared" si="468"/>
        <v>-7.3669070843607187E-11</v>
      </c>
      <c r="BP461" s="358"/>
      <c r="BQ461" s="358"/>
    </row>
    <row r="462" spans="2:69" s="22" customFormat="1" outlineLevel="1">
      <c r="E462" s="28"/>
      <c r="F462" s="29"/>
      <c r="G462" s="66"/>
    </row>
    <row r="463" spans="2:69" s="22" customFormat="1" outlineLevel="1">
      <c r="B463" s="69" t="s">
        <v>1312</v>
      </c>
      <c r="E463" s="28"/>
      <c r="F463" s="29"/>
      <c r="G463" s="66"/>
    </row>
    <row r="464" spans="2:69" s="22" customFormat="1" outlineLevel="1">
      <c r="C464" s="22" t="s">
        <v>1305</v>
      </c>
      <c r="D464" s="176">
        <v>0</v>
      </c>
      <c r="E464" s="176" t="s">
        <v>1306</v>
      </c>
      <c r="F464" s="29" t="s">
        <v>119</v>
      </c>
      <c r="G464" s="66"/>
      <c r="H464" s="148">
        <f>D464</f>
        <v>0</v>
      </c>
      <c r="I464" s="172">
        <f>+H467</f>
        <v>103</v>
      </c>
      <c r="J464" s="172">
        <f ca="1">+I467</f>
        <v>204.28333333333333</v>
      </c>
      <c r="K464" s="172">
        <f ca="1">+J467</f>
        <v>303.84999999999997</v>
      </c>
      <c r="L464" s="172">
        <f ca="1">+K467</f>
        <v>401.7</v>
      </c>
      <c r="M464" s="172">
        <f ca="1">+L467</f>
        <v>497.83333333333331</v>
      </c>
      <c r="N464" s="172">
        <f t="shared" ref="N464:BO464" ca="1" si="469">+M467</f>
        <v>592.24999999999989</v>
      </c>
      <c r="O464" s="172">
        <f t="shared" ca="1" si="469"/>
        <v>684.94999999999993</v>
      </c>
      <c r="P464" s="172">
        <f t="shared" ca="1" si="469"/>
        <v>775.93333333333328</v>
      </c>
      <c r="Q464" s="172">
        <f ca="1">+P467</f>
        <v>865.19999999999993</v>
      </c>
      <c r="R464" s="172">
        <f t="shared" ca="1" si="469"/>
        <v>952.74999999999989</v>
      </c>
      <c r="S464" s="172">
        <f t="shared" ca="1" si="469"/>
        <v>1038.5833333333333</v>
      </c>
      <c r="T464" s="172">
        <f t="shared" ca="1" si="469"/>
        <v>1122.6999999999998</v>
      </c>
      <c r="U464" s="172">
        <f t="shared" ca="1" si="469"/>
        <v>1208.1899999999998</v>
      </c>
      <c r="V464" s="172">
        <f t="shared" ca="1" si="469"/>
        <v>1291.9118333333331</v>
      </c>
      <c r="W464" s="172">
        <f t="shared" ca="1" si="469"/>
        <v>1373.8654999999997</v>
      </c>
      <c r="X464" s="172">
        <f t="shared" ca="1" si="469"/>
        <v>1454.0509999999995</v>
      </c>
      <c r="Y464" s="172">
        <f t="shared" ca="1" si="469"/>
        <v>1532.4683333333328</v>
      </c>
      <c r="Z464" s="172">
        <f t="shared" ca="1" si="469"/>
        <v>1609.1174999999994</v>
      </c>
      <c r="AA464" s="172">
        <f t="shared" ca="1" si="469"/>
        <v>1683.9984999999992</v>
      </c>
      <c r="AB464" s="172">
        <f t="shared" ca="1" si="469"/>
        <v>1757.1113333333326</v>
      </c>
      <c r="AC464" s="172">
        <f t="shared" ca="1" si="469"/>
        <v>1828.4559999999992</v>
      </c>
      <c r="AD464" s="172">
        <f t="shared" ca="1" si="469"/>
        <v>1898.0324999999991</v>
      </c>
      <c r="AE464" s="172">
        <f t="shared" ca="1" si="469"/>
        <v>1965.8408333333323</v>
      </c>
      <c r="AF464" s="172">
        <f t="shared" ca="1" si="469"/>
        <v>2031.8809999999992</v>
      </c>
      <c r="AG464" s="172">
        <f t="shared" ca="1" si="469"/>
        <v>2099.3356999999996</v>
      </c>
      <c r="AH464" s="172">
        <f t="shared" ca="1" si="469"/>
        <v>2164.969188333333</v>
      </c>
      <c r="AI464" s="172">
        <f t="shared" ca="1" si="469"/>
        <v>2228.7814649999996</v>
      </c>
      <c r="AJ464" s="172">
        <f t="shared" ca="1" si="469"/>
        <v>2290.7725299999997</v>
      </c>
      <c r="AK464" s="172">
        <f t="shared" ca="1" si="469"/>
        <v>2350.9423833333331</v>
      </c>
      <c r="AL464" s="172">
        <f t="shared" ca="1" si="469"/>
        <v>2409.2910249999995</v>
      </c>
      <c r="AM464" s="172">
        <f t="shared" ca="1" si="469"/>
        <v>2465.8184549999996</v>
      </c>
      <c r="AN464" s="172">
        <f t="shared" ca="1" si="469"/>
        <v>2520.5246733333329</v>
      </c>
      <c r="AO464" s="172">
        <f t="shared" ca="1" si="469"/>
        <v>2573.4096799999998</v>
      </c>
      <c r="AP464" s="172">
        <f t="shared" ca="1" si="469"/>
        <v>2624.4734749999998</v>
      </c>
      <c r="AQ464" s="172">
        <f t="shared" ca="1" si="469"/>
        <v>2673.716058333333</v>
      </c>
      <c r="AR464" s="172">
        <f t="shared" ca="1" si="469"/>
        <v>2721.1374299999998</v>
      </c>
      <c r="AS464" s="172">
        <f t="shared" ca="1" si="469"/>
        <v>2770.0157709999999</v>
      </c>
      <c r="AT464" s="172">
        <f t="shared" ca="1" si="469"/>
        <v>2817.0182639833333</v>
      </c>
      <c r="AU464" s="172">
        <f t="shared" ca="1" si="469"/>
        <v>2862.1449089500002</v>
      </c>
      <c r="AV464" s="172">
        <f t="shared" ca="1" si="469"/>
        <v>2905.3957059000004</v>
      </c>
      <c r="AW464" s="172">
        <f t="shared" ca="1" si="469"/>
        <v>2946.770654833334</v>
      </c>
      <c r="AX464" s="172">
        <f t="shared" ca="1" si="469"/>
        <v>2986.269755750001</v>
      </c>
      <c r="AY464" s="172">
        <f t="shared" ca="1" si="469"/>
        <v>3023.8930086500009</v>
      </c>
      <c r="AZ464" s="172">
        <f t="shared" ca="1" si="469"/>
        <v>3059.6404135333341</v>
      </c>
      <c r="BA464" s="172">
        <f t="shared" ca="1" si="469"/>
        <v>3093.5119704000008</v>
      </c>
      <c r="BB464" s="172">
        <f t="shared" ca="1" si="469"/>
        <v>3125.5076792500008</v>
      </c>
      <c r="BC464" s="172">
        <f t="shared" ca="1" si="469"/>
        <v>3155.6275400833342</v>
      </c>
      <c r="BD464" s="172">
        <f t="shared" ca="1" si="469"/>
        <v>3183.871552900001</v>
      </c>
      <c r="BE464" s="172">
        <f t="shared" ca="1" si="469"/>
        <v>3213.6162441300012</v>
      </c>
      <c r="BF464" s="172">
        <f t="shared" ca="1" si="469"/>
        <v>3241.4288119028347</v>
      </c>
      <c r="BG464" s="172">
        <f t="shared" ca="1" si="469"/>
        <v>3267.3092562185016</v>
      </c>
      <c r="BH464" s="172">
        <f t="shared" ca="1" si="469"/>
        <v>3291.2575770770018</v>
      </c>
      <c r="BI464" s="172">
        <f t="shared" ca="1" si="469"/>
        <v>3313.2737744783353</v>
      </c>
      <c r="BJ464" s="172">
        <f t="shared" ca="1" si="469"/>
        <v>3333.3578484225022</v>
      </c>
      <c r="BK464" s="172">
        <f t="shared" ca="1" si="469"/>
        <v>3351.5097989095025</v>
      </c>
      <c r="BL464" s="172">
        <f t="shared" ca="1" si="469"/>
        <v>3367.7296259393361</v>
      </c>
      <c r="BM464" s="172">
        <f t="shared" ca="1" si="469"/>
        <v>3382.017329512003</v>
      </c>
      <c r="BN464" s="172">
        <f t="shared" ca="1" si="469"/>
        <v>3394.3729096275033</v>
      </c>
      <c r="BO464" s="172">
        <f t="shared" ca="1" si="469"/>
        <v>3404.7963662858369</v>
      </c>
      <c r="BP464" s="172"/>
      <c r="BQ464" s="172"/>
    </row>
    <row r="465" spans="2:69" s="22" customFormat="1" outlineLevel="1">
      <c r="C465" s="22" t="s">
        <v>1307</v>
      </c>
      <c r="D465" s="176">
        <f>Assumptions!H47</f>
        <v>100</v>
      </c>
      <c r="E465" s="176" t="s">
        <v>1313</v>
      </c>
      <c r="F465" s="29" t="s">
        <v>119</v>
      </c>
      <c r="G465" s="66"/>
      <c r="H465" s="148" cm="1">
        <f t="array" ref="H465:BO465">D465*H118:BO118</f>
        <v>103</v>
      </c>
      <c r="I465" s="148">
        <v>103</v>
      </c>
      <c r="J465" s="148">
        <v>103</v>
      </c>
      <c r="K465" s="148">
        <v>103</v>
      </c>
      <c r="L465" s="148">
        <v>103</v>
      </c>
      <c r="M465" s="148">
        <v>103</v>
      </c>
      <c r="N465" s="148">
        <v>103</v>
      </c>
      <c r="O465" s="148">
        <v>103</v>
      </c>
      <c r="P465" s="148">
        <v>103</v>
      </c>
      <c r="Q465" s="148">
        <v>103</v>
      </c>
      <c r="R465" s="148">
        <v>103</v>
      </c>
      <c r="S465" s="148">
        <v>103</v>
      </c>
      <c r="T465" s="148">
        <v>106.08999999999999</v>
      </c>
      <c r="U465" s="148">
        <v>106.08999999999999</v>
      </c>
      <c r="V465" s="148">
        <v>106.08999999999999</v>
      </c>
      <c r="W465" s="148">
        <v>106.08999999999999</v>
      </c>
      <c r="X465" s="148">
        <v>106.08999999999999</v>
      </c>
      <c r="Y465" s="148">
        <v>106.08999999999999</v>
      </c>
      <c r="Z465" s="148">
        <v>106.08999999999999</v>
      </c>
      <c r="AA465" s="148">
        <v>106.08999999999999</v>
      </c>
      <c r="AB465" s="148">
        <v>106.08999999999999</v>
      </c>
      <c r="AC465" s="148">
        <v>106.08999999999999</v>
      </c>
      <c r="AD465" s="148">
        <v>106.08999999999999</v>
      </c>
      <c r="AE465" s="148">
        <v>106.08999999999999</v>
      </c>
      <c r="AF465" s="148">
        <v>109.2727</v>
      </c>
      <c r="AG465" s="148">
        <v>109.2727</v>
      </c>
      <c r="AH465" s="148">
        <v>109.2727</v>
      </c>
      <c r="AI465" s="148">
        <v>109.2727</v>
      </c>
      <c r="AJ465" s="148">
        <v>109.2727</v>
      </c>
      <c r="AK465" s="148">
        <v>109.2727</v>
      </c>
      <c r="AL465" s="148">
        <v>109.2727</v>
      </c>
      <c r="AM465" s="148">
        <v>109.2727</v>
      </c>
      <c r="AN465" s="148">
        <v>109.2727</v>
      </c>
      <c r="AO465" s="148">
        <v>109.2727</v>
      </c>
      <c r="AP465" s="148">
        <v>109.2727</v>
      </c>
      <c r="AQ465" s="148">
        <v>109.2727</v>
      </c>
      <c r="AR465" s="148">
        <v>112.55088099999999</v>
      </c>
      <c r="AS465" s="148">
        <v>112.55088099999999</v>
      </c>
      <c r="AT465" s="148">
        <v>112.55088099999999</v>
      </c>
      <c r="AU465" s="148">
        <v>112.55088099999999</v>
      </c>
      <c r="AV465" s="148">
        <v>112.55088099999999</v>
      </c>
      <c r="AW465" s="148">
        <v>112.55088099999999</v>
      </c>
      <c r="AX465" s="148">
        <v>112.55088099999999</v>
      </c>
      <c r="AY465" s="148">
        <v>112.55088099999999</v>
      </c>
      <c r="AZ465" s="148">
        <v>112.55088099999999</v>
      </c>
      <c r="BA465" s="148">
        <v>112.55088099999999</v>
      </c>
      <c r="BB465" s="148">
        <v>112.55088099999999</v>
      </c>
      <c r="BC465" s="148">
        <v>112.55088099999999</v>
      </c>
      <c r="BD465" s="148">
        <v>115.92740742999999</v>
      </c>
      <c r="BE465" s="148">
        <v>115.92740742999999</v>
      </c>
      <c r="BF465" s="148">
        <v>115.92740742999999</v>
      </c>
      <c r="BG465" s="148">
        <v>115.92740742999999</v>
      </c>
      <c r="BH465" s="148">
        <v>115.92740742999999</v>
      </c>
      <c r="BI465" s="148">
        <v>115.92740742999999</v>
      </c>
      <c r="BJ465" s="148">
        <v>115.92740742999999</v>
      </c>
      <c r="BK465" s="148">
        <v>115.92740742999999</v>
      </c>
      <c r="BL465" s="148">
        <v>115.92740742999999</v>
      </c>
      <c r="BM465" s="148">
        <v>115.92740742999999</v>
      </c>
      <c r="BN465" s="148">
        <v>115.92740742999999</v>
      </c>
      <c r="BO465" s="148">
        <v>115.92740742999999</v>
      </c>
      <c r="BP465" s="148"/>
      <c r="BQ465" s="148"/>
    </row>
    <row r="466" spans="2:69" s="22" customFormat="1" outlineLevel="1">
      <c r="C466" s="22" t="s">
        <v>1309</v>
      </c>
      <c r="D466" s="176">
        <f>Assumptions!H49</f>
        <v>5</v>
      </c>
      <c r="E466" s="176" t="s">
        <v>1310</v>
      </c>
      <c r="F466" s="29" t="s">
        <v>119</v>
      </c>
      <c r="G466" s="66"/>
      <c r="H466" s="212">
        <v>0</v>
      </c>
      <c r="I466" s="148" cm="1">
        <f t="array" aca="1" ref="I466" ca="1">-SUM(OFFSET(H465,0,0,1,-MIN($D$466*12,H6))/($D$466*12))</f>
        <v>-1.7166666666666666</v>
      </c>
      <c r="J466" s="148" cm="1">
        <f t="array" aca="1" ref="J466" ca="1">-SUM(OFFSET(I465,0,0,1,-MIN($D$466*12,I6))/($D$466*12))</f>
        <v>-3.4333333333333331</v>
      </c>
      <c r="K466" s="148" cm="1">
        <f t="array" aca="1" ref="K466" ca="1">-SUM(OFFSET(J465,0,0,1,-MIN($D$466*12,J6))/($D$466*12))</f>
        <v>-5.1499999999999995</v>
      </c>
      <c r="L466" s="148" cm="1">
        <f t="array" aca="1" ref="L466" ca="1">-SUM(OFFSET(K465,0,0,1,-MIN($D$466*12,K6))/($D$466*12))</f>
        <v>-6.8666666666666663</v>
      </c>
      <c r="M466" s="148" cm="1">
        <f t="array" aca="1" ref="M466" ca="1">-SUM(OFFSET(L465,0,0,1,-MIN($D$466*12,L6))/($D$466*12))</f>
        <v>-8.5833333333333321</v>
      </c>
      <c r="N466" s="148" cm="1">
        <f t="array" aca="1" ref="N466" ca="1">-SUM(OFFSET(M465,0,0,1,-MIN($D$466*12,M6))/($D$466*12))</f>
        <v>-10.299999999999999</v>
      </c>
      <c r="O466" s="148" cm="1">
        <f t="array" aca="1" ref="O466" ca="1">-SUM(OFFSET(N465,0,0,1,-MIN($D$466*12,N6))/($D$466*12))</f>
        <v>-12.016666666666666</v>
      </c>
      <c r="P466" s="148" cm="1">
        <f t="array" aca="1" ref="P466" ca="1">-SUM(OFFSET(O465,0,0,1,-MIN($D$466*12,O6))/($D$466*12))</f>
        <v>-13.733333333333333</v>
      </c>
      <c r="Q466" s="148" cm="1">
        <f t="array" aca="1" ref="Q466" ca="1">-SUM(OFFSET(P465,0,0,1,-MIN($D$466*12,P6))/($D$466*12))</f>
        <v>-15.45</v>
      </c>
      <c r="R466" s="148" cm="1">
        <f t="array" aca="1" ref="R466" ca="1">-SUM(OFFSET(Q465,0,0,1,-MIN($D$466*12,Q6))/($D$466*12))</f>
        <v>-17.166666666666664</v>
      </c>
      <c r="S466" s="148" cm="1">
        <f t="array" aca="1" ref="S466" ca="1">-SUM(OFFSET(R465,0,0,1,-MIN($D$466*12,R6))/($D$466*12))</f>
        <v>-18.883333333333329</v>
      </c>
      <c r="T466" s="148" cm="1">
        <f t="array" aca="1" ref="T466" ca="1">-SUM(OFFSET(S465,0,0,1,-MIN($D$466*12,S6))/($D$466*12))</f>
        <v>-20.599999999999994</v>
      </c>
      <c r="U466" s="148" cm="1">
        <f t="array" aca="1" ref="U466" ca="1">-SUM(OFFSET(T465,0,0,1,-MIN($D$466*12,T6))/($D$466*12))</f>
        <v>-22.36816666666666</v>
      </c>
      <c r="V466" s="148" cm="1">
        <f t="array" aca="1" ref="V466" ca="1">-SUM(OFFSET(U465,0,0,1,-MIN($D$466*12,U6))/($D$466*12))</f>
        <v>-24.136333333333326</v>
      </c>
      <c r="W466" s="148" cm="1">
        <f t="array" aca="1" ref="W466" ca="1">-SUM(OFFSET(V465,0,0,1,-MIN($D$466*12,V6))/($D$466*12))</f>
        <v>-25.904499999999992</v>
      </c>
      <c r="X466" s="148" cm="1">
        <f t="array" aca="1" ref="X466" ca="1">-SUM(OFFSET(W465,0,0,1,-MIN($D$466*12,W6))/($D$466*12))</f>
        <v>-27.672666666666657</v>
      </c>
      <c r="Y466" s="148" cm="1">
        <f t="array" aca="1" ref="Y466" ca="1">-SUM(OFFSET(X465,0,0,1,-MIN($D$466*12,X6))/($D$466*12))</f>
        <v>-29.440833333333323</v>
      </c>
      <c r="Z466" s="148" cm="1">
        <f t="array" aca="1" ref="Z466" ca="1">-SUM(OFFSET(Y465,0,0,1,-MIN($D$466*12,Y6))/($D$466*12))</f>
        <v>-31.208999999999989</v>
      </c>
      <c r="AA466" s="148" cm="1">
        <f t="array" aca="1" ref="AA466" ca="1">-SUM(OFFSET(Z465,0,0,1,-MIN($D$466*12,Z6))/($D$466*12))</f>
        <v>-32.977166666666655</v>
      </c>
      <c r="AB466" s="148" cm="1">
        <f t="array" aca="1" ref="AB466" ca="1">-SUM(OFFSET(AA465,0,0,1,-MIN($D$466*12,AA6))/($D$466*12))</f>
        <v>-34.745333333333321</v>
      </c>
      <c r="AC466" s="148" cm="1">
        <f t="array" aca="1" ref="AC466" ca="1">-SUM(OFFSET(AB465,0,0,1,-MIN($D$466*12,AB6))/($D$466*12))</f>
        <v>-36.513499999999986</v>
      </c>
      <c r="AD466" s="148" cm="1">
        <f t="array" aca="1" ref="AD466" ca="1">-SUM(OFFSET(AC465,0,0,1,-MIN($D$466*12,AC6))/($D$466*12))</f>
        <v>-38.281666666666652</v>
      </c>
      <c r="AE466" s="148" cm="1">
        <f t="array" aca="1" ref="AE466" ca="1">-SUM(OFFSET(AD465,0,0,1,-MIN($D$466*12,AD6))/($D$466*12))</f>
        <v>-40.049833333333318</v>
      </c>
      <c r="AF466" s="148" cm="1">
        <f t="array" aca="1" ref="AF466" ca="1">-SUM(OFFSET(AE465,0,0,1,-MIN($D$466*12,AE6))/($D$466*12))</f>
        <v>-41.817999999999984</v>
      </c>
      <c r="AG466" s="148" cm="1">
        <f t="array" aca="1" ref="AG466" ca="1">-SUM(OFFSET(AF465,0,0,1,-MIN($D$466*12,AF6))/($D$466*12))</f>
        <v>-43.639211666666654</v>
      </c>
      <c r="AH466" s="148" cm="1">
        <f t="array" aca="1" ref="AH466" ca="1">-SUM(OFFSET(AG465,0,0,1,-MIN($D$466*12,AG6))/($D$466*12))</f>
        <v>-45.460423333333324</v>
      </c>
      <c r="AI466" s="148" cm="1">
        <f t="array" aca="1" ref="AI466" ca="1">-SUM(OFFSET(AH465,0,0,1,-MIN($D$466*12,AH6))/($D$466*12))</f>
        <v>-47.281634999999994</v>
      </c>
      <c r="AJ466" s="148" cm="1">
        <f t="array" aca="1" ref="AJ466" ca="1">-SUM(OFFSET(AI465,0,0,1,-MIN($D$466*12,AI6))/($D$466*12))</f>
        <v>-49.102846666666665</v>
      </c>
      <c r="AK466" s="148" cm="1">
        <f t="array" aca="1" ref="AK466" ca="1">-SUM(OFFSET(AJ465,0,0,1,-MIN($D$466*12,AJ6))/($D$466*12))</f>
        <v>-50.924058333333335</v>
      </c>
      <c r="AL466" s="148" cm="1">
        <f t="array" aca="1" ref="AL466" ca="1">-SUM(OFFSET(AK465,0,0,1,-MIN($D$466*12,AK6))/($D$466*12))</f>
        <v>-52.745270000000005</v>
      </c>
      <c r="AM466" s="148" cm="1">
        <f t="array" aca="1" ref="AM466" ca="1">-SUM(OFFSET(AL465,0,0,1,-MIN($D$466*12,AL6))/($D$466*12))</f>
        <v>-54.566481666666675</v>
      </c>
      <c r="AN466" s="148" cm="1">
        <f t="array" aca="1" ref="AN466" ca="1">-SUM(OFFSET(AM465,0,0,1,-MIN($D$466*12,AM6))/($D$466*12))</f>
        <v>-56.387693333333345</v>
      </c>
      <c r="AO466" s="148" cm="1">
        <f t="array" aca="1" ref="AO466" ca="1">-SUM(OFFSET(AN465,0,0,1,-MIN($D$466*12,AN6))/($D$466*12))</f>
        <v>-58.208905000000016</v>
      </c>
      <c r="AP466" s="148" cm="1">
        <f t="array" aca="1" ref="AP466" ca="1">-SUM(OFFSET(AO465,0,0,1,-MIN($D$466*12,AO6))/($D$466*12))</f>
        <v>-60.030116666666686</v>
      </c>
      <c r="AQ466" s="148" cm="1">
        <f t="array" aca="1" ref="AQ466" ca="1">-SUM(OFFSET(AP465,0,0,1,-MIN($D$466*12,AP6))/($D$466*12))</f>
        <v>-61.851328333333356</v>
      </c>
      <c r="AR466" s="148" cm="1">
        <f t="array" aca="1" ref="AR466" ca="1">-SUM(OFFSET(AQ465,0,0,1,-MIN($D$466*12,AQ6))/($D$466*12))</f>
        <v>-63.672540000000026</v>
      </c>
      <c r="AS466" s="148" cm="1">
        <f t="array" aca="1" ref="AS466" ca="1">-SUM(OFFSET(AR465,0,0,1,-MIN($D$466*12,AR6))/($D$466*12))</f>
        <v>-65.548388016666692</v>
      </c>
      <c r="AT466" s="148" cm="1">
        <f t="array" aca="1" ref="AT466" ca="1">-SUM(OFFSET(AS465,0,0,1,-MIN($D$466*12,AS6))/($D$466*12))</f>
        <v>-67.424236033333358</v>
      </c>
      <c r="AU466" s="148" cm="1">
        <f t="array" aca="1" ref="AU466" ca="1">-SUM(OFFSET(AT465,0,0,1,-MIN($D$466*12,AT6))/($D$466*12))</f>
        <v>-69.300084050000024</v>
      </c>
      <c r="AV466" s="148" cm="1">
        <f t="array" aca="1" ref="AV466" ca="1">-SUM(OFFSET(AU465,0,0,1,-MIN($D$466*12,AU6))/($D$466*12))</f>
        <v>-71.175932066666689</v>
      </c>
      <c r="AW466" s="148" cm="1">
        <f t="array" aca="1" ref="AW466" ca="1">-SUM(OFFSET(AV465,0,0,1,-MIN($D$466*12,AV6))/($D$466*12))</f>
        <v>-73.051780083333355</v>
      </c>
      <c r="AX466" s="148" cm="1">
        <f t="array" aca="1" ref="AX466" ca="1">-SUM(OFFSET(AW465,0,0,1,-MIN($D$466*12,AW6))/($D$466*12))</f>
        <v>-74.927628100000021</v>
      </c>
      <c r="AY466" s="148" cm="1">
        <f t="array" aca="1" ref="AY466" ca="1">-SUM(OFFSET(AX465,0,0,1,-MIN($D$466*12,AX6))/($D$466*12))</f>
        <v>-76.803476116666687</v>
      </c>
      <c r="AZ466" s="148" cm="1">
        <f t="array" aca="1" ref="AZ466" ca="1">-SUM(OFFSET(AY465,0,0,1,-MIN($D$466*12,AY6))/($D$466*12))</f>
        <v>-78.679324133333353</v>
      </c>
      <c r="BA466" s="148" cm="1">
        <f t="array" aca="1" ref="BA466" ca="1">-SUM(OFFSET(AZ465,0,0,1,-MIN($D$466*12,AZ6))/($D$466*12))</f>
        <v>-80.555172150000018</v>
      </c>
      <c r="BB466" s="148" cm="1">
        <f t="array" aca="1" ref="BB466" ca="1">-SUM(OFFSET(BA465,0,0,1,-MIN($D$466*12,BA6))/($D$466*12))</f>
        <v>-82.431020166666684</v>
      </c>
      <c r="BC466" s="148" cm="1">
        <f t="array" aca="1" ref="BC466" ca="1">-SUM(OFFSET(BB465,0,0,1,-MIN($D$466*12,BB6))/($D$466*12))</f>
        <v>-84.30686818333335</v>
      </c>
      <c r="BD466" s="148" cm="1">
        <f t="array" aca="1" ref="BD466" ca="1">-SUM(OFFSET(BC465,0,0,1,-MIN($D$466*12,BC6))/($D$466*12))</f>
        <v>-86.182716200000016</v>
      </c>
      <c r="BE466" s="148" cm="1">
        <f t="array" aca="1" ref="BE466" ca="1">-SUM(OFFSET(BD465,0,0,1,-MIN($D$466*12,BD6))/($D$466*12))</f>
        <v>-88.114839657166684</v>
      </c>
      <c r="BF466" s="148" cm="1">
        <f t="array" aca="1" ref="BF466" ca="1">-SUM(OFFSET(BE465,0,0,1,-MIN($D$466*12,BE6))/($D$466*12))</f>
        <v>-90.046963114333352</v>
      </c>
      <c r="BG466" s="148" cm="1">
        <f t="array" aca="1" ref="BG466" ca="1">-SUM(OFFSET(BF465,0,0,1,-MIN($D$466*12,BF6))/($D$466*12))</f>
        <v>-91.979086571500019</v>
      </c>
      <c r="BH466" s="148" cm="1">
        <f t="array" aca="1" ref="BH466" ca="1">-SUM(OFFSET(BG465,0,0,1,-MIN($D$466*12,BG6))/($D$466*12))</f>
        <v>-93.911210028666687</v>
      </c>
      <c r="BI466" s="148" cm="1">
        <f t="array" aca="1" ref="BI466" ca="1">-SUM(OFFSET(BH465,0,0,1,-MIN($D$466*12,BH6))/($D$466*12))</f>
        <v>-95.843333485833355</v>
      </c>
      <c r="BJ466" s="148" cm="1">
        <f t="array" aca="1" ref="BJ466" ca="1">-SUM(OFFSET(BI465,0,0,1,-MIN($D$466*12,BI6))/($D$466*12))</f>
        <v>-97.775456943000023</v>
      </c>
      <c r="BK466" s="148" cm="1">
        <f t="array" aca="1" ref="BK466" ca="1">-SUM(OFFSET(BJ465,0,0,1,-MIN($D$466*12,BJ6))/($D$466*12))</f>
        <v>-99.707580400166691</v>
      </c>
      <c r="BL466" s="148" cm="1">
        <f t="array" aca="1" ref="BL466" ca="1">-SUM(OFFSET(BK465,0,0,1,-MIN($D$466*12,BK6))/($D$466*12))</f>
        <v>-101.63970385733336</v>
      </c>
      <c r="BM466" s="148" cm="1">
        <f t="array" aca="1" ref="BM466" ca="1">-SUM(OFFSET(BL465,0,0,1,-MIN($D$466*12,BL6))/($D$466*12))</f>
        <v>-103.57182731450003</v>
      </c>
      <c r="BN466" s="148" cm="1">
        <f t="array" aca="1" ref="BN466" ca="1">-SUM(OFFSET(BM465,0,0,1,-MIN($D$466*12,BM6))/($D$466*12))</f>
        <v>-105.50395077166669</v>
      </c>
      <c r="BO466" s="148" cm="1">
        <f t="array" aca="1" ref="BO466" ca="1">-SUM(OFFSET(BN465,0,0,1,-MIN($D$466*12,BN6))/($D$466*12))</f>
        <v>-107.43607422883336</v>
      </c>
      <c r="BP466" s="148"/>
      <c r="BQ466" s="148"/>
    </row>
    <row r="467" spans="2:69" s="31" customFormat="1" ht="12" customHeight="1" outlineLevel="1">
      <c r="C467" s="70" t="s">
        <v>1311</v>
      </c>
      <c r="D467" s="70"/>
      <c r="E467" s="71"/>
      <c r="F467" s="80" t="s">
        <v>119</v>
      </c>
      <c r="G467" s="168"/>
      <c r="H467" s="169">
        <f t="shared" ref="H467:AQ467" si="470">+SUM(H464:H466)</f>
        <v>103</v>
      </c>
      <c r="I467" s="169">
        <f t="shared" ca="1" si="470"/>
        <v>204.28333333333333</v>
      </c>
      <c r="J467" s="169">
        <f t="shared" ca="1" si="470"/>
        <v>303.84999999999997</v>
      </c>
      <c r="K467" s="169">
        <f t="shared" ca="1" si="470"/>
        <v>401.7</v>
      </c>
      <c r="L467" s="169">
        <f t="shared" ca="1" si="470"/>
        <v>497.83333333333331</v>
      </c>
      <c r="M467" s="169">
        <f t="shared" ca="1" si="470"/>
        <v>592.24999999999989</v>
      </c>
      <c r="N467" s="169">
        <f t="shared" ca="1" si="470"/>
        <v>684.94999999999993</v>
      </c>
      <c r="O467" s="169">
        <f t="shared" ca="1" si="470"/>
        <v>775.93333333333328</v>
      </c>
      <c r="P467" s="169">
        <f t="shared" ca="1" si="470"/>
        <v>865.19999999999993</v>
      </c>
      <c r="Q467" s="169">
        <f t="shared" ca="1" si="470"/>
        <v>952.74999999999989</v>
      </c>
      <c r="R467" s="169">
        <f t="shared" ca="1" si="470"/>
        <v>1038.5833333333333</v>
      </c>
      <c r="S467" s="169">
        <f t="shared" ca="1" si="470"/>
        <v>1122.6999999999998</v>
      </c>
      <c r="T467" s="169">
        <f t="shared" ca="1" si="470"/>
        <v>1208.1899999999998</v>
      </c>
      <c r="U467" s="169">
        <f t="shared" ca="1" si="470"/>
        <v>1291.9118333333331</v>
      </c>
      <c r="V467" s="169">
        <f t="shared" ca="1" si="470"/>
        <v>1373.8654999999997</v>
      </c>
      <c r="W467" s="169">
        <f t="shared" ca="1" si="470"/>
        <v>1454.0509999999995</v>
      </c>
      <c r="X467" s="169">
        <f t="shared" ca="1" si="470"/>
        <v>1532.4683333333328</v>
      </c>
      <c r="Y467" s="169">
        <f t="shared" ca="1" si="470"/>
        <v>1609.1174999999994</v>
      </c>
      <c r="Z467" s="169">
        <f t="shared" ca="1" si="470"/>
        <v>1683.9984999999992</v>
      </c>
      <c r="AA467" s="169">
        <f t="shared" ca="1" si="470"/>
        <v>1757.1113333333326</v>
      </c>
      <c r="AB467" s="169">
        <f t="shared" ca="1" si="470"/>
        <v>1828.4559999999992</v>
      </c>
      <c r="AC467" s="169">
        <f t="shared" ca="1" si="470"/>
        <v>1898.0324999999991</v>
      </c>
      <c r="AD467" s="169">
        <f t="shared" ca="1" si="470"/>
        <v>1965.8408333333323</v>
      </c>
      <c r="AE467" s="169">
        <f t="shared" ca="1" si="470"/>
        <v>2031.8809999999992</v>
      </c>
      <c r="AF467" s="169">
        <f t="shared" ca="1" si="470"/>
        <v>2099.3356999999996</v>
      </c>
      <c r="AG467" s="169">
        <f t="shared" ca="1" si="470"/>
        <v>2164.969188333333</v>
      </c>
      <c r="AH467" s="169">
        <f t="shared" ca="1" si="470"/>
        <v>2228.7814649999996</v>
      </c>
      <c r="AI467" s="169">
        <f t="shared" ca="1" si="470"/>
        <v>2290.7725299999997</v>
      </c>
      <c r="AJ467" s="169">
        <f t="shared" ca="1" si="470"/>
        <v>2350.9423833333331</v>
      </c>
      <c r="AK467" s="169">
        <f t="shared" ca="1" si="470"/>
        <v>2409.2910249999995</v>
      </c>
      <c r="AL467" s="169">
        <f t="shared" ca="1" si="470"/>
        <v>2465.8184549999996</v>
      </c>
      <c r="AM467" s="169">
        <f t="shared" ca="1" si="470"/>
        <v>2520.5246733333329</v>
      </c>
      <c r="AN467" s="169">
        <f t="shared" ca="1" si="470"/>
        <v>2573.4096799999998</v>
      </c>
      <c r="AO467" s="169">
        <f t="shared" ca="1" si="470"/>
        <v>2624.4734749999998</v>
      </c>
      <c r="AP467" s="169">
        <f t="shared" ca="1" si="470"/>
        <v>2673.716058333333</v>
      </c>
      <c r="AQ467" s="169">
        <f t="shared" ca="1" si="470"/>
        <v>2721.1374299999998</v>
      </c>
      <c r="AR467" s="169">
        <f t="shared" ref="AR467" ca="1" si="471">+SUM(AR464:AR466)</f>
        <v>2770.0157709999999</v>
      </c>
      <c r="AS467" s="169">
        <f t="shared" ref="AS467" ca="1" si="472">+SUM(AS464:AS466)</f>
        <v>2817.0182639833333</v>
      </c>
      <c r="AT467" s="169">
        <f t="shared" ref="AT467" ca="1" si="473">+SUM(AT464:AT466)</f>
        <v>2862.1449089500002</v>
      </c>
      <c r="AU467" s="169">
        <f t="shared" ref="AU467" ca="1" si="474">+SUM(AU464:AU466)</f>
        <v>2905.3957059000004</v>
      </c>
      <c r="AV467" s="169">
        <f t="shared" ref="AV467" ca="1" si="475">+SUM(AV464:AV466)</f>
        <v>2946.770654833334</v>
      </c>
      <c r="AW467" s="169">
        <f t="shared" ref="AW467" ca="1" si="476">+SUM(AW464:AW466)</f>
        <v>2986.269755750001</v>
      </c>
      <c r="AX467" s="169">
        <f t="shared" ref="AX467" ca="1" si="477">+SUM(AX464:AX466)</f>
        <v>3023.8930086500009</v>
      </c>
      <c r="AY467" s="169">
        <f t="shared" ref="AY467" ca="1" si="478">+SUM(AY464:AY466)</f>
        <v>3059.6404135333341</v>
      </c>
      <c r="AZ467" s="169">
        <f t="shared" ref="AZ467" ca="1" si="479">+SUM(AZ464:AZ466)</f>
        <v>3093.5119704000008</v>
      </c>
      <c r="BA467" s="169">
        <f t="shared" ref="BA467" ca="1" si="480">+SUM(BA464:BA466)</f>
        <v>3125.5076792500008</v>
      </c>
      <c r="BB467" s="169">
        <f t="shared" ref="BB467" ca="1" si="481">+SUM(BB464:BB466)</f>
        <v>3155.6275400833342</v>
      </c>
      <c r="BC467" s="169">
        <f t="shared" ref="BC467" ca="1" si="482">+SUM(BC464:BC466)</f>
        <v>3183.871552900001</v>
      </c>
      <c r="BD467" s="169">
        <f t="shared" ref="BD467" ca="1" si="483">+SUM(BD464:BD466)</f>
        <v>3213.6162441300012</v>
      </c>
      <c r="BE467" s="169">
        <f t="shared" ref="BE467" ca="1" si="484">+SUM(BE464:BE466)</f>
        <v>3241.4288119028347</v>
      </c>
      <c r="BF467" s="169">
        <f t="shared" ref="BF467" ca="1" si="485">+SUM(BF464:BF466)</f>
        <v>3267.3092562185016</v>
      </c>
      <c r="BG467" s="169">
        <f t="shared" ref="BG467" ca="1" si="486">+SUM(BG464:BG466)</f>
        <v>3291.2575770770018</v>
      </c>
      <c r="BH467" s="169">
        <f t="shared" ref="BH467" ca="1" si="487">+SUM(BH464:BH466)</f>
        <v>3313.2737744783353</v>
      </c>
      <c r="BI467" s="169">
        <f t="shared" ref="BI467" ca="1" si="488">+SUM(BI464:BI466)</f>
        <v>3333.3578484225022</v>
      </c>
      <c r="BJ467" s="169">
        <f t="shared" ref="BJ467" ca="1" si="489">+SUM(BJ464:BJ466)</f>
        <v>3351.5097989095025</v>
      </c>
      <c r="BK467" s="169">
        <f t="shared" ref="BK467" ca="1" si="490">+SUM(BK464:BK466)</f>
        <v>3367.7296259393361</v>
      </c>
      <c r="BL467" s="169">
        <f t="shared" ref="BL467" ca="1" si="491">+SUM(BL464:BL466)</f>
        <v>3382.017329512003</v>
      </c>
      <c r="BM467" s="169">
        <f t="shared" ref="BM467" ca="1" si="492">+SUM(BM464:BM466)</f>
        <v>3394.3729096275033</v>
      </c>
      <c r="BN467" s="169">
        <f t="shared" ref="BN467" ca="1" si="493">+SUM(BN464:BN466)</f>
        <v>3404.7963662858369</v>
      </c>
      <c r="BO467" s="169">
        <f ca="1">+SUM(BO464:BO466)</f>
        <v>3413.2876994870039</v>
      </c>
      <c r="BP467" s="358"/>
      <c r="BQ467" s="358"/>
    </row>
    <row r="468" spans="2:69" s="22" customFormat="1" outlineLevel="1">
      <c r="E468" s="28"/>
      <c r="F468" s="29"/>
      <c r="G468" s="66"/>
    </row>
    <row r="469" spans="2:69" s="22" customFormat="1" outlineLevel="1">
      <c r="B469" s="181" t="s">
        <v>1314</v>
      </c>
      <c r="C469" s="182"/>
      <c r="D469" s="182"/>
      <c r="E469" s="200"/>
      <c r="F469" s="184"/>
      <c r="G469" s="66"/>
      <c r="H469" s="182"/>
      <c r="I469" s="182"/>
      <c r="J469" s="182"/>
      <c r="K469" s="182"/>
      <c r="L469" s="182"/>
      <c r="M469" s="182"/>
      <c r="N469" s="182"/>
      <c r="O469" s="182"/>
      <c r="P469" s="182"/>
      <c r="Q469" s="182"/>
      <c r="R469" s="182"/>
      <c r="S469" s="182"/>
      <c r="T469" s="182"/>
      <c r="U469" s="182"/>
      <c r="V469" s="182"/>
      <c r="W469" s="182"/>
      <c r="X469" s="182"/>
      <c r="Y469" s="182"/>
      <c r="Z469" s="182"/>
      <c r="AA469" s="182"/>
      <c r="AB469" s="182"/>
      <c r="AC469" s="182"/>
      <c r="AD469" s="182"/>
      <c r="AE469" s="182"/>
      <c r="AF469" s="182"/>
      <c r="AG469" s="182"/>
      <c r="AH469" s="182"/>
      <c r="AI469" s="182"/>
      <c r="AJ469" s="182"/>
      <c r="AK469" s="182"/>
      <c r="AL469" s="182"/>
      <c r="AM469" s="182"/>
      <c r="AN469" s="182"/>
      <c r="AO469" s="182"/>
      <c r="AP469" s="182"/>
      <c r="AQ469" s="182"/>
      <c r="AR469" s="182"/>
      <c r="AS469" s="182"/>
      <c r="AT469" s="182"/>
      <c r="AU469" s="182"/>
      <c r="AV469" s="182"/>
      <c r="AW469" s="182"/>
      <c r="AX469" s="182"/>
      <c r="AY469" s="182"/>
      <c r="AZ469" s="182"/>
      <c r="BA469" s="182"/>
      <c r="BB469" s="182"/>
      <c r="BC469" s="182"/>
      <c r="BD469" s="182"/>
      <c r="BE469" s="182"/>
      <c r="BF469" s="182"/>
      <c r="BG469" s="182"/>
      <c r="BH469" s="182"/>
      <c r="BI469" s="182"/>
      <c r="BJ469" s="182"/>
      <c r="BK469" s="182"/>
      <c r="BL469" s="182"/>
      <c r="BM469" s="182"/>
      <c r="BN469" s="182"/>
      <c r="BO469" s="182"/>
      <c r="BP469" s="182"/>
      <c r="BQ469" s="182"/>
    </row>
    <row r="470" spans="2:69" s="22" customFormat="1" outlineLevel="1">
      <c r="B470" s="182"/>
      <c r="C470" s="182" t="s">
        <v>1305</v>
      </c>
      <c r="D470" s="230"/>
      <c r="E470" s="230"/>
      <c r="F470" s="184" t="s">
        <v>119</v>
      </c>
      <c r="G470" s="66"/>
      <c r="H470" s="201" cm="1">
        <f t="array" aca="1" ref="H470:BO470" ca="1">H458:BO458+H464:BO464</f>
        <v>100000</v>
      </c>
      <c r="I470" s="201">
        <f ca="1"/>
        <v>97325.222222222219</v>
      </c>
      <c r="J470" s="201">
        <f ca="1"/>
        <v>94648.727777777778</v>
      </c>
      <c r="K470" s="201">
        <f ca="1"/>
        <v>91970.516666666663</v>
      </c>
      <c r="L470" s="201">
        <f ca="1"/>
        <v>89290.588888888873</v>
      </c>
      <c r="M470" s="201">
        <f ca="1"/>
        <v>86608.944444444423</v>
      </c>
      <c r="N470" s="201">
        <f ca="1"/>
        <v>83925.583333333314</v>
      </c>
      <c r="O470" s="201">
        <f ca="1"/>
        <v>81240.50555555553</v>
      </c>
      <c r="P470" s="201">
        <f ca="1"/>
        <v>78553.711111111086</v>
      </c>
      <c r="Q470" s="201">
        <f ca="1"/>
        <v>75865.199999999968</v>
      </c>
      <c r="R470" s="201">
        <f ca="1"/>
        <v>73174.97222222219</v>
      </c>
      <c r="S470" s="201">
        <f ca="1"/>
        <v>70483.027777777737</v>
      </c>
      <c r="T470" s="201">
        <f ca="1"/>
        <v>67789.366666666625</v>
      </c>
      <c r="U470" s="201">
        <f ca="1"/>
        <v>65097.078888888849</v>
      </c>
      <c r="V470" s="201">
        <f ca="1"/>
        <v>62403.022944444398</v>
      </c>
      <c r="W470" s="201">
        <f ca="1"/>
        <v>59707.198833333285</v>
      </c>
      <c r="X470" s="201">
        <f ca="1"/>
        <v>57009.606555555503</v>
      </c>
      <c r="Y470" s="201">
        <f ca="1"/>
        <v>54310.246111111053</v>
      </c>
      <c r="Z470" s="201">
        <f ca="1"/>
        <v>51609.117499999942</v>
      </c>
      <c r="AA470" s="201">
        <f ca="1"/>
        <v>48906.220722222162</v>
      </c>
      <c r="AB470" s="201">
        <f ca="1"/>
        <v>46201.555777777714</v>
      </c>
      <c r="AC470" s="201">
        <f ca="1"/>
        <v>43495.122666666597</v>
      </c>
      <c r="AD470" s="201">
        <f ca="1"/>
        <v>40786.921388888819</v>
      </c>
      <c r="AE470" s="201">
        <f ca="1"/>
        <v>38076.951944444372</v>
      </c>
      <c r="AF470" s="201">
        <f ca="1"/>
        <v>35365.214333333257</v>
      </c>
      <c r="AG470" s="201">
        <f ca="1"/>
        <v>32654.891255555478</v>
      </c>
      <c r="AH470" s="201">
        <f ca="1"/>
        <v>29942.746966111034</v>
      </c>
      <c r="AI470" s="201">
        <f ca="1"/>
        <v>27228.781464999924</v>
      </c>
      <c r="AJ470" s="201">
        <f ca="1"/>
        <v>24512.994752222145</v>
      </c>
      <c r="AK470" s="201">
        <f ca="1"/>
        <v>21795.3868277777</v>
      </c>
      <c r="AL470" s="201">
        <f ca="1"/>
        <v>19075.95769166659</v>
      </c>
      <c r="AM470" s="201">
        <f ca="1"/>
        <v>16354.707343888815</v>
      </c>
      <c r="AN470" s="201">
        <f ca="1"/>
        <v>13631.63578444437</v>
      </c>
      <c r="AO470" s="201">
        <f ca="1"/>
        <v>10906.74301333326</v>
      </c>
      <c r="AP470" s="201">
        <f ca="1"/>
        <v>8180.0290305554818</v>
      </c>
      <c r="AQ470" s="201">
        <f ca="1"/>
        <v>5451.4938361110371</v>
      </c>
      <c r="AR470" s="201">
        <f ca="1"/>
        <v>2721.1374299999261</v>
      </c>
      <c r="AS470" s="201">
        <f ca="1"/>
        <v>2770.0157709999262</v>
      </c>
      <c r="AT470" s="201">
        <f ca="1"/>
        <v>2817.0182639832597</v>
      </c>
      <c r="AU470" s="201">
        <f ca="1"/>
        <v>2862.1449089499265</v>
      </c>
      <c r="AV470" s="201">
        <f ca="1"/>
        <v>2905.3957058999267</v>
      </c>
      <c r="AW470" s="201">
        <f ca="1"/>
        <v>2946.7706548332603</v>
      </c>
      <c r="AX470" s="201">
        <f ca="1"/>
        <v>2986.2697557499273</v>
      </c>
      <c r="AY470" s="201">
        <f ca="1"/>
        <v>3023.8930086499272</v>
      </c>
      <c r="AZ470" s="201">
        <f ca="1"/>
        <v>3059.6404135332605</v>
      </c>
      <c r="BA470" s="201">
        <f ca="1"/>
        <v>3093.5119703999271</v>
      </c>
      <c r="BB470" s="201">
        <f ca="1"/>
        <v>3125.5076792499272</v>
      </c>
      <c r="BC470" s="201">
        <f ca="1"/>
        <v>3155.6275400832606</v>
      </c>
      <c r="BD470" s="201">
        <f ca="1"/>
        <v>3183.8715528999273</v>
      </c>
      <c r="BE470" s="201">
        <f ca="1"/>
        <v>3213.6162441299275</v>
      </c>
      <c r="BF470" s="201">
        <f ca="1"/>
        <v>3241.428811902761</v>
      </c>
      <c r="BG470" s="201">
        <f ca="1"/>
        <v>3267.3092562184279</v>
      </c>
      <c r="BH470" s="201">
        <f ca="1"/>
        <v>3291.2575770769281</v>
      </c>
      <c r="BI470" s="201">
        <f ca="1"/>
        <v>3313.2737744782617</v>
      </c>
      <c r="BJ470" s="201">
        <f ca="1"/>
        <v>3333.3578484224286</v>
      </c>
      <c r="BK470" s="201">
        <f ca="1"/>
        <v>3351.5097989094288</v>
      </c>
      <c r="BL470" s="201">
        <f ca="1"/>
        <v>3367.7296259392624</v>
      </c>
      <c r="BM470" s="201">
        <f ca="1"/>
        <v>3382.0173295119293</v>
      </c>
      <c r="BN470" s="201">
        <f ca="1"/>
        <v>3394.3729096274296</v>
      </c>
      <c r="BO470" s="201">
        <f ca="1"/>
        <v>3404.7963662857633</v>
      </c>
      <c r="BP470" s="201"/>
      <c r="BQ470" s="201"/>
    </row>
    <row r="471" spans="2:69" s="22" customFormat="1" outlineLevel="1">
      <c r="B471" s="182"/>
      <c r="C471" s="182" t="s">
        <v>1307</v>
      </c>
      <c r="D471" s="230"/>
      <c r="E471" s="230"/>
      <c r="F471" s="184" t="s">
        <v>119</v>
      </c>
      <c r="G471" s="66"/>
      <c r="H471" s="201" cm="1">
        <f t="array" ref="H471:BO471">H459:BO459+_xlfn.ANCHORARRAY(H465)</f>
        <v>103</v>
      </c>
      <c r="I471" s="201">
        <v>103</v>
      </c>
      <c r="J471" s="201">
        <v>103</v>
      </c>
      <c r="K471" s="201">
        <v>103</v>
      </c>
      <c r="L471" s="201">
        <v>103</v>
      </c>
      <c r="M471" s="201">
        <v>103</v>
      </c>
      <c r="N471" s="201">
        <v>103</v>
      </c>
      <c r="O471" s="201">
        <v>103</v>
      </c>
      <c r="P471" s="201">
        <v>103</v>
      </c>
      <c r="Q471" s="201">
        <v>103</v>
      </c>
      <c r="R471" s="201">
        <v>103</v>
      </c>
      <c r="S471" s="201">
        <v>103</v>
      </c>
      <c r="T471" s="201">
        <v>106.08999999999999</v>
      </c>
      <c r="U471" s="201">
        <v>106.08999999999999</v>
      </c>
      <c r="V471" s="201">
        <v>106.08999999999999</v>
      </c>
      <c r="W471" s="201">
        <v>106.08999999999999</v>
      </c>
      <c r="X471" s="201">
        <v>106.08999999999999</v>
      </c>
      <c r="Y471" s="201">
        <v>106.08999999999999</v>
      </c>
      <c r="Z471" s="201">
        <v>106.08999999999999</v>
      </c>
      <c r="AA471" s="201">
        <v>106.08999999999999</v>
      </c>
      <c r="AB471" s="201">
        <v>106.08999999999999</v>
      </c>
      <c r="AC471" s="201">
        <v>106.08999999999999</v>
      </c>
      <c r="AD471" s="201">
        <v>106.08999999999999</v>
      </c>
      <c r="AE471" s="201">
        <v>106.08999999999999</v>
      </c>
      <c r="AF471" s="201">
        <v>109.2727</v>
      </c>
      <c r="AG471" s="201">
        <v>109.2727</v>
      </c>
      <c r="AH471" s="201">
        <v>109.2727</v>
      </c>
      <c r="AI471" s="201">
        <v>109.2727</v>
      </c>
      <c r="AJ471" s="201">
        <v>109.2727</v>
      </c>
      <c r="AK471" s="201">
        <v>109.2727</v>
      </c>
      <c r="AL471" s="201">
        <v>109.2727</v>
      </c>
      <c r="AM471" s="201">
        <v>109.2727</v>
      </c>
      <c r="AN471" s="201">
        <v>109.2727</v>
      </c>
      <c r="AO471" s="201">
        <v>109.2727</v>
      </c>
      <c r="AP471" s="201">
        <v>109.2727</v>
      </c>
      <c r="AQ471" s="201">
        <v>109.2727</v>
      </c>
      <c r="AR471" s="201">
        <v>112.55088099999999</v>
      </c>
      <c r="AS471" s="201">
        <v>112.55088099999999</v>
      </c>
      <c r="AT471" s="201">
        <v>112.55088099999999</v>
      </c>
      <c r="AU471" s="201">
        <v>112.55088099999999</v>
      </c>
      <c r="AV471" s="201">
        <v>112.55088099999999</v>
      </c>
      <c r="AW471" s="201">
        <v>112.55088099999999</v>
      </c>
      <c r="AX471" s="201">
        <v>112.55088099999999</v>
      </c>
      <c r="AY471" s="201">
        <v>112.55088099999999</v>
      </c>
      <c r="AZ471" s="201">
        <v>112.55088099999999</v>
      </c>
      <c r="BA471" s="201">
        <v>112.55088099999999</v>
      </c>
      <c r="BB471" s="201">
        <v>112.55088099999999</v>
      </c>
      <c r="BC471" s="201">
        <v>112.55088099999999</v>
      </c>
      <c r="BD471" s="201">
        <v>115.92740742999999</v>
      </c>
      <c r="BE471" s="201">
        <v>115.92740742999999</v>
      </c>
      <c r="BF471" s="201">
        <v>115.92740742999999</v>
      </c>
      <c r="BG471" s="201">
        <v>115.92740742999999</v>
      </c>
      <c r="BH471" s="201">
        <v>115.92740742999999</v>
      </c>
      <c r="BI471" s="201">
        <v>115.92740742999999</v>
      </c>
      <c r="BJ471" s="201">
        <v>115.92740742999999</v>
      </c>
      <c r="BK471" s="201">
        <v>115.92740742999999</v>
      </c>
      <c r="BL471" s="201">
        <v>115.92740742999999</v>
      </c>
      <c r="BM471" s="201">
        <v>115.92740742999999</v>
      </c>
      <c r="BN471" s="201">
        <v>115.92740742999999</v>
      </c>
      <c r="BO471" s="201">
        <v>115.92740742999999</v>
      </c>
      <c r="BP471" s="201"/>
      <c r="BQ471" s="201"/>
    </row>
    <row r="472" spans="2:69" s="22" customFormat="1" outlineLevel="1">
      <c r="B472" s="182"/>
      <c r="C472" s="182" t="s">
        <v>1309</v>
      </c>
      <c r="D472" s="230"/>
      <c r="E472" s="230"/>
      <c r="F472" s="184" t="s">
        <v>119</v>
      </c>
      <c r="G472" s="66"/>
      <c r="H472" s="201" cm="1">
        <f t="array" aca="1" ref="H472:BO472" ca="1">H466:BO466+H460:BO460</f>
        <v>-2777.7777777777778</v>
      </c>
      <c r="I472" s="201">
        <f ca="1"/>
        <v>-2779.4944444444445</v>
      </c>
      <c r="J472" s="201">
        <f ca="1"/>
        <v>-2781.2111111111112</v>
      </c>
      <c r="K472" s="201">
        <f ca="1"/>
        <v>-2782.9277777777779</v>
      </c>
      <c r="L472" s="201">
        <f ca="1"/>
        <v>-2784.6444444444446</v>
      </c>
      <c r="M472" s="201">
        <f ca="1"/>
        <v>-2786.3611111111113</v>
      </c>
      <c r="N472" s="201">
        <f ca="1"/>
        <v>-2788.077777777778</v>
      </c>
      <c r="O472" s="201">
        <f ca="1"/>
        <v>-2789.7944444444447</v>
      </c>
      <c r="P472" s="201">
        <f ca="1"/>
        <v>-2791.5111111111109</v>
      </c>
      <c r="Q472" s="201">
        <f ca="1"/>
        <v>-2793.2277777777776</v>
      </c>
      <c r="R472" s="201">
        <f ca="1"/>
        <v>-2794.9444444444443</v>
      </c>
      <c r="S472" s="201">
        <f ca="1"/>
        <v>-2796.661111111111</v>
      </c>
      <c r="T472" s="201">
        <f ca="1"/>
        <v>-2798.3777777777777</v>
      </c>
      <c r="U472" s="201">
        <f ca="1"/>
        <v>-2800.1459444444445</v>
      </c>
      <c r="V472" s="201">
        <f ca="1"/>
        <v>-2801.9141111111112</v>
      </c>
      <c r="W472" s="201">
        <f ca="1"/>
        <v>-2803.6822777777779</v>
      </c>
      <c r="X472" s="201">
        <f ca="1"/>
        <v>-2805.4504444444447</v>
      </c>
      <c r="Y472" s="201">
        <f ca="1"/>
        <v>-2807.2186111111109</v>
      </c>
      <c r="Z472" s="201">
        <f ca="1"/>
        <v>-2808.9867777777777</v>
      </c>
      <c r="AA472" s="201">
        <f ca="1"/>
        <v>-2810.7549444444444</v>
      </c>
      <c r="AB472" s="201">
        <f ca="1"/>
        <v>-2812.5231111111111</v>
      </c>
      <c r="AC472" s="201">
        <f ca="1"/>
        <v>-2814.2912777777779</v>
      </c>
      <c r="AD472" s="201">
        <f ca="1"/>
        <v>-2816.0594444444446</v>
      </c>
      <c r="AE472" s="201">
        <f ca="1"/>
        <v>-2817.8276111111113</v>
      </c>
      <c r="AF472" s="201">
        <f ca="1"/>
        <v>-2819.5957777777776</v>
      </c>
      <c r="AG472" s="201">
        <f ca="1"/>
        <v>-2821.4169894444444</v>
      </c>
      <c r="AH472" s="201">
        <f ca="1"/>
        <v>-2823.2382011111113</v>
      </c>
      <c r="AI472" s="201">
        <f ca="1"/>
        <v>-2825.0594127777777</v>
      </c>
      <c r="AJ472" s="201">
        <f ca="1"/>
        <v>-2826.8806244444445</v>
      </c>
      <c r="AK472" s="201">
        <f ca="1"/>
        <v>-2828.7018361111113</v>
      </c>
      <c r="AL472" s="201">
        <f ca="1"/>
        <v>-2830.5230477777777</v>
      </c>
      <c r="AM472" s="201">
        <f ca="1"/>
        <v>-2832.3442594444446</v>
      </c>
      <c r="AN472" s="201">
        <f ca="1"/>
        <v>-2834.1654711111114</v>
      </c>
      <c r="AO472" s="201">
        <f ca="1"/>
        <v>-2835.9866827777778</v>
      </c>
      <c r="AP472" s="201">
        <f ca="1"/>
        <v>-2837.8078944444446</v>
      </c>
      <c r="AQ472" s="201">
        <f ca="1"/>
        <v>-2839.629106111111</v>
      </c>
      <c r="AR472" s="201">
        <f ca="1"/>
        <v>-63.672540000000026</v>
      </c>
      <c r="AS472" s="201">
        <f ca="1"/>
        <v>-65.548388016666692</v>
      </c>
      <c r="AT472" s="201">
        <f ca="1"/>
        <v>-67.424236033333358</v>
      </c>
      <c r="AU472" s="201">
        <f ca="1"/>
        <v>-69.300084050000024</v>
      </c>
      <c r="AV472" s="201">
        <f ca="1"/>
        <v>-71.175932066666689</v>
      </c>
      <c r="AW472" s="201">
        <f ca="1"/>
        <v>-73.051780083333355</v>
      </c>
      <c r="AX472" s="201">
        <f ca="1"/>
        <v>-74.927628100000021</v>
      </c>
      <c r="AY472" s="201">
        <f ca="1"/>
        <v>-76.803476116666687</v>
      </c>
      <c r="AZ472" s="201">
        <f ca="1"/>
        <v>-78.679324133333353</v>
      </c>
      <c r="BA472" s="201">
        <f ca="1"/>
        <v>-80.555172150000018</v>
      </c>
      <c r="BB472" s="201">
        <f ca="1"/>
        <v>-82.431020166666684</v>
      </c>
      <c r="BC472" s="201">
        <f ca="1"/>
        <v>-84.30686818333335</v>
      </c>
      <c r="BD472" s="201">
        <f ca="1"/>
        <v>-86.182716200000016</v>
      </c>
      <c r="BE472" s="201">
        <f ca="1"/>
        <v>-88.114839657166684</v>
      </c>
      <c r="BF472" s="201">
        <f ca="1"/>
        <v>-90.046963114333352</v>
      </c>
      <c r="BG472" s="201">
        <f ca="1"/>
        <v>-91.979086571500019</v>
      </c>
      <c r="BH472" s="201">
        <f ca="1"/>
        <v>-93.911210028666687</v>
      </c>
      <c r="BI472" s="201">
        <f ca="1"/>
        <v>-95.843333485833355</v>
      </c>
      <c r="BJ472" s="201">
        <f ca="1"/>
        <v>-97.775456943000023</v>
      </c>
      <c r="BK472" s="201">
        <f ca="1"/>
        <v>-99.707580400166691</v>
      </c>
      <c r="BL472" s="201">
        <f ca="1"/>
        <v>-101.63970385733336</v>
      </c>
      <c r="BM472" s="201">
        <f ca="1"/>
        <v>-103.57182731450003</v>
      </c>
      <c r="BN472" s="201">
        <f ca="1"/>
        <v>-105.50395077166669</v>
      </c>
      <c r="BO472" s="201">
        <f ca="1"/>
        <v>-107.43607422883336</v>
      </c>
      <c r="BP472" s="201"/>
      <c r="BQ472" s="201"/>
    </row>
    <row r="473" spans="2:69" s="31" customFormat="1" ht="12" customHeight="1" outlineLevel="1">
      <c r="B473" s="208"/>
      <c r="C473" s="227" t="s">
        <v>1311</v>
      </c>
      <c r="D473" s="227"/>
      <c r="E473" s="228"/>
      <c r="F473" s="191" t="s">
        <v>119</v>
      </c>
      <c r="G473" s="168"/>
      <c r="H473" s="229">
        <f ca="1">+SUM(H470:H472)</f>
        <v>97325.222222222219</v>
      </c>
      <c r="I473" s="229">
        <f t="shared" ref="I473" ca="1" si="494">+SUM(I470:I472)</f>
        <v>94648.727777777778</v>
      </c>
      <c r="J473" s="229">
        <f t="shared" ref="J473" ca="1" si="495">+SUM(J470:J472)</f>
        <v>91970.516666666663</v>
      </c>
      <c r="K473" s="229">
        <f t="shared" ref="K473" ca="1" si="496">+SUM(K470:K472)</f>
        <v>89290.588888888888</v>
      </c>
      <c r="L473" s="229">
        <f t="shared" ref="L473" ca="1" si="497">+SUM(L470:L472)</f>
        <v>86608.944444444423</v>
      </c>
      <c r="M473" s="229">
        <f t="shared" ref="M473" ca="1" si="498">+SUM(M470:M472)</f>
        <v>83925.583333333314</v>
      </c>
      <c r="N473" s="229">
        <f t="shared" ref="N473" ca="1" si="499">+SUM(N470:N472)</f>
        <v>81240.50555555553</v>
      </c>
      <c r="O473" s="229">
        <f t="shared" ref="O473" ca="1" si="500">+SUM(O470:O472)</f>
        <v>78553.711111111086</v>
      </c>
      <c r="P473" s="229">
        <f t="shared" ref="P473" ca="1" si="501">+SUM(P470:P472)</f>
        <v>75865.199999999983</v>
      </c>
      <c r="Q473" s="229">
        <f t="shared" ref="Q473" ca="1" si="502">+SUM(Q470:Q472)</f>
        <v>73174.97222222219</v>
      </c>
      <c r="R473" s="229">
        <f t="shared" ref="R473" ca="1" si="503">+SUM(R470:R472)</f>
        <v>70483.027777777752</v>
      </c>
      <c r="S473" s="229">
        <f t="shared" ref="S473" ca="1" si="504">+SUM(S470:S472)</f>
        <v>67789.366666666625</v>
      </c>
      <c r="T473" s="229">
        <f t="shared" ref="T473" ca="1" si="505">+SUM(T470:T472)</f>
        <v>65097.078888888842</v>
      </c>
      <c r="U473" s="229">
        <f t="shared" ref="U473" ca="1" si="506">+SUM(U470:U472)</f>
        <v>62403.022944444398</v>
      </c>
      <c r="V473" s="229">
        <f t="shared" ref="V473" ca="1" si="507">+SUM(V470:V472)</f>
        <v>59707.198833333285</v>
      </c>
      <c r="W473" s="229">
        <f t="shared" ref="W473" ca="1" si="508">+SUM(W470:W472)</f>
        <v>57009.606555555503</v>
      </c>
      <c r="X473" s="229">
        <f t="shared" ref="X473" ca="1" si="509">+SUM(X470:X472)</f>
        <v>54310.246111111053</v>
      </c>
      <c r="Y473" s="229">
        <f t="shared" ref="Y473" ca="1" si="510">+SUM(Y470:Y472)</f>
        <v>51609.117499999942</v>
      </c>
      <c r="Z473" s="229">
        <f t="shared" ref="Z473" ca="1" si="511">+SUM(Z470:Z472)</f>
        <v>48906.220722222162</v>
      </c>
      <c r="AA473" s="229">
        <f t="shared" ref="AA473" ca="1" si="512">+SUM(AA470:AA472)</f>
        <v>46201.555777777714</v>
      </c>
      <c r="AB473" s="229">
        <f t="shared" ref="AB473" ca="1" si="513">+SUM(AB470:AB472)</f>
        <v>43495.122666666597</v>
      </c>
      <c r="AC473" s="229">
        <f t="shared" ref="AC473" ca="1" si="514">+SUM(AC470:AC472)</f>
        <v>40786.921388888819</v>
      </c>
      <c r="AD473" s="229">
        <f t="shared" ref="AD473" ca="1" si="515">+SUM(AD470:AD472)</f>
        <v>38076.951944444372</v>
      </c>
      <c r="AE473" s="229">
        <f t="shared" ref="AE473" ca="1" si="516">+SUM(AE470:AE472)</f>
        <v>35365.214333333257</v>
      </c>
      <c r="AF473" s="229">
        <f t="shared" ref="AF473" ca="1" si="517">+SUM(AF470:AF472)</f>
        <v>32654.891255555482</v>
      </c>
      <c r="AG473" s="229">
        <f t="shared" ref="AG473" ca="1" si="518">+SUM(AG470:AG472)</f>
        <v>29942.746966111034</v>
      </c>
      <c r="AH473" s="229">
        <f t="shared" ref="AH473" ca="1" si="519">+SUM(AH470:AH472)</f>
        <v>27228.781464999924</v>
      </c>
      <c r="AI473" s="229">
        <f t="shared" ref="AI473" ca="1" si="520">+SUM(AI470:AI472)</f>
        <v>24512.994752222148</v>
      </c>
      <c r="AJ473" s="229">
        <f t="shared" ref="AJ473" ca="1" si="521">+SUM(AJ470:AJ472)</f>
        <v>21795.3868277777</v>
      </c>
      <c r="AK473" s="229">
        <f t="shared" ref="AK473" ca="1" si="522">+SUM(AK470:AK472)</f>
        <v>19075.95769166659</v>
      </c>
      <c r="AL473" s="229">
        <f t="shared" ref="AL473" ca="1" si="523">+SUM(AL470:AL472)</f>
        <v>16354.707343888815</v>
      </c>
      <c r="AM473" s="229">
        <f t="shared" ref="AM473" ca="1" si="524">+SUM(AM470:AM472)</f>
        <v>13631.635784444372</v>
      </c>
      <c r="AN473" s="229">
        <f t="shared" ref="AN473" ca="1" si="525">+SUM(AN470:AN472)</f>
        <v>10906.743013333258</v>
      </c>
      <c r="AO473" s="229">
        <f t="shared" ref="AO473" ca="1" si="526">+SUM(AO470:AO472)</f>
        <v>8180.0290305554818</v>
      </c>
      <c r="AP473" s="229">
        <f t="shared" ref="AP473" ca="1" si="527">+SUM(AP470:AP472)</f>
        <v>5451.493836111038</v>
      </c>
      <c r="AQ473" s="229">
        <f t="shared" ref="AQ473" ca="1" si="528">+SUM(AQ470:AQ472)</f>
        <v>2721.1374299999266</v>
      </c>
      <c r="AR473" s="229">
        <f t="shared" ref="AR473:BN473" ca="1" si="529">+SUM(AR470:AR472)</f>
        <v>2770.0157709999262</v>
      </c>
      <c r="AS473" s="229">
        <f t="shared" ca="1" si="529"/>
        <v>2817.0182639832597</v>
      </c>
      <c r="AT473" s="229">
        <f t="shared" ca="1" si="529"/>
        <v>2862.1449089499265</v>
      </c>
      <c r="AU473" s="229">
        <f t="shared" ca="1" si="529"/>
        <v>2905.3957058999267</v>
      </c>
      <c r="AV473" s="229">
        <f t="shared" ca="1" si="529"/>
        <v>2946.7706548332603</v>
      </c>
      <c r="AW473" s="229">
        <f t="shared" ca="1" si="529"/>
        <v>2986.2697557499273</v>
      </c>
      <c r="AX473" s="229">
        <f t="shared" ca="1" si="529"/>
        <v>3023.8930086499272</v>
      </c>
      <c r="AY473" s="229">
        <f t="shared" ca="1" si="529"/>
        <v>3059.6404135332605</v>
      </c>
      <c r="AZ473" s="229">
        <f t="shared" ca="1" si="529"/>
        <v>3093.5119703999271</v>
      </c>
      <c r="BA473" s="229">
        <f t="shared" ca="1" si="529"/>
        <v>3125.5076792499272</v>
      </c>
      <c r="BB473" s="229">
        <f t="shared" ca="1" si="529"/>
        <v>3155.6275400832606</v>
      </c>
      <c r="BC473" s="229">
        <f t="shared" ca="1" si="529"/>
        <v>3183.8715528999273</v>
      </c>
      <c r="BD473" s="229">
        <f t="shared" ca="1" si="529"/>
        <v>3213.6162441299275</v>
      </c>
      <c r="BE473" s="229">
        <f t="shared" ca="1" si="529"/>
        <v>3241.428811902761</v>
      </c>
      <c r="BF473" s="229">
        <f t="shared" ca="1" si="529"/>
        <v>3267.3092562184279</v>
      </c>
      <c r="BG473" s="229">
        <f t="shared" ca="1" si="529"/>
        <v>3291.2575770769281</v>
      </c>
      <c r="BH473" s="229">
        <f t="shared" ca="1" si="529"/>
        <v>3313.2737744782617</v>
      </c>
      <c r="BI473" s="229">
        <f t="shared" ca="1" si="529"/>
        <v>3333.3578484224286</v>
      </c>
      <c r="BJ473" s="229">
        <f t="shared" ca="1" si="529"/>
        <v>3351.5097989094288</v>
      </c>
      <c r="BK473" s="229">
        <f t="shared" ca="1" si="529"/>
        <v>3367.7296259392624</v>
      </c>
      <c r="BL473" s="229">
        <f t="shared" ca="1" si="529"/>
        <v>3382.0173295119293</v>
      </c>
      <c r="BM473" s="229">
        <f t="shared" ca="1" si="529"/>
        <v>3394.3729096274296</v>
      </c>
      <c r="BN473" s="229">
        <f t="shared" ca="1" si="529"/>
        <v>3404.7963662857633</v>
      </c>
      <c r="BO473" s="229">
        <f ca="1">+SUM(BO470:BO472)</f>
        <v>3413.2876994869303</v>
      </c>
      <c r="BP473" s="361"/>
      <c r="BQ473" s="361"/>
    </row>
    <row r="474" spans="2:69" s="22" customFormat="1" outlineLevel="1">
      <c r="E474" s="28"/>
      <c r="F474" s="29"/>
      <c r="G474" s="66"/>
    </row>
    <row r="475" spans="2:69" s="22" customFormat="1" outlineLevel="1">
      <c r="B475" s="181" t="s">
        <v>1315</v>
      </c>
      <c r="C475" s="182"/>
      <c r="D475" s="182"/>
      <c r="E475" s="200"/>
      <c r="F475" s="184"/>
      <c r="G475" s="66"/>
      <c r="H475" s="182"/>
      <c r="I475" s="182"/>
      <c r="J475" s="182"/>
      <c r="K475" s="182"/>
      <c r="L475" s="182"/>
      <c r="M475" s="182"/>
      <c r="N475" s="182"/>
      <c r="O475" s="182"/>
      <c r="P475" s="182"/>
      <c r="Q475" s="182"/>
      <c r="R475" s="182"/>
      <c r="S475" s="182"/>
      <c r="T475" s="182"/>
      <c r="U475" s="182"/>
      <c r="V475" s="182"/>
      <c r="W475" s="182"/>
      <c r="X475" s="182"/>
      <c r="Y475" s="182"/>
      <c r="Z475" s="182"/>
      <c r="AA475" s="182"/>
      <c r="AB475" s="182"/>
      <c r="AC475" s="182"/>
      <c r="AD475" s="182"/>
      <c r="AE475" s="182"/>
      <c r="AF475" s="182"/>
      <c r="AG475" s="182"/>
      <c r="AH475" s="182"/>
      <c r="AI475" s="182"/>
      <c r="AJ475" s="182"/>
      <c r="AK475" s="182"/>
      <c r="AL475" s="182"/>
      <c r="AM475" s="182"/>
      <c r="AN475" s="182"/>
      <c r="AO475" s="182"/>
      <c r="AP475" s="182"/>
      <c r="AQ475" s="182"/>
      <c r="AR475" s="182"/>
      <c r="AS475" s="182"/>
      <c r="AT475" s="182"/>
      <c r="AU475" s="182"/>
      <c r="AV475" s="182"/>
      <c r="AW475" s="182"/>
      <c r="AX475" s="182"/>
      <c r="AY475" s="182"/>
      <c r="AZ475" s="182"/>
      <c r="BA475" s="182"/>
      <c r="BB475" s="182"/>
      <c r="BC475" s="182"/>
      <c r="BD475" s="182"/>
      <c r="BE475" s="182"/>
      <c r="BF475" s="182"/>
      <c r="BG475" s="182"/>
      <c r="BH475" s="182"/>
      <c r="BI475" s="182"/>
      <c r="BJ475" s="182"/>
      <c r="BK475" s="182"/>
      <c r="BL475" s="182"/>
      <c r="BM475" s="182"/>
      <c r="BN475" s="182"/>
      <c r="BO475" s="182"/>
      <c r="BP475" s="182"/>
      <c r="BQ475" s="182"/>
    </row>
    <row r="476" spans="2:69" s="22" customFormat="1" outlineLevel="1">
      <c r="B476" s="182"/>
      <c r="C476" s="182" t="s">
        <v>1305</v>
      </c>
      <c r="D476" s="226">
        <f>Assumptions!D51</f>
        <v>5000</v>
      </c>
      <c r="E476" s="226" t="s">
        <v>1306</v>
      </c>
      <c r="F476" s="184" t="s">
        <v>119</v>
      </c>
      <c r="G476" s="66"/>
      <c r="H476" s="201">
        <f>D476</f>
        <v>5000</v>
      </c>
      <c r="I476" s="189">
        <f>H479</f>
        <v>4972.2222222222226</v>
      </c>
      <c r="J476" s="189">
        <f t="shared" ref="J476:BO476" si="530">I479</f>
        <v>4944.4444444444453</v>
      </c>
      <c r="K476" s="189">
        <f t="shared" si="530"/>
        <v>4916.6666666666679</v>
      </c>
      <c r="L476" s="189">
        <f t="shared" si="530"/>
        <v>4888.8888888888905</v>
      </c>
      <c r="M476" s="189">
        <f t="shared" si="530"/>
        <v>4861.1111111111131</v>
      </c>
      <c r="N476" s="189">
        <f t="shared" si="530"/>
        <v>4833.3333333333358</v>
      </c>
      <c r="O476" s="189">
        <f t="shared" si="530"/>
        <v>4805.5555555555584</v>
      </c>
      <c r="P476" s="189">
        <f t="shared" si="530"/>
        <v>4777.777777777781</v>
      </c>
      <c r="Q476" s="189">
        <f t="shared" si="530"/>
        <v>4750.0000000000036</v>
      </c>
      <c r="R476" s="189">
        <f t="shared" si="530"/>
        <v>4722.2222222222263</v>
      </c>
      <c r="S476" s="189">
        <f t="shared" si="530"/>
        <v>4694.4444444444489</v>
      </c>
      <c r="T476" s="189">
        <f t="shared" si="530"/>
        <v>4666.6666666666715</v>
      </c>
      <c r="U476" s="189">
        <f t="shared" si="530"/>
        <v>4638.8888888888941</v>
      </c>
      <c r="V476" s="189">
        <f t="shared" si="530"/>
        <v>4611.1111111111168</v>
      </c>
      <c r="W476" s="189">
        <f t="shared" si="530"/>
        <v>4583.3333333333394</v>
      </c>
      <c r="X476" s="189">
        <f t="shared" si="530"/>
        <v>4555.555555555562</v>
      </c>
      <c r="Y476" s="189">
        <f t="shared" si="530"/>
        <v>4527.7777777777846</v>
      </c>
      <c r="Z476" s="189">
        <f t="shared" si="530"/>
        <v>4500.0000000000073</v>
      </c>
      <c r="AA476" s="189">
        <f t="shared" si="530"/>
        <v>4472.2222222222299</v>
      </c>
      <c r="AB476" s="189">
        <f t="shared" si="530"/>
        <v>4444.4444444444525</v>
      </c>
      <c r="AC476" s="189">
        <f t="shared" si="530"/>
        <v>4416.6666666666752</v>
      </c>
      <c r="AD476" s="189">
        <f t="shared" si="530"/>
        <v>4388.8888888888978</v>
      </c>
      <c r="AE476" s="189">
        <f t="shared" si="530"/>
        <v>4361.1111111111204</v>
      </c>
      <c r="AF476" s="189">
        <f t="shared" si="530"/>
        <v>4333.333333333343</v>
      </c>
      <c r="AG476" s="189">
        <f t="shared" si="530"/>
        <v>4305.5555555555657</v>
      </c>
      <c r="AH476" s="189">
        <f t="shared" si="530"/>
        <v>4277.7777777777883</v>
      </c>
      <c r="AI476" s="189">
        <f t="shared" si="530"/>
        <v>4250.0000000000109</v>
      </c>
      <c r="AJ476" s="189">
        <f t="shared" si="530"/>
        <v>4222.2222222222335</v>
      </c>
      <c r="AK476" s="189">
        <f t="shared" si="530"/>
        <v>4194.4444444444562</v>
      </c>
      <c r="AL476" s="189">
        <f t="shared" si="530"/>
        <v>4166.6666666666788</v>
      </c>
      <c r="AM476" s="189">
        <f t="shared" si="530"/>
        <v>4138.8888888889014</v>
      </c>
      <c r="AN476" s="189">
        <f t="shared" si="530"/>
        <v>4111.111111111124</v>
      </c>
      <c r="AO476" s="189">
        <f t="shared" si="530"/>
        <v>4083.3333333333462</v>
      </c>
      <c r="AP476" s="189">
        <f t="shared" si="530"/>
        <v>4055.5555555555684</v>
      </c>
      <c r="AQ476" s="189">
        <f t="shared" si="530"/>
        <v>4027.7777777777906</v>
      </c>
      <c r="AR476" s="189">
        <f t="shared" si="530"/>
        <v>4000.0000000000127</v>
      </c>
      <c r="AS476" s="189">
        <f t="shared" si="530"/>
        <v>3972.2222222222349</v>
      </c>
      <c r="AT476" s="189">
        <f t="shared" si="530"/>
        <v>3944.4444444444571</v>
      </c>
      <c r="AU476" s="189">
        <f t="shared" si="530"/>
        <v>3916.6666666666792</v>
      </c>
      <c r="AV476" s="189">
        <f t="shared" si="530"/>
        <v>3888.8888888889014</v>
      </c>
      <c r="AW476" s="189">
        <f t="shared" si="530"/>
        <v>3861.1111111111236</v>
      </c>
      <c r="AX476" s="189">
        <f t="shared" si="530"/>
        <v>3833.3333333333458</v>
      </c>
      <c r="AY476" s="189">
        <f t="shared" si="530"/>
        <v>3805.5555555555679</v>
      </c>
      <c r="AZ476" s="189">
        <f t="shared" si="530"/>
        <v>3777.7777777777901</v>
      </c>
      <c r="BA476" s="189">
        <f t="shared" si="530"/>
        <v>3750.0000000000123</v>
      </c>
      <c r="BB476" s="189">
        <f t="shared" si="530"/>
        <v>3722.2222222222344</v>
      </c>
      <c r="BC476" s="189">
        <f t="shared" si="530"/>
        <v>3694.4444444444566</v>
      </c>
      <c r="BD476" s="189">
        <f t="shared" si="530"/>
        <v>3666.6666666666788</v>
      </c>
      <c r="BE476" s="189">
        <f t="shared" si="530"/>
        <v>3638.888888888901</v>
      </c>
      <c r="BF476" s="189">
        <f t="shared" si="530"/>
        <v>3611.1111111111231</v>
      </c>
      <c r="BG476" s="189">
        <f t="shared" si="530"/>
        <v>3583.3333333333453</v>
      </c>
      <c r="BH476" s="189">
        <f t="shared" si="530"/>
        <v>3555.5555555555675</v>
      </c>
      <c r="BI476" s="189">
        <f t="shared" si="530"/>
        <v>3527.7777777777897</v>
      </c>
      <c r="BJ476" s="189">
        <f t="shared" si="530"/>
        <v>3500.0000000000118</v>
      </c>
      <c r="BK476" s="189">
        <f t="shared" si="530"/>
        <v>3472.222222222234</v>
      </c>
      <c r="BL476" s="189">
        <f t="shared" si="530"/>
        <v>3444.4444444444562</v>
      </c>
      <c r="BM476" s="189">
        <f t="shared" si="530"/>
        <v>3416.6666666666783</v>
      </c>
      <c r="BN476" s="189">
        <f t="shared" si="530"/>
        <v>3388.8888888889005</v>
      </c>
      <c r="BO476" s="189">
        <f t="shared" si="530"/>
        <v>3361.1111111111227</v>
      </c>
      <c r="BP476" s="189"/>
      <c r="BQ476" s="189"/>
    </row>
    <row r="477" spans="2:69" s="22" customFormat="1" outlineLevel="1">
      <c r="B477" s="182"/>
      <c r="C477" s="182" t="s">
        <v>1307</v>
      </c>
      <c r="D477" s="226" t="s">
        <v>1308</v>
      </c>
      <c r="E477" s="226"/>
      <c r="F477" s="184" t="s">
        <v>119</v>
      </c>
      <c r="G477" s="66"/>
      <c r="H477" s="201">
        <f>IF($D$477="None",0,$D$477)</f>
        <v>0</v>
      </c>
      <c r="I477" s="201">
        <f t="shared" ref="I477:BO477" si="531">IF($D$477="None",0,$D$477)</f>
        <v>0</v>
      </c>
      <c r="J477" s="201">
        <f t="shared" si="531"/>
        <v>0</v>
      </c>
      <c r="K477" s="201">
        <f t="shared" si="531"/>
        <v>0</v>
      </c>
      <c r="L477" s="201">
        <f t="shared" si="531"/>
        <v>0</v>
      </c>
      <c r="M477" s="201">
        <f t="shared" si="531"/>
        <v>0</v>
      </c>
      <c r="N477" s="201">
        <f t="shared" si="531"/>
        <v>0</v>
      </c>
      <c r="O477" s="201">
        <f t="shared" si="531"/>
        <v>0</v>
      </c>
      <c r="P477" s="201">
        <f t="shared" si="531"/>
        <v>0</v>
      </c>
      <c r="Q477" s="201">
        <f t="shared" si="531"/>
        <v>0</v>
      </c>
      <c r="R477" s="201">
        <f t="shared" si="531"/>
        <v>0</v>
      </c>
      <c r="S477" s="201">
        <f t="shared" si="531"/>
        <v>0</v>
      </c>
      <c r="T477" s="201">
        <f t="shared" si="531"/>
        <v>0</v>
      </c>
      <c r="U477" s="201">
        <f t="shared" si="531"/>
        <v>0</v>
      </c>
      <c r="V477" s="201">
        <f t="shared" si="531"/>
        <v>0</v>
      </c>
      <c r="W477" s="201">
        <f t="shared" si="531"/>
        <v>0</v>
      </c>
      <c r="X477" s="201">
        <f t="shared" si="531"/>
        <v>0</v>
      </c>
      <c r="Y477" s="201">
        <f t="shared" si="531"/>
        <v>0</v>
      </c>
      <c r="Z477" s="201">
        <f t="shared" si="531"/>
        <v>0</v>
      </c>
      <c r="AA477" s="201">
        <f t="shared" si="531"/>
        <v>0</v>
      </c>
      <c r="AB477" s="201">
        <f t="shared" si="531"/>
        <v>0</v>
      </c>
      <c r="AC477" s="201">
        <f t="shared" si="531"/>
        <v>0</v>
      </c>
      <c r="AD477" s="201">
        <f t="shared" si="531"/>
        <v>0</v>
      </c>
      <c r="AE477" s="201">
        <f t="shared" si="531"/>
        <v>0</v>
      </c>
      <c r="AF477" s="201">
        <f t="shared" si="531"/>
        <v>0</v>
      </c>
      <c r="AG477" s="201">
        <f t="shared" si="531"/>
        <v>0</v>
      </c>
      <c r="AH477" s="201">
        <f t="shared" si="531"/>
        <v>0</v>
      </c>
      <c r="AI477" s="201">
        <f t="shared" si="531"/>
        <v>0</v>
      </c>
      <c r="AJ477" s="201">
        <f t="shared" si="531"/>
        <v>0</v>
      </c>
      <c r="AK477" s="201">
        <f t="shared" si="531"/>
        <v>0</v>
      </c>
      <c r="AL477" s="201">
        <f t="shared" si="531"/>
        <v>0</v>
      </c>
      <c r="AM477" s="201">
        <f t="shared" si="531"/>
        <v>0</v>
      </c>
      <c r="AN477" s="201">
        <f t="shared" si="531"/>
        <v>0</v>
      </c>
      <c r="AO477" s="201">
        <f t="shared" si="531"/>
        <v>0</v>
      </c>
      <c r="AP477" s="201">
        <f t="shared" si="531"/>
        <v>0</v>
      </c>
      <c r="AQ477" s="201">
        <f t="shared" si="531"/>
        <v>0</v>
      </c>
      <c r="AR477" s="201">
        <f t="shared" si="531"/>
        <v>0</v>
      </c>
      <c r="AS477" s="201">
        <f t="shared" si="531"/>
        <v>0</v>
      </c>
      <c r="AT477" s="201">
        <f t="shared" si="531"/>
        <v>0</v>
      </c>
      <c r="AU477" s="201">
        <f t="shared" si="531"/>
        <v>0</v>
      </c>
      <c r="AV477" s="201">
        <f t="shared" si="531"/>
        <v>0</v>
      </c>
      <c r="AW477" s="201">
        <f t="shared" si="531"/>
        <v>0</v>
      </c>
      <c r="AX477" s="201">
        <f t="shared" si="531"/>
        <v>0</v>
      </c>
      <c r="AY477" s="201">
        <f t="shared" si="531"/>
        <v>0</v>
      </c>
      <c r="AZ477" s="201">
        <f t="shared" si="531"/>
        <v>0</v>
      </c>
      <c r="BA477" s="201">
        <f t="shared" si="531"/>
        <v>0</v>
      </c>
      <c r="BB477" s="201">
        <f t="shared" si="531"/>
        <v>0</v>
      </c>
      <c r="BC477" s="201">
        <f t="shared" si="531"/>
        <v>0</v>
      </c>
      <c r="BD477" s="201">
        <f t="shared" si="531"/>
        <v>0</v>
      </c>
      <c r="BE477" s="201">
        <f t="shared" si="531"/>
        <v>0</v>
      </c>
      <c r="BF477" s="201">
        <f t="shared" si="531"/>
        <v>0</v>
      </c>
      <c r="BG477" s="201">
        <f t="shared" si="531"/>
        <v>0</v>
      </c>
      <c r="BH477" s="201">
        <f t="shared" si="531"/>
        <v>0</v>
      </c>
      <c r="BI477" s="201">
        <f t="shared" si="531"/>
        <v>0</v>
      </c>
      <c r="BJ477" s="201">
        <f t="shared" si="531"/>
        <v>0</v>
      </c>
      <c r="BK477" s="201">
        <f t="shared" si="531"/>
        <v>0</v>
      </c>
      <c r="BL477" s="201">
        <f t="shared" si="531"/>
        <v>0</v>
      </c>
      <c r="BM477" s="201">
        <f t="shared" si="531"/>
        <v>0</v>
      </c>
      <c r="BN477" s="201">
        <f t="shared" si="531"/>
        <v>0</v>
      </c>
      <c r="BO477" s="201">
        <f t="shared" si="531"/>
        <v>0</v>
      </c>
      <c r="BP477" s="201"/>
      <c r="BQ477" s="201"/>
    </row>
    <row r="478" spans="2:69" s="22" customFormat="1" outlineLevel="1">
      <c r="B478" s="182"/>
      <c r="C478" s="182" t="s">
        <v>1316</v>
      </c>
      <c r="D478" s="226">
        <f>Assumptions!H50</f>
        <v>15</v>
      </c>
      <c r="E478" s="226" t="s">
        <v>1310</v>
      </c>
      <c r="F478" s="184" t="s">
        <v>119</v>
      </c>
      <c r="G478" s="66"/>
      <c r="H478" s="201">
        <f t="shared" ref="H478:AM478" si="532">IF(H11-$G$11&gt;$D$478,0,-$H$476/($D$478*12))</f>
        <v>-27.777777777777779</v>
      </c>
      <c r="I478" s="201">
        <f t="shared" si="532"/>
        <v>-27.777777777777779</v>
      </c>
      <c r="J478" s="201">
        <f t="shared" si="532"/>
        <v>-27.777777777777779</v>
      </c>
      <c r="K478" s="201">
        <f t="shared" si="532"/>
        <v>-27.777777777777779</v>
      </c>
      <c r="L478" s="201">
        <f t="shared" si="532"/>
        <v>-27.777777777777779</v>
      </c>
      <c r="M478" s="201">
        <f t="shared" si="532"/>
        <v>-27.777777777777779</v>
      </c>
      <c r="N478" s="201">
        <f t="shared" si="532"/>
        <v>-27.777777777777779</v>
      </c>
      <c r="O478" s="201">
        <f t="shared" si="532"/>
        <v>-27.777777777777779</v>
      </c>
      <c r="P478" s="201">
        <f t="shared" si="532"/>
        <v>-27.777777777777779</v>
      </c>
      <c r="Q478" s="201">
        <f t="shared" si="532"/>
        <v>-27.777777777777779</v>
      </c>
      <c r="R478" s="201">
        <f t="shared" si="532"/>
        <v>-27.777777777777779</v>
      </c>
      <c r="S478" s="201">
        <f t="shared" si="532"/>
        <v>-27.777777777777779</v>
      </c>
      <c r="T478" s="201">
        <f t="shared" si="532"/>
        <v>-27.777777777777779</v>
      </c>
      <c r="U478" s="201">
        <f t="shared" si="532"/>
        <v>-27.777777777777779</v>
      </c>
      <c r="V478" s="201">
        <f t="shared" si="532"/>
        <v>-27.777777777777779</v>
      </c>
      <c r="W478" s="201">
        <f t="shared" si="532"/>
        <v>-27.777777777777779</v>
      </c>
      <c r="X478" s="201">
        <f t="shared" si="532"/>
        <v>-27.777777777777779</v>
      </c>
      <c r="Y478" s="201">
        <f t="shared" si="532"/>
        <v>-27.777777777777779</v>
      </c>
      <c r="Z478" s="201">
        <f t="shared" si="532"/>
        <v>-27.777777777777779</v>
      </c>
      <c r="AA478" s="201">
        <f t="shared" si="532"/>
        <v>-27.777777777777779</v>
      </c>
      <c r="AB478" s="201">
        <f t="shared" si="532"/>
        <v>-27.777777777777779</v>
      </c>
      <c r="AC478" s="201">
        <f t="shared" si="532"/>
        <v>-27.777777777777779</v>
      </c>
      <c r="AD478" s="201">
        <f t="shared" si="532"/>
        <v>-27.777777777777779</v>
      </c>
      <c r="AE478" s="201">
        <f t="shared" si="532"/>
        <v>-27.777777777777779</v>
      </c>
      <c r="AF478" s="201">
        <f t="shared" si="532"/>
        <v>-27.777777777777779</v>
      </c>
      <c r="AG478" s="201">
        <f t="shared" si="532"/>
        <v>-27.777777777777779</v>
      </c>
      <c r="AH478" s="201">
        <f t="shared" si="532"/>
        <v>-27.777777777777779</v>
      </c>
      <c r="AI478" s="201">
        <f t="shared" si="532"/>
        <v>-27.777777777777779</v>
      </c>
      <c r="AJ478" s="201">
        <f t="shared" si="532"/>
        <v>-27.777777777777779</v>
      </c>
      <c r="AK478" s="201">
        <f t="shared" si="532"/>
        <v>-27.777777777777779</v>
      </c>
      <c r="AL478" s="201">
        <f t="shared" si="532"/>
        <v>-27.777777777777779</v>
      </c>
      <c r="AM478" s="201">
        <f t="shared" si="532"/>
        <v>-27.777777777777779</v>
      </c>
      <c r="AN478" s="201">
        <f t="shared" ref="AN478:BO478" si="533">IF(AN11-$G$11&gt;$D$478,0,-$H$476/($D$478*12))</f>
        <v>-27.777777777777779</v>
      </c>
      <c r="AO478" s="201">
        <f t="shared" si="533"/>
        <v>-27.777777777777779</v>
      </c>
      <c r="AP478" s="201">
        <f t="shared" si="533"/>
        <v>-27.777777777777779</v>
      </c>
      <c r="AQ478" s="201">
        <f t="shared" si="533"/>
        <v>-27.777777777777779</v>
      </c>
      <c r="AR478" s="201">
        <f t="shared" si="533"/>
        <v>-27.777777777777779</v>
      </c>
      <c r="AS478" s="201">
        <f t="shared" si="533"/>
        <v>-27.777777777777779</v>
      </c>
      <c r="AT478" s="201">
        <f t="shared" si="533"/>
        <v>-27.777777777777779</v>
      </c>
      <c r="AU478" s="201">
        <f t="shared" si="533"/>
        <v>-27.777777777777779</v>
      </c>
      <c r="AV478" s="201">
        <f t="shared" si="533"/>
        <v>-27.777777777777779</v>
      </c>
      <c r="AW478" s="201">
        <f t="shared" si="533"/>
        <v>-27.777777777777779</v>
      </c>
      <c r="AX478" s="201">
        <f t="shared" si="533"/>
        <v>-27.777777777777779</v>
      </c>
      <c r="AY478" s="201">
        <f t="shared" si="533"/>
        <v>-27.777777777777779</v>
      </c>
      <c r="AZ478" s="201">
        <f t="shared" si="533"/>
        <v>-27.777777777777779</v>
      </c>
      <c r="BA478" s="201">
        <f t="shared" si="533"/>
        <v>-27.777777777777779</v>
      </c>
      <c r="BB478" s="201">
        <f t="shared" si="533"/>
        <v>-27.777777777777779</v>
      </c>
      <c r="BC478" s="201">
        <f t="shared" si="533"/>
        <v>-27.777777777777779</v>
      </c>
      <c r="BD478" s="201">
        <f t="shared" si="533"/>
        <v>-27.777777777777779</v>
      </c>
      <c r="BE478" s="201">
        <f t="shared" si="533"/>
        <v>-27.777777777777779</v>
      </c>
      <c r="BF478" s="201">
        <f t="shared" si="533"/>
        <v>-27.777777777777779</v>
      </c>
      <c r="BG478" s="201">
        <f t="shared" si="533"/>
        <v>-27.777777777777779</v>
      </c>
      <c r="BH478" s="201">
        <f t="shared" si="533"/>
        <v>-27.777777777777779</v>
      </c>
      <c r="BI478" s="201">
        <f t="shared" si="533"/>
        <v>-27.777777777777779</v>
      </c>
      <c r="BJ478" s="201">
        <f t="shared" si="533"/>
        <v>-27.777777777777779</v>
      </c>
      <c r="BK478" s="201">
        <f t="shared" si="533"/>
        <v>-27.777777777777779</v>
      </c>
      <c r="BL478" s="201">
        <f t="shared" si="533"/>
        <v>-27.777777777777779</v>
      </c>
      <c r="BM478" s="201">
        <f t="shared" si="533"/>
        <v>-27.777777777777779</v>
      </c>
      <c r="BN478" s="201">
        <f t="shared" si="533"/>
        <v>-27.777777777777779</v>
      </c>
      <c r="BO478" s="201">
        <f t="shared" si="533"/>
        <v>-27.777777777777779</v>
      </c>
      <c r="BP478" s="201"/>
      <c r="BQ478" s="201"/>
    </row>
    <row r="479" spans="2:69" s="22" customFormat="1" outlineLevel="1">
      <c r="B479" s="182"/>
      <c r="C479" s="227" t="s">
        <v>1311</v>
      </c>
      <c r="D479" s="227"/>
      <c r="E479" s="228"/>
      <c r="F479" s="191" t="s">
        <v>119</v>
      </c>
      <c r="G479" s="168"/>
      <c r="H479" s="229">
        <f>+SUM(H476:H478)</f>
        <v>4972.2222222222226</v>
      </c>
      <c r="I479" s="229">
        <f>+SUM(I476:I478)</f>
        <v>4944.4444444444453</v>
      </c>
      <c r="J479" s="229">
        <f t="shared" ref="J479:BO479" si="534">+SUM(J476:J478)</f>
        <v>4916.6666666666679</v>
      </c>
      <c r="K479" s="229">
        <f t="shared" si="534"/>
        <v>4888.8888888888905</v>
      </c>
      <c r="L479" s="229">
        <f t="shared" si="534"/>
        <v>4861.1111111111131</v>
      </c>
      <c r="M479" s="229">
        <f t="shared" si="534"/>
        <v>4833.3333333333358</v>
      </c>
      <c r="N479" s="229">
        <f t="shared" si="534"/>
        <v>4805.5555555555584</v>
      </c>
      <c r="O479" s="229">
        <f t="shared" si="534"/>
        <v>4777.777777777781</v>
      </c>
      <c r="P479" s="229">
        <f t="shared" si="534"/>
        <v>4750.0000000000036</v>
      </c>
      <c r="Q479" s="229">
        <f t="shared" si="534"/>
        <v>4722.2222222222263</v>
      </c>
      <c r="R479" s="229">
        <f t="shared" si="534"/>
        <v>4694.4444444444489</v>
      </c>
      <c r="S479" s="229">
        <f t="shared" si="534"/>
        <v>4666.6666666666715</v>
      </c>
      <c r="T479" s="229">
        <f t="shared" si="534"/>
        <v>4638.8888888888941</v>
      </c>
      <c r="U479" s="229">
        <f t="shared" si="534"/>
        <v>4611.1111111111168</v>
      </c>
      <c r="V479" s="229">
        <f t="shared" si="534"/>
        <v>4583.3333333333394</v>
      </c>
      <c r="W479" s="229">
        <f t="shared" si="534"/>
        <v>4555.555555555562</v>
      </c>
      <c r="X479" s="229">
        <f t="shared" si="534"/>
        <v>4527.7777777777846</v>
      </c>
      <c r="Y479" s="229">
        <f t="shared" si="534"/>
        <v>4500.0000000000073</v>
      </c>
      <c r="Z479" s="229">
        <f t="shared" si="534"/>
        <v>4472.2222222222299</v>
      </c>
      <c r="AA479" s="229">
        <f t="shared" si="534"/>
        <v>4444.4444444444525</v>
      </c>
      <c r="AB479" s="229">
        <f t="shared" si="534"/>
        <v>4416.6666666666752</v>
      </c>
      <c r="AC479" s="229">
        <f t="shared" si="534"/>
        <v>4388.8888888888978</v>
      </c>
      <c r="AD479" s="229">
        <f t="shared" si="534"/>
        <v>4361.1111111111204</v>
      </c>
      <c r="AE479" s="229">
        <f t="shared" si="534"/>
        <v>4333.333333333343</v>
      </c>
      <c r="AF479" s="229">
        <f t="shared" si="534"/>
        <v>4305.5555555555657</v>
      </c>
      <c r="AG479" s="229">
        <f t="shared" si="534"/>
        <v>4277.7777777777883</v>
      </c>
      <c r="AH479" s="229">
        <f t="shared" si="534"/>
        <v>4250.0000000000109</v>
      </c>
      <c r="AI479" s="229">
        <f t="shared" si="534"/>
        <v>4222.2222222222335</v>
      </c>
      <c r="AJ479" s="229">
        <f t="shared" si="534"/>
        <v>4194.4444444444562</v>
      </c>
      <c r="AK479" s="229">
        <f t="shared" si="534"/>
        <v>4166.6666666666788</v>
      </c>
      <c r="AL479" s="229">
        <f t="shared" si="534"/>
        <v>4138.8888888889014</v>
      </c>
      <c r="AM479" s="229">
        <f t="shared" si="534"/>
        <v>4111.111111111124</v>
      </c>
      <c r="AN479" s="229">
        <f t="shared" si="534"/>
        <v>4083.3333333333462</v>
      </c>
      <c r="AO479" s="229">
        <f t="shared" si="534"/>
        <v>4055.5555555555684</v>
      </c>
      <c r="AP479" s="229">
        <f t="shared" si="534"/>
        <v>4027.7777777777906</v>
      </c>
      <c r="AQ479" s="229">
        <f t="shared" si="534"/>
        <v>4000.0000000000127</v>
      </c>
      <c r="AR479" s="229">
        <f t="shared" si="534"/>
        <v>3972.2222222222349</v>
      </c>
      <c r="AS479" s="229">
        <f t="shared" si="534"/>
        <v>3944.4444444444571</v>
      </c>
      <c r="AT479" s="229">
        <f t="shared" si="534"/>
        <v>3916.6666666666792</v>
      </c>
      <c r="AU479" s="229">
        <f t="shared" si="534"/>
        <v>3888.8888888889014</v>
      </c>
      <c r="AV479" s="229">
        <f t="shared" si="534"/>
        <v>3861.1111111111236</v>
      </c>
      <c r="AW479" s="229">
        <f t="shared" si="534"/>
        <v>3833.3333333333458</v>
      </c>
      <c r="AX479" s="229">
        <f t="shared" si="534"/>
        <v>3805.5555555555679</v>
      </c>
      <c r="AY479" s="229">
        <f t="shared" si="534"/>
        <v>3777.7777777777901</v>
      </c>
      <c r="AZ479" s="229">
        <f t="shared" si="534"/>
        <v>3750.0000000000123</v>
      </c>
      <c r="BA479" s="229">
        <f t="shared" si="534"/>
        <v>3722.2222222222344</v>
      </c>
      <c r="BB479" s="229">
        <f t="shared" si="534"/>
        <v>3694.4444444444566</v>
      </c>
      <c r="BC479" s="229">
        <f t="shared" si="534"/>
        <v>3666.6666666666788</v>
      </c>
      <c r="BD479" s="229">
        <f t="shared" si="534"/>
        <v>3638.888888888901</v>
      </c>
      <c r="BE479" s="229">
        <f t="shared" si="534"/>
        <v>3611.1111111111231</v>
      </c>
      <c r="BF479" s="229">
        <f t="shared" si="534"/>
        <v>3583.3333333333453</v>
      </c>
      <c r="BG479" s="229">
        <f t="shared" si="534"/>
        <v>3555.5555555555675</v>
      </c>
      <c r="BH479" s="229">
        <f t="shared" si="534"/>
        <v>3527.7777777777897</v>
      </c>
      <c r="BI479" s="229">
        <f t="shared" si="534"/>
        <v>3500.0000000000118</v>
      </c>
      <c r="BJ479" s="229">
        <f t="shared" si="534"/>
        <v>3472.222222222234</v>
      </c>
      <c r="BK479" s="229">
        <f t="shared" si="534"/>
        <v>3444.4444444444562</v>
      </c>
      <c r="BL479" s="229">
        <f t="shared" si="534"/>
        <v>3416.6666666666783</v>
      </c>
      <c r="BM479" s="229">
        <f t="shared" si="534"/>
        <v>3388.8888888889005</v>
      </c>
      <c r="BN479" s="229">
        <f t="shared" si="534"/>
        <v>3361.1111111111227</v>
      </c>
      <c r="BO479" s="229">
        <f t="shared" si="534"/>
        <v>3333.3333333333449</v>
      </c>
      <c r="BP479" s="361"/>
      <c r="BQ479" s="361"/>
    </row>
    <row r="480" spans="2:69" s="22" customFormat="1" outlineLevel="1">
      <c r="E480" s="28"/>
      <c r="F480" s="29"/>
      <c r="G480" s="66"/>
    </row>
    <row r="481" spans="2:69" s="23" customFormat="1" ht="13.7" customHeight="1">
      <c r="B481" s="57" t="s">
        <v>1317</v>
      </c>
      <c r="C481" s="58"/>
      <c r="D481" s="58"/>
      <c r="E481" s="59"/>
      <c r="F481" s="60"/>
      <c r="G481" s="58"/>
      <c r="H481" s="58"/>
      <c r="I481" s="58"/>
      <c r="J481" s="58"/>
      <c r="K481" s="58"/>
      <c r="L481" s="58"/>
      <c r="M481" s="58"/>
      <c r="N481" s="58"/>
      <c r="O481" s="58"/>
      <c r="P481" s="58"/>
      <c r="Q481" s="58"/>
      <c r="R481" s="58"/>
      <c r="S481" s="58"/>
      <c r="T481" s="58"/>
      <c r="U481" s="58"/>
      <c r="V481" s="58"/>
      <c r="W481" s="58"/>
      <c r="X481" s="58"/>
      <c r="Y481" s="58"/>
      <c r="Z481" s="58"/>
      <c r="AA481" s="58"/>
      <c r="AB481" s="58"/>
      <c r="AC481" s="58"/>
      <c r="AD481" s="58"/>
      <c r="AE481" s="58"/>
      <c r="AF481" s="58"/>
      <c r="AG481" s="58"/>
      <c r="AH481" s="58"/>
      <c r="AI481" s="58"/>
      <c r="AJ481" s="58"/>
      <c r="AK481" s="58"/>
      <c r="AL481" s="58"/>
      <c r="AM481" s="58"/>
      <c r="AN481" s="58"/>
      <c r="AO481" s="58"/>
      <c r="AP481" s="58"/>
      <c r="AQ481" s="58"/>
      <c r="AR481" s="58"/>
      <c r="AS481" s="58"/>
      <c r="AT481" s="58"/>
      <c r="AU481" s="58"/>
      <c r="AV481" s="58"/>
      <c r="AW481" s="58"/>
      <c r="AX481" s="58"/>
      <c r="AY481" s="58"/>
      <c r="AZ481" s="58"/>
      <c r="BA481" s="58"/>
      <c r="BB481" s="58"/>
      <c r="BC481" s="58"/>
      <c r="BD481" s="58"/>
      <c r="BE481" s="58"/>
      <c r="BF481" s="58"/>
      <c r="BG481" s="58"/>
      <c r="BH481" s="58"/>
      <c r="BI481" s="58"/>
      <c r="BJ481" s="58"/>
      <c r="BK481" s="58"/>
      <c r="BL481" s="58"/>
      <c r="BM481" s="58"/>
      <c r="BN481" s="58"/>
      <c r="BO481" s="58"/>
      <c r="BP481" s="356"/>
      <c r="BQ481" s="356"/>
    </row>
    <row r="482" spans="2:69" s="22" customFormat="1" outlineLevel="1">
      <c r="E482" s="28"/>
      <c r="F482" s="29"/>
      <c r="G482" s="66"/>
    </row>
    <row r="483" spans="2:69" s="22" customFormat="1" outlineLevel="1">
      <c r="B483" s="181" t="s">
        <v>1318</v>
      </c>
      <c r="C483" s="182"/>
      <c r="D483" s="182"/>
      <c r="E483" s="200"/>
      <c r="F483" s="184"/>
      <c r="G483" s="66"/>
      <c r="H483" s="182"/>
      <c r="I483" s="182"/>
      <c r="J483" s="182"/>
      <c r="K483" s="182"/>
      <c r="L483" s="182"/>
      <c r="M483" s="182"/>
      <c r="N483" s="182"/>
      <c r="O483" s="182"/>
      <c r="P483" s="182"/>
      <c r="Q483" s="182"/>
      <c r="R483" s="182"/>
      <c r="S483" s="182"/>
      <c r="T483" s="182"/>
      <c r="U483" s="182"/>
      <c r="V483" s="182"/>
      <c r="W483" s="182"/>
      <c r="X483" s="182"/>
      <c r="Y483" s="182"/>
      <c r="Z483" s="182"/>
      <c r="AA483" s="182"/>
      <c r="AB483" s="182"/>
      <c r="AC483" s="182"/>
      <c r="AD483" s="182"/>
      <c r="AE483" s="182"/>
      <c r="AF483" s="182"/>
      <c r="AG483" s="182"/>
      <c r="AH483" s="182"/>
      <c r="AI483" s="182"/>
      <c r="AJ483" s="182"/>
      <c r="AK483" s="182"/>
      <c r="AL483" s="182"/>
      <c r="AM483" s="182"/>
      <c r="AN483" s="182"/>
      <c r="AO483" s="182"/>
      <c r="AP483" s="182"/>
      <c r="AQ483" s="182"/>
      <c r="AR483" s="182"/>
      <c r="AS483" s="182"/>
      <c r="AT483" s="182"/>
      <c r="AU483" s="182"/>
      <c r="AV483" s="182"/>
      <c r="AW483" s="182"/>
      <c r="AX483" s="182"/>
      <c r="AY483" s="182"/>
      <c r="AZ483" s="182"/>
      <c r="BA483" s="182"/>
      <c r="BB483" s="182"/>
      <c r="BC483" s="182"/>
      <c r="BD483" s="182"/>
      <c r="BE483" s="182"/>
      <c r="BF483" s="182"/>
      <c r="BG483" s="182"/>
      <c r="BH483" s="182"/>
      <c r="BI483" s="182"/>
      <c r="BJ483" s="182"/>
      <c r="BK483" s="182"/>
      <c r="BL483" s="182"/>
      <c r="BM483" s="182"/>
      <c r="BN483" s="182"/>
      <c r="BO483" s="182"/>
      <c r="BP483" s="182"/>
      <c r="BQ483" s="182"/>
    </row>
    <row r="484" spans="2:69" s="22" customFormat="1" outlineLevel="1">
      <c r="B484" s="182"/>
      <c r="C484" s="182" t="s">
        <v>1305</v>
      </c>
      <c r="D484" s="226">
        <f>Assumptions!D56</f>
        <v>50000</v>
      </c>
      <c r="E484" s="226" t="s">
        <v>1319</v>
      </c>
      <c r="F484" s="184" t="s">
        <v>119</v>
      </c>
      <c r="G484" s="66"/>
      <c r="H484" s="201">
        <f>D484</f>
        <v>50000</v>
      </c>
      <c r="I484" s="189">
        <f>H487</f>
        <v>49479.166666666664</v>
      </c>
      <c r="J484" s="189">
        <f t="shared" ref="J484:BO484" si="535">I487</f>
        <v>48958.333333333328</v>
      </c>
      <c r="K484" s="189">
        <f t="shared" si="535"/>
        <v>48437.499999999993</v>
      </c>
      <c r="L484" s="189">
        <f t="shared" si="535"/>
        <v>47916.666666666657</v>
      </c>
      <c r="M484" s="189">
        <f t="shared" si="535"/>
        <v>47395.833333333321</v>
      </c>
      <c r="N484" s="189">
        <f t="shared" si="535"/>
        <v>46874.999999999985</v>
      </c>
      <c r="O484" s="189">
        <f t="shared" si="535"/>
        <v>46354.16666666665</v>
      </c>
      <c r="P484" s="189">
        <f t="shared" si="535"/>
        <v>45833.333333333314</v>
      </c>
      <c r="Q484" s="189">
        <f t="shared" si="535"/>
        <v>45312.499999999978</v>
      </c>
      <c r="R484" s="189">
        <f t="shared" si="535"/>
        <v>44791.666666666642</v>
      </c>
      <c r="S484" s="189">
        <f t="shared" si="535"/>
        <v>44270.833333333307</v>
      </c>
      <c r="T484" s="189">
        <f t="shared" si="535"/>
        <v>43749.999999999971</v>
      </c>
      <c r="U484" s="189">
        <f t="shared" si="535"/>
        <v>43229.166666666635</v>
      </c>
      <c r="V484" s="189">
        <f t="shared" si="535"/>
        <v>42708.333333333299</v>
      </c>
      <c r="W484" s="189">
        <f t="shared" si="535"/>
        <v>42187.499999999964</v>
      </c>
      <c r="X484" s="189">
        <f t="shared" si="535"/>
        <v>41666.666666666628</v>
      </c>
      <c r="Y484" s="189">
        <f t="shared" si="535"/>
        <v>41145.833333333292</v>
      </c>
      <c r="Z484" s="189">
        <f t="shared" si="535"/>
        <v>40624.999999999956</v>
      </c>
      <c r="AA484" s="189">
        <f t="shared" si="535"/>
        <v>40104.166666666621</v>
      </c>
      <c r="AB484" s="189">
        <f t="shared" si="535"/>
        <v>39583.333333333285</v>
      </c>
      <c r="AC484" s="189">
        <f t="shared" si="535"/>
        <v>39062.499999999949</v>
      </c>
      <c r="AD484" s="189">
        <f t="shared" si="535"/>
        <v>38541.666666666613</v>
      </c>
      <c r="AE484" s="189">
        <f t="shared" si="535"/>
        <v>38020.833333333278</v>
      </c>
      <c r="AF484" s="189">
        <f t="shared" si="535"/>
        <v>37499.999999999942</v>
      </c>
      <c r="AG484" s="189">
        <f t="shared" si="535"/>
        <v>36979.166666666606</v>
      </c>
      <c r="AH484" s="189">
        <f t="shared" si="535"/>
        <v>36458.33333333327</v>
      </c>
      <c r="AI484" s="189">
        <f t="shared" si="535"/>
        <v>35937.499999999935</v>
      </c>
      <c r="AJ484" s="189">
        <f t="shared" si="535"/>
        <v>35416.666666666599</v>
      </c>
      <c r="AK484" s="189">
        <f t="shared" si="535"/>
        <v>34895.833333333263</v>
      </c>
      <c r="AL484" s="189">
        <f t="shared" si="535"/>
        <v>34374.999999999927</v>
      </c>
      <c r="AM484" s="189">
        <f t="shared" si="535"/>
        <v>33854.166666666591</v>
      </c>
      <c r="AN484" s="189">
        <f t="shared" si="535"/>
        <v>33333.333333333256</v>
      </c>
      <c r="AO484" s="189">
        <f t="shared" si="535"/>
        <v>32812.49999999992</v>
      </c>
      <c r="AP484" s="189">
        <f t="shared" si="535"/>
        <v>32291.666666666588</v>
      </c>
      <c r="AQ484" s="189">
        <f t="shared" si="535"/>
        <v>31770.833333333256</v>
      </c>
      <c r="AR484" s="189">
        <f t="shared" si="535"/>
        <v>31249.999999999924</v>
      </c>
      <c r="AS484" s="189">
        <f t="shared" si="535"/>
        <v>30729.166666666591</v>
      </c>
      <c r="AT484" s="189">
        <f t="shared" si="535"/>
        <v>30208.333333333259</v>
      </c>
      <c r="AU484" s="189">
        <f t="shared" si="535"/>
        <v>29687.499999999927</v>
      </c>
      <c r="AV484" s="189">
        <f t="shared" si="535"/>
        <v>29166.666666666595</v>
      </c>
      <c r="AW484" s="189">
        <f t="shared" si="535"/>
        <v>28645.833333333263</v>
      </c>
      <c r="AX484" s="189">
        <f t="shared" si="535"/>
        <v>28124.999999999931</v>
      </c>
      <c r="AY484" s="189">
        <f t="shared" si="535"/>
        <v>27604.166666666599</v>
      </c>
      <c r="AZ484" s="189">
        <f t="shared" si="535"/>
        <v>27083.333333333267</v>
      </c>
      <c r="BA484" s="189">
        <f t="shared" si="535"/>
        <v>26562.499999999935</v>
      </c>
      <c r="BB484" s="189">
        <f t="shared" si="535"/>
        <v>26041.666666666602</v>
      </c>
      <c r="BC484" s="189">
        <f t="shared" si="535"/>
        <v>25520.83333333327</v>
      </c>
      <c r="BD484" s="189">
        <f t="shared" si="535"/>
        <v>24999.999999999938</v>
      </c>
      <c r="BE484" s="189">
        <f t="shared" si="535"/>
        <v>24479.166666666606</v>
      </c>
      <c r="BF484" s="189">
        <f t="shared" si="535"/>
        <v>23958.333333333274</v>
      </c>
      <c r="BG484" s="189">
        <f t="shared" si="535"/>
        <v>23437.499999999942</v>
      </c>
      <c r="BH484" s="189">
        <f t="shared" si="535"/>
        <v>22916.66666666661</v>
      </c>
      <c r="BI484" s="189">
        <f t="shared" si="535"/>
        <v>22395.833333333278</v>
      </c>
      <c r="BJ484" s="189">
        <f t="shared" si="535"/>
        <v>21874.999999999945</v>
      </c>
      <c r="BK484" s="189">
        <f t="shared" si="535"/>
        <v>21354.166666666613</v>
      </c>
      <c r="BL484" s="189">
        <f t="shared" si="535"/>
        <v>20833.333333333281</v>
      </c>
      <c r="BM484" s="189">
        <f t="shared" si="535"/>
        <v>20312.499999999949</v>
      </c>
      <c r="BN484" s="189">
        <f t="shared" si="535"/>
        <v>19791.666666666617</v>
      </c>
      <c r="BO484" s="189">
        <f t="shared" si="535"/>
        <v>19270.833333333285</v>
      </c>
      <c r="BP484" s="189"/>
      <c r="BQ484" s="189"/>
    </row>
    <row r="485" spans="2:69" s="22" customFormat="1" outlineLevel="1">
      <c r="B485" s="182"/>
      <c r="C485" s="182" t="s">
        <v>1320</v>
      </c>
      <c r="D485" s="246"/>
      <c r="E485" s="246"/>
      <c r="F485" s="184"/>
      <c r="G485" s="66"/>
      <c r="H485" s="201">
        <v>0</v>
      </c>
      <c r="I485" s="201">
        <v>0</v>
      </c>
      <c r="J485" s="201">
        <v>0</v>
      </c>
      <c r="K485" s="201">
        <v>0</v>
      </c>
      <c r="L485" s="201">
        <v>0</v>
      </c>
      <c r="M485" s="201">
        <v>0</v>
      </c>
      <c r="N485" s="201">
        <v>0</v>
      </c>
      <c r="O485" s="201">
        <v>0</v>
      </c>
      <c r="P485" s="201">
        <v>0</v>
      </c>
      <c r="Q485" s="201">
        <v>0</v>
      </c>
      <c r="R485" s="201">
        <v>0</v>
      </c>
      <c r="S485" s="201">
        <v>0</v>
      </c>
      <c r="T485" s="201">
        <v>0</v>
      </c>
      <c r="U485" s="201">
        <v>0</v>
      </c>
      <c r="V485" s="201">
        <v>0</v>
      </c>
      <c r="W485" s="201">
        <v>0</v>
      </c>
      <c r="X485" s="201">
        <v>0</v>
      </c>
      <c r="Y485" s="201">
        <v>0</v>
      </c>
      <c r="Z485" s="201">
        <v>0</v>
      </c>
      <c r="AA485" s="201">
        <v>0</v>
      </c>
      <c r="AB485" s="201">
        <v>0</v>
      </c>
      <c r="AC485" s="201">
        <v>0</v>
      </c>
      <c r="AD485" s="201">
        <v>0</v>
      </c>
      <c r="AE485" s="201">
        <v>0</v>
      </c>
      <c r="AF485" s="201">
        <v>0</v>
      </c>
      <c r="AG485" s="201">
        <v>0</v>
      </c>
      <c r="AH485" s="201">
        <v>0</v>
      </c>
      <c r="AI485" s="201">
        <v>0</v>
      </c>
      <c r="AJ485" s="201">
        <v>0</v>
      </c>
      <c r="AK485" s="201">
        <v>0</v>
      </c>
      <c r="AL485" s="201">
        <v>0</v>
      </c>
      <c r="AM485" s="201">
        <v>0</v>
      </c>
      <c r="AN485" s="201">
        <v>0</v>
      </c>
      <c r="AO485" s="201">
        <v>0</v>
      </c>
      <c r="AP485" s="201">
        <v>0</v>
      </c>
      <c r="AQ485" s="201">
        <v>0</v>
      </c>
      <c r="AR485" s="201">
        <v>0</v>
      </c>
      <c r="AS485" s="201">
        <v>0</v>
      </c>
      <c r="AT485" s="201">
        <v>0</v>
      </c>
      <c r="AU485" s="201">
        <v>0</v>
      </c>
      <c r="AV485" s="201">
        <v>0</v>
      </c>
      <c r="AW485" s="201">
        <v>0</v>
      </c>
      <c r="AX485" s="201">
        <v>0</v>
      </c>
      <c r="AY485" s="201">
        <v>0</v>
      </c>
      <c r="AZ485" s="201">
        <v>0</v>
      </c>
      <c r="BA485" s="201">
        <v>0</v>
      </c>
      <c r="BB485" s="201">
        <v>0</v>
      </c>
      <c r="BC485" s="201">
        <v>0</v>
      </c>
      <c r="BD485" s="201">
        <v>0</v>
      </c>
      <c r="BE485" s="201">
        <v>0</v>
      </c>
      <c r="BF485" s="201">
        <v>0</v>
      </c>
      <c r="BG485" s="201">
        <v>0</v>
      </c>
      <c r="BH485" s="201">
        <v>0</v>
      </c>
      <c r="BI485" s="201">
        <v>0</v>
      </c>
      <c r="BJ485" s="201">
        <v>0</v>
      </c>
      <c r="BK485" s="201">
        <v>0</v>
      </c>
      <c r="BL485" s="201">
        <v>0</v>
      </c>
      <c r="BM485" s="201">
        <v>0</v>
      </c>
      <c r="BN485" s="201">
        <v>0</v>
      </c>
      <c r="BO485" s="201">
        <v>0</v>
      </c>
      <c r="BP485" s="201"/>
      <c r="BQ485" s="201"/>
    </row>
    <row r="486" spans="2:69" s="22" customFormat="1" outlineLevel="1">
      <c r="B486" s="182"/>
      <c r="C486" s="182" t="s">
        <v>1321</v>
      </c>
      <c r="D486" s="235">
        <f>Assumptions!H57</f>
        <v>8</v>
      </c>
      <c r="E486" s="235" t="s">
        <v>1322</v>
      </c>
      <c r="F486" s="196" t="s">
        <v>119</v>
      </c>
      <c r="G486" s="66"/>
      <c r="H486" s="201">
        <f>-H484/$D$486/12</f>
        <v>-520.83333333333337</v>
      </c>
      <c r="I486" s="201">
        <f t="shared" ref="I486:AN486" si="536">-$H$484/$D$486/12</f>
        <v>-520.83333333333337</v>
      </c>
      <c r="J486" s="201">
        <f t="shared" si="536"/>
        <v>-520.83333333333337</v>
      </c>
      <c r="K486" s="201">
        <f t="shared" si="536"/>
        <v>-520.83333333333337</v>
      </c>
      <c r="L486" s="201">
        <f t="shared" si="536"/>
        <v>-520.83333333333337</v>
      </c>
      <c r="M486" s="201">
        <f t="shared" si="536"/>
        <v>-520.83333333333337</v>
      </c>
      <c r="N486" s="201">
        <f t="shared" si="536"/>
        <v>-520.83333333333337</v>
      </c>
      <c r="O486" s="201">
        <f t="shared" si="536"/>
        <v>-520.83333333333337</v>
      </c>
      <c r="P486" s="201">
        <f t="shared" si="536"/>
        <v>-520.83333333333337</v>
      </c>
      <c r="Q486" s="201">
        <f t="shared" si="536"/>
        <v>-520.83333333333337</v>
      </c>
      <c r="R486" s="201">
        <f t="shared" si="536"/>
        <v>-520.83333333333337</v>
      </c>
      <c r="S486" s="201">
        <f t="shared" si="536"/>
        <v>-520.83333333333337</v>
      </c>
      <c r="T486" s="201">
        <f t="shared" si="536"/>
        <v>-520.83333333333337</v>
      </c>
      <c r="U486" s="201">
        <f t="shared" si="536"/>
        <v>-520.83333333333337</v>
      </c>
      <c r="V486" s="201">
        <f t="shared" si="536"/>
        <v>-520.83333333333337</v>
      </c>
      <c r="W486" s="201">
        <f t="shared" si="536"/>
        <v>-520.83333333333337</v>
      </c>
      <c r="X486" s="201">
        <f t="shared" si="536"/>
        <v>-520.83333333333337</v>
      </c>
      <c r="Y486" s="201">
        <f t="shared" si="536"/>
        <v>-520.83333333333337</v>
      </c>
      <c r="Z486" s="201">
        <f t="shared" si="536"/>
        <v>-520.83333333333337</v>
      </c>
      <c r="AA486" s="201">
        <f t="shared" si="536"/>
        <v>-520.83333333333337</v>
      </c>
      <c r="AB486" s="201">
        <f t="shared" si="536"/>
        <v>-520.83333333333337</v>
      </c>
      <c r="AC486" s="201">
        <f t="shared" si="536"/>
        <v>-520.83333333333337</v>
      </c>
      <c r="AD486" s="201">
        <f t="shared" si="536"/>
        <v>-520.83333333333337</v>
      </c>
      <c r="AE486" s="201">
        <f t="shared" si="536"/>
        <v>-520.83333333333337</v>
      </c>
      <c r="AF486" s="201">
        <f t="shared" si="536"/>
        <v>-520.83333333333337</v>
      </c>
      <c r="AG486" s="201">
        <f t="shared" si="536"/>
        <v>-520.83333333333337</v>
      </c>
      <c r="AH486" s="201">
        <f t="shared" si="536"/>
        <v>-520.83333333333337</v>
      </c>
      <c r="AI486" s="201">
        <f t="shared" si="536"/>
        <v>-520.83333333333337</v>
      </c>
      <c r="AJ486" s="201">
        <f t="shared" si="536"/>
        <v>-520.83333333333337</v>
      </c>
      <c r="AK486" s="201">
        <f t="shared" si="536"/>
        <v>-520.83333333333337</v>
      </c>
      <c r="AL486" s="201">
        <f t="shared" si="536"/>
        <v>-520.83333333333337</v>
      </c>
      <c r="AM486" s="201">
        <f t="shared" si="536"/>
        <v>-520.83333333333337</v>
      </c>
      <c r="AN486" s="201">
        <f t="shared" si="536"/>
        <v>-520.83333333333337</v>
      </c>
      <c r="AO486" s="201">
        <f t="shared" ref="AO486:BO486" si="537">-$H$484/$D$486/12</f>
        <v>-520.83333333333337</v>
      </c>
      <c r="AP486" s="201">
        <f t="shared" si="537"/>
        <v>-520.83333333333337</v>
      </c>
      <c r="AQ486" s="201">
        <f t="shared" si="537"/>
        <v>-520.83333333333337</v>
      </c>
      <c r="AR486" s="201">
        <f t="shared" si="537"/>
        <v>-520.83333333333337</v>
      </c>
      <c r="AS486" s="201">
        <f t="shared" si="537"/>
        <v>-520.83333333333337</v>
      </c>
      <c r="AT486" s="201">
        <f t="shared" si="537"/>
        <v>-520.83333333333337</v>
      </c>
      <c r="AU486" s="201">
        <f t="shared" si="537"/>
        <v>-520.83333333333337</v>
      </c>
      <c r="AV486" s="201">
        <f t="shared" si="537"/>
        <v>-520.83333333333337</v>
      </c>
      <c r="AW486" s="201">
        <f t="shared" si="537"/>
        <v>-520.83333333333337</v>
      </c>
      <c r="AX486" s="201">
        <f t="shared" si="537"/>
        <v>-520.83333333333337</v>
      </c>
      <c r="AY486" s="201">
        <f t="shared" si="537"/>
        <v>-520.83333333333337</v>
      </c>
      <c r="AZ486" s="201">
        <f t="shared" si="537"/>
        <v>-520.83333333333337</v>
      </c>
      <c r="BA486" s="201">
        <f t="shared" si="537"/>
        <v>-520.83333333333337</v>
      </c>
      <c r="BB486" s="201">
        <f t="shared" si="537"/>
        <v>-520.83333333333337</v>
      </c>
      <c r="BC486" s="201">
        <f t="shared" si="537"/>
        <v>-520.83333333333337</v>
      </c>
      <c r="BD486" s="201">
        <f t="shared" si="537"/>
        <v>-520.83333333333337</v>
      </c>
      <c r="BE486" s="201">
        <f t="shared" si="537"/>
        <v>-520.83333333333337</v>
      </c>
      <c r="BF486" s="201">
        <f t="shared" si="537"/>
        <v>-520.83333333333337</v>
      </c>
      <c r="BG486" s="201">
        <f t="shared" si="537"/>
        <v>-520.83333333333337</v>
      </c>
      <c r="BH486" s="201">
        <f t="shared" si="537"/>
        <v>-520.83333333333337</v>
      </c>
      <c r="BI486" s="201">
        <f t="shared" si="537"/>
        <v>-520.83333333333337</v>
      </c>
      <c r="BJ486" s="201">
        <f t="shared" si="537"/>
        <v>-520.83333333333337</v>
      </c>
      <c r="BK486" s="201">
        <f t="shared" si="537"/>
        <v>-520.83333333333337</v>
      </c>
      <c r="BL486" s="201">
        <f t="shared" si="537"/>
        <v>-520.83333333333337</v>
      </c>
      <c r="BM486" s="201">
        <f t="shared" si="537"/>
        <v>-520.83333333333337</v>
      </c>
      <c r="BN486" s="201">
        <f t="shared" si="537"/>
        <v>-520.83333333333337</v>
      </c>
      <c r="BO486" s="201">
        <f t="shared" si="537"/>
        <v>-520.83333333333337</v>
      </c>
      <c r="BP486" s="201"/>
      <c r="BQ486" s="201"/>
    </row>
    <row r="487" spans="2:69" s="31" customFormat="1" outlineLevel="1">
      <c r="B487" s="208"/>
      <c r="C487" s="227" t="s">
        <v>1311</v>
      </c>
      <c r="D487" s="208"/>
      <c r="E487" s="190"/>
      <c r="F487" s="209" t="s">
        <v>119</v>
      </c>
      <c r="G487" s="213"/>
      <c r="H487" s="236">
        <f t="shared" ref="H487:AM487" si="538">SUM(H484:H486)</f>
        <v>49479.166666666664</v>
      </c>
      <c r="I487" s="236">
        <f t="shared" si="538"/>
        <v>48958.333333333328</v>
      </c>
      <c r="J487" s="236">
        <f t="shared" si="538"/>
        <v>48437.499999999993</v>
      </c>
      <c r="K487" s="236">
        <f t="shared" si="538"/>
        <v>47916.666666666657</v>
      </c>
      <c r="L487" s="236">
        <f t="shared" si="538"/>
        <v>47395.833333333321</v>
      </c>
      <c r="M487" s="236">
        <f t="shared" si="538"/>
        <v>46874.999999999985</v>
      </c>
      <c r="N487" s="236">
        <f t="shared" si="538"/>
        <v>46354.16666666665</v>
      </c>
      <c r="O487" s="236">
        <f t="shared" si="538"/>
        <v>45833.333333333314</v>
      </c>
      <c r="P487" s="236">
        <f t="shared" si="538"/>
        <v>45312.499999999978</v>
      </c>
      <c r="Q487" s="236">
        <f t="shared" si="538"/>
        <v>44791.666666666642</v>
      </c>
      <c r="R487" s="236">
        <f t="shared" si="538"/>
        <v>44270.833333333307</v>
      </c>
      <c r="S487" s="236">
        <f t="shared" si="538"/>
        <v>43749.999999999971</v>
      </c>
      <c r="T487" s="236">
        <f t="shared" si="538"/>
        <v>43229.166666666635</v>
      </c>
      <c r="U487" s="236">
        <f t="shared" si="538"/>
        <v>42708.333333333299</v>
      </c>
      <c r="V487" s="236">
        <f t="shared" si="538"/>
        <v>42187.499999999964</v>
      </c>
      <c r="W487" s="236">
        <f t="shared" si="538"/>
        <v>41666.666666666628</v>
      </c>
      <c r="X487" s="236">
        <f t="shared" si="538"/>
        <v>41145.833333333292</v>
      </c>
      <c r="Y487" s="236">
        <f t="shared" si="538"/>
        <v>40624.999999999956</v>
      </c>
      <c r="Z487" s="236">
        <f t="shared" si="538"/>
        <v>40104.166666666621</v>
      </c>
      <c r="AA487" s="236">
        <f t="shared" si="538"/>
        <v>39583.333333333285</v>
      </c>
      <c r="AB487" s="236">
        <f t="shared" si="538"/>
        <v>39062.499999999949</v>
      </c>
      <c r="AC487" s="236">
        <f t="shared" si="538"/>
        <v>38541.666666666613</v>
      </c>
      <c r="AD487" s="236">
        <f t="shared" si="538"/>
        <v>38020.833333333278</v>
      </c>
      <c r="AE487" s="236">
        <f t="shared" si="538"/>
        <v>37499.999999999942</v>
      </c>
      <c r="AF487" s="236">
        <f t="shared" si="538"/>
        <v>36979.166666666606</v>
      </c>
      <c r="AG487" s="236">
        <f t="shared" si="538"/>
        <v>36458.33333333327</v>
      </c>
      <c r="AH487" s="236">
        <f t="shared" si="538"/>
        <v>35937.499999999935</v>
      </c>
      <c r="AI487" s="236">
        <f t="shared" si="538"/>
        <v>35416.666666666599</v>
      </c>
      <c r="AJ487" s="236">
        <f t="shared" si="538"/>
        <v>34895.833333333263</v>
      </c>
      <c r="AK487" s="236">
        <f t="shared" si="538"/>
        <v>34374.999999999927</v>
      </c>
      <c r="AL487" s="236">
        <f t="shared" si="538"/>
        <v>33854.166666666591</v>
      </c>
      <c r="AM487" s="236">
        <f t="shared" si="538"/>
        <v>33333.333333333256</v>
      </c>
      <c r="AN487" s="236">
        <f t="shared" ref="AN487:BO487" si="539">SUM(AN484:AN486)</f>
        <v>32812.49999999992</v>
      </c>
      <c r="AO487" s="236">
        <f t="shared" si="539"/>
        <v>32291.666666666588</v>
      </c>
      <c r="AP487" s="236">
        <f t="shared" si="539"/>
        <v>31770.833333333256</v>
      </c>
      <c r="AQ487" s="236">
        <f t="shared" si="539"/>
        <v>31249.999999999924</v>
      </c>
      <c r="AR487" s="236">
        <f t="shared" si="539"/>
        <v>30729.166666666591</v>
      </c>
      <c r="AS487" s="236">
        <f t="shared" si="539"/>
        <v>30208.333333333259</v>
      </c>
      <c r="AT487" s="236">
        <f t="shared" si="539"/>
        <v>29687.499999999927</v>
      </c>
      <c r="AU487" s="236">
        <f t="shared" si="539"/>
        <v>29166.666666666595</v>
      </c>
      <c r="AV487" s="236">
        <f t="shared" si="539"/>
        <v>28645.833333333263</v>
      </c>
      <c r="AW487" s="236">
        <f t="shared" si="539"/>
        <v>28124.999999999931</v>
      </c>
      <c r="AX487" s="236">
        <f t="shared" si="539"/>
        <v>27604.166666666599</v>
      </c>
      <c r="AY487" s="236">
        <f t="shared" si="539"/>
        <v>27083.333333333267</v>
      </c>
      <c r="AZ487" s="236">
        <f t="shared" si="539"/>
        <v>26562.499999999935</v>
      </c>
      <c r="BA487" s="236">
        <f t="shared" si="539"/>
        <v>26041.666666666602</v>
      </c>
      <c r="BB487" s="236">
        <f t="shared" si="539"/>
        <v>25520.83333333327</v>
      </c>
      <c r="BC487" s="236">
        <f t="shared" si="539"/>
        <v>24999.999999999938</v>
      </c>
      <c r="BD487" s="236">
        <f t="shared" si="539"/>
        <v>24479.166666666606</v>
      </c>
      <c r="BE487" s="236">
        <f t="shared" si="539"/>
        <v>23958.333333333274</v>
      </c>
      <c r="BF487" s="236">
        <f t="shared" si="539"/>
        <v>23437.499999999942</v>
      </c>
      <c r="BG487" s="236">
        <f t="shared" si="539"/>
        <v>22916.66666666661</v>
      </c>
      <c r="BH487" s="236">
        <f t="shared" si="539"/>
        <v>22395.833333333278</v>
      </c>
      <c r="BI487" s="236">
        <f t="shared" si="539"/>
        <v>21874.999999999945</v>
      </c>
      <c r="BJ487" s="236">
        <f t="shared" si="539"/>
        <v>21354.166666666613</v>
      </c>
      <c r="BK487" s="236">
        <f t="shared" si="539"/>
        <v>20833.333333333281</v>
      </c>
      <c r="BL487" s="236">
        <f t="shared" si="539"/>
        <v>20312.499999999949</v>
      </c>
      <c r="BM487" s="236">
        <f t="shared" si="539"/>
        <v>19791.666666666617</v>
      </c>
      <c r="BN487" s="236">
        <f t="shared" si="539"/>
        <v>19270.833333333285</v>
      </c>
      <c r="BO487" s="236">
        <f t="shared" si="539"/>
        <v>18749.999999999953</v>
      </c>
      <c r="BP487" s="362"/>
      <c r="BQ487" s="362"/>
    </row>
    <row r="488" spans="2:69" s="22" customFormat="1" outlineLevel="1">
      <c r="B488" s="182"/>
      <c r="C488" s="182" t="s">
        <v>1323</v>
      </c>
      <c r="D488" s="237">
        <f>Assumptions!H58</f>
        <v>0.05</v>
      </c>
      <c r="E488" s="238" t="s">
        <v>1324</v>
      </c>
      <c r="F488" s="184" t="s">
        <v>119</v>
      </c>
      <c r="G488" s="66"/>
      <c r="H488" s="201">
        <f t="shared" ref="H488:AM488" si="540">H484*$D$488/12</f>
        <v>208.33333333333334</v>
      </c>
      <c r="I488" s="201">
        <f t="shared" si="540"/>
        <v>206.16319444444446</v>
      </c>
      <c r="J488" s="201">
        <f t="shared" si="540"/>
        <v>203.99305555555554</v>
      </c>
      <c r="K488" s="201">
        <f t="shared" si="540"/>
        <v>201.82291666666663</v>
      </c>
      <c r="L488" s="201">
        <f t="shared" si="540"/>
        <v>199.65277777777774</v>
      </c>
      <c r="M488" s="201">
        <f t="shared" si="540"/>
        <v>197.48263888888883</v>
      </c>
      <c r="N488" s="201">
        <f t="shared" si="540"/>
        <v>195.31249999999997</v>
      </c>
      <c r="O488" s="201">
        <f t="shared" si="540"/>
        <v>193.14236111111106</v>
      </c>
      <c r="P488" s="201">
        <f t="shared" si="540"/>
        <v>190.97222222222214</v>
      </c>
      <c r="Q488" s="201">
        <f t="shared" si="540"/>
        <v>188.80208333333326</v>
      </c>
      <c r="R488" s="201">
        <f t="shared" si="540"/>
        <v>186.63194444444434</v>
      </c>
      <c r="S488" s="201">
        <f t="shared" si="540"/>
        <v>184.46180555555546</v>
      </c>
      <c r="T488" s="201">
        <f t="shared" si="540"/>
        <v>182.29166666666654</v>
      </c>
      <c r="U488" s="201">
        <f t="shared" si="540"/>
        <v>180.12152777777763</v>
      </c>
      <c r="V488" s="201">
        <f t="shared" si="540"/>
        <v>177.95138888888877</v>
      </c>
      <c r="W488" s="201">
        <f t="shared" si="540"/>
        <v>175.78124999999986</v>
      </c>
      <c r="X488" s="201">
        <f t="shared" si="540"/>
        <v>173.61111111111097</v>
      </c>
      <c r="Y488" s="201">
        <f t="shared" si="540"/>
        <v>171.44097222222206</v>
      </c>
      <c r="Z488" s="201">
        <f t="shared" si="540"/>
        <v>169.27083333333317</v>
      </c>
      <c r="AA488" s="201">
        <f t="shared" si="540"/>
        <v>167.10069444444426</v>
      </c>
      <c r="AB488" s="201">
        <f t="shared" si="540"/>
        <v>164.93055555555534</v>
      </c>
      <c r="AC488" s="201">
        <f t="shared" si="540"/>
        <v>162.76041666666646</v>
      </c>
      <c r="AD488" s="201">
        <f t="shared" si="540"/>
        <v>160.59027777777757</v>
      </c>
      <c r="AE488" s="201">
        <f t="shared" si="540"/>
        <v>158.42013888888866</v>
      </c>
      <c r="AF488" s="201">
        <f t="shared" si="540"/>
        <v>156.24999999999977</v>
      </c>
      <c r="AG488" s="201">
        <f t="shared" si="540"/>
        <v>154.07986111111086</v>
      </c>
      <c r="AH488" s="201">
        <f t="shared" si="540"/>
        <v>151.90972222222197</v>
      </c>
      <c r="AI488" s="201">
        <f t="shared" si="540"/>
        <v>149.73958333333306</v>
      </c>
      <c r="AJ488" s="201">
        <f t="shared" si="540"/>
        <v>147.56944444444417</v>
      </c>
      <c r="AK488" s="201">
        <f t="shared" si="540"/>
        <v>145.39930555555529</v>
      </c>
      <c r="AL488" s="201">
        <f t="shared" si="540"/>
        <v>143.22916666666637</v>
      </c>
      <c r="AM488" s="201">
        <f t="shared" si="540"/>
        <v>141.05902777777746</v>
      </c>
      <c r="AN488" s="201">
        <f t="shared" ref="AN488:BO488" si="541">AN484*$D$488/12</f>
        <v>138.88888888888857</v>
      </c>
      <c r="AO488" s="201">
        <f t="shared" si="541"/>
        <v>136.71874999999969</v>
      </c>
      <c r="AP488" s="201">
        <f t="shared" si="541"/>
        <v>134.54861111111077</v>
      </c>
      <c r="AQ488" s="201">
        <f t="shared" si="541"/>
        <v>132.37847222222192</v>
      </c>
      <c r="AR488" s="201">
        <f t="shared" si="541"/>
        <v>130.20833333333303</v>
      </c>
      <c r="AS488" s="201">
        <f t="shared" si="541"/>
        <v>128.03819444444414</v>
      </c>
      <c r="AT488" s="201">
        <f t="shared" si="541"/>
        <v>125.86805555555526</v>
      </c>
      <c r="AU488" s="201">
        <f t="shared" si="541"/>
        <v>123.69791666666636</v>
      </c>
      <c r="AV488" s="201">
        <f t="shared" si="541"/>
        <v>121.52777777777749</v>
      </c>
      <c r="AW488" s="201">
        <f t="shared" si="541"/>
        <v>119.35763888888862</v>
      </c>
      <c r="AX488" s="201">
        <f t="shared" si="541"/>
        <v>117.18749999999972</v>
      </c>
      <c r="AY488" s="201">
        <f t="shared" si="541"/>
        <v>115.01736111111084</v>
      </c>
      <c r="AZ488" s="201">
        <f t="shared" si="541"/>
        <v>112.84722222222194</v>
      </c>
      <c r="BA488" s="201">
        <f t="shared" si="541"/>
        <v>110.67708333333307</v>
      </c>
      <c r="BB488" s="201">
        <f t="shared" si="541"/>
        <v>108.50694444444419</v>
      </c>
      <c r="BC488" s="201">
        <f t="shared" si="541"/>
        <v>106.3368055555553</v>
      </c>
      <c r="BD488" s="201">
        <f t="shared" si="541"/>
        <v>104.16666666666642</v>
      </c>
      <c r="BE488" s="201">
        <f t="shared" si="541"/>
        <v>101.99652777777753</v>
      </c>
      <c r="BF488" s="201">
        <f t="shared" si="541"/>
        <v>99.826388888888644</v>
      </c>
      <c r="BG488" s="201">
        <f t="shared" si="541"/>
        <v>97.656249999999758</v>
      </c>
      <c r="BH488" s="201">
        <f t="shared" si="541"/>
        <v>95.486111111110873</v>
      </c>
      <c r="BI488" s="201">
        <f t="shared" si="541"/>
        <v>93.315972222222001</v>
      </c>
      <c r="BJ488" s="201">
        <f t="shared" si="541"/>
        <v>91.145833333333101</v>
      </c>
      <c r="BK488" s="201">
        <f t="shared" si="541"/>
        <v>88.97569444444423</v>
      </c>
      <c r="BL488" s="201">
        <f t="shared" si="541"/>
        <v>86.80555555555533</v>
      </c>
      <c r="BM488" s="201">
        <f t="shared" si="541"/>
        <v>84.635416666666458</v>
      </c>
      <c r="BN488" s="201">
        <f t="shared" si="541"/>
        <v>82.465277777777573</v>
      </c>
      <c r="BO488" s="201">
        <f t="shared" si="541"/>
        <v>80.295138888888687</v>
      </c>
      <c r="BP488" s="201"/>
      <c r="BQ488" s="201"/>
    </row>
    <row r="489" spans="2:69" s="22" customFormat="1" outlineLevel="1">
      <c r="E489" s="28"/>
      <c r="F489" s="29"/>
      <c r="G489" s="66"/>
    </row>
    <row r="490" spans="2:69" s="22" customFormat="1" outlineLevel="1">
      <c r="B490" s="181" t="s">
        <v>1325</v>
      </c>
      <c r="C490" s="182"/>
      <c r="D490" s="182"/>
      <c r="E490" s="200"/>
      <c r="F490" s="184"/>
      <c r="G490" s="66"/>
      <c r="H490" s="182"/>
      <c r="I490" s="182"/>
      <c r="J490" s="182"/>
      <c r="K490" s="182"/>
      <c r="L490" s="182"/>
      <c r="M490" s="182"/>
      <c r="N490" s="182"/>
      <c r="O490" s="182"/>
      <c r="P490" s="182"/>
      <c r="Q490" s="182"/>
      <c r="R490" s="182"/>
      <c r="S490" s="182"/>
      <c r="T490" s="182"/>
      <c r="U490" s="182"/>
      <c r="V490" s="182"/>
      <c r="W490" s="182"/>
      <c r="X490" s="182"/>
      <c r="Y490" s="182"/>
      <c r="Z490" s="182"/>
      <c r="AA490" s="182"/>
      <c r="AB490" s="182"/>
      <c r="AC490" s="182"/>
      <c r="AD490" s="182"/>
      <c r="AE490" s="182"/>
      <c r="AF490" s="182"/>
      <c r="AG490" s="182"/>
      <c r="AH490" s="182"/>
      <c r="AI490" s="182"/>
      <c r="AJ490" s="182"/>
      <c r="AK490" s="182"/>
      <c r="AL490" s="182"/>
      <c r="AM490" s="182"/>
      <c r="AN490" s="182"/>
      <c r="AO490" s="182"/>
      <c r="AP490" s="182"/>
      <c r="AQ490" s="182"/>
      <c r="AR490" s="182"/>
      <c r="AS490" s="182"/>
      <c r="AT490" s="182"/>
      <c r="AU490" s="182"/>
      <c r="AV490" s="182"/>
      <c r="AW490" s="182"/>
      <c r="AX490" s="182"/>
      <c r="AY490" s="182"/>
      <c r="AZ490" s="182"/>
      <c r="BA490" s="182"/>
      <c r="BB490" s="182"/>
      <c r="BC490" s="182"/>
      <c r="BD490" s="182"/>
      <c r="BE490" s="182"/>
      <c r="BF490" s="182"/>
      <c r="BG490" s="182"/>
      <c r="BH490" s="182"/>
      <c r="BI490" s="182"/>
      <c r="BJ490" s="182"/>
      <c r="BK490" s="182"/>
      <c r="BL490" s="182"/>
      <c r="BM490" s="182"/>
      <c r="BN490" s="182"/>
      <c r="BO490" s="182"/>
      <c r="BP490" s="182"/>
      <c r="BQ490" s="182"/>
    </row>
    <row r="491" spans="2:69" s="22" customFormat="1" outlineLevel="1">
      <c r="B491" s="182"/>
      <c r="C491" s="182" t="s">
        <v>1326</v>
      </c>
      <c r="D491" s="182"/>
      <c r="E491" s="200"/>
      <c r="F491" s="184"/>
      <c r="G491" s="66"/>
      <c r="H491" s="239">
        <f>_xlfn.XLOOKUP(H11,Assumptions!$F$64:$F$68,Assumptions!$H$64:$H$68)</f>
        <v>4.5999999999999999E-2</v>
      </c>
      <c r="I491" s="239">
        <f>_xlfn.XLOOKUP(I11,Assumptions!$F$64:$F$68,Assumptions!$H$64:$H$68)</f>
        <v>4.5999999999999999E-2</v>
      </c>
      <c r="J491" s="239">
        <f>_xlfn.XLOOKUP(J11,Assumptions!$F$64:$F$68,Assumptions!$H$64:$H$68)</f>
        <v>4.5999999999999999E-2</v>
      </c>
      <c r="K491" s="239">
        <f>_xlfn.XLOOKUP(K11,Assumptions!$F$64:$F$68,Assumptions!$H$64:$H$68)</f>
        <v>4.5999999999999999E-2</v>
      </c>
      <c r="L491" s="239">
        <f>_xlfn.XLOOKUP(L11,Assumptions!$F$64:$F$68,Assumptions!$H$64:$H$68)</f>
        <v>4.5999999999999999E-2</v>
      </c>
      <c r="M491" s="239">
        <f>_xlfn.XLOOKUP(M11,Assumptions!$F$64:$F$68,Assumptions!$H$64:$H$68)</f>
        <v>4.5999999999999999E-2</v>
      </c>
      <c r="N491" s="239">
        <f>_xlfn.XLOOKUP(N11,Assumptions!$F$64:$F$68,Assumptions!$H$64:$H$68)</f>
        <v>4.5999999999999999E-2</v>
      </c>
      <c r="O491" s="239">
        <f>_xlfn.XLOOKUP(O11,Assumptions!$F$64:$F$68,Assumptions!$H$64:$H$68)</f>
        <v>4.5999999999999999E-2</v>
      </c>
      <c r="P491" s="239">
        <f>_xlfn.XLOOKUP(P11,Assumptions!$F$64:$F$68,Assumptions!$H$64:$H$68)</f>
        <v>4.5999999999999999E-2</v>
      </c>
      <c r="Q491" s="239">
        <f>_xlfn.XLOOKUP(Q11,Assumptions!$F$64:$F$68,Assumptions!$H$64:$H$68)</f>
        <v>4.5999999999999999E-2</v>
      </c>
      <c r="R491" s="239">
        <f>_xlfn.XLOOKUP(R11,Assumptions!$F$64:$F$68,Assumptions!$H$64:$H$68)</f>
        <v>4.5999999999999999E-2</v>
      </c>
      <c r="S491" s="239">
        <f>_xlfn.XLOOKUP(S11,Assumptions!$F$64:$F$68,Assumptions!$H$64:$H$68)</f>
        <v>4.5999999999999999E-2</v>
      </c>
      <c r="T491" s="239">
        <f>_xlfn.XLOOKUP(T11,Assumptions!$F$64:$F$68,Assumptions!$H$64:$H$68)</f>
        <v>0.04</v>
      </c>
      <c r="U491" s="239">
        <f>_xlfn.XLOOKUP(U11,Assumptions!$F$64:$F$68,Assumptions!$H$64:$H$68)</f>
        <v>0.04</v>
      </c>
      <c r="V491" s="239">
        <f>_xlfn.XLOOKUP(V11,Assumptions!$F$64:$F$68,Assumptions!$H$64:$H$68)</f>
        <v>0.04</v>
      </c>
      <c r="W491" s="239">
        <f>_xlfn.XLOOKUP(W11,Assumptions!$F$64:$F$68,Assumptions!$H$64:$H$68)</f>
        <v>0.04</v>
      </c>
      <c r="X491" s="239">
        <f>_xlfn.XLOOKUP(X11,Assumptions!$F$64:$F$68,Assumptions!$H$64:$H$68)</f>
        <v>0.04</v>
      </c>
      <c r="Y491" s="239">
        <f>_xlfn.XLOOKUP(Y11,Assumptions!$F$64:$F$68,Assumptions!$H$64:$H$68)</f>
        <v>0.04</v>
      </c>
      <c r="Z491" s="239">
        <f>_xlfn.XLOOKUP(Z11,Assumptions!$F$64:$F$68,Assumptions!$H$64:$H$68)</f>
        <v>0.04</v>
      </c>
      <c r="AA491" s="239">
        <f>_xlfn.XLOOKUP(AA11,Assumptions!$F$64:$F$68,Assumptions!$H$64:$H$68)</f>
        <v>0.04</v>
      </c>
      <c r="AB491" s="239">
        <f>_xlfn.XLOOKUP(AB11,Assumptions!$F$64:$F$68,Assumptions!$H$64:$H$68)</f>
        <v>0.04</v>
      </c>
      <c r="AC491" s="239">
        <f>_xlfn.XLOOKUP(AC11,Assumptions!$F$64:$F$68,Assumptions!$H$64:$H$68)</f>
        <v>0.04</v>
      </c>
      <c r="AD491" s="239">
        <f>_xlfn.XLOOKUP(AD11,Assumptions!$F$64:$F$68,Assumptions!$H$64:$H$68)</f>
        <v>0.04</v>
      </c>
      <c r="AE491" s="239">
        <f>_xlfn.XLOOKUP(AE11,Assumptions!$F$64:$F$68,Assumptions!$H$64:$H$68)</f>
        <v>0.04</v>
      </c>
      <c r="AF491" s="239">
        <f>_xlfn.XLOOKUP(AF11,Assumptions!$F$64:$F$68,Assumptions!$H$64:$H$68)</f>
        <v>3.5000000000000003E-2</v>
      </c>
      <c r="AG491" s="239">
        <f>_xlfn.XLOOKUP(AG11,Assumptions!$F$64:$F$68,Assumptions!$H$64:$H$68)</f>
        <v>3.5000000000000003E-2</v>
      </c>
      <c r="AH491" s="239">
        <f>_xlfn.XLOOKUP(AH11,Assumptions!$F$64:$F$68,Assumptions!$H$64:$H$68)</f>
        <v>3.5000000000000003E-2</v>
      </c>
      <c r="AI491" s="239">
        <f>_xlfn.XLOOKUP(AI11,Assumptions!$F$64:$F$68,Assumptions!$H$64:$H$68)</f>
        <v>3.5000000000000003E-2</v>
      </c>
      <c r="AJ491" s="239">
        <f>_xlfn.XLOOKUP(AJ11,Assumptions!$F$64:$F$68,Assumptions!$H$64:$H$68)</f>
        <v>3.5000000000000003E-2</v>
      </c>
      <c r="AK491" s="239">
        <f>_xlfn.XLOOKUP(AK11,Assumptions!$F$64:$F$68,Assumptions!$H$64:$H$68)</f>
        <v>3.5000000000000003E-2</v>
      </c>
      <c r="AL491" s="239">
        <f>_xlfn.XLOOKUP(AL11,Assumptions!$F$64:$F$68,Assumptions!$H$64:$H$68)</f>
        <v>3.5000000000000003E-2</v>
      </c>
      <c r="AM491" s="239">
        <f>_xlfn.XLOOKUP(AM11,Assumptions!$F$64:$F$68,Assumptions!$H$64:$H$68)</f>
        <v>3.5000000000000003E-2</v>
      </c>
      <c r="AN491" s="239">
        <f>_xlfn.XLOOKUP(AN11,Assumptions!$F$64:$F$68,Assumptions!$H$64:$H$68)</f>
        <v>3.5000000000000003E-2</v>
      </c>
      <c r="AO491" s="239">
        <f>_xlfn.XLOOKUP(AO11,Assumptions!$F$64:$F$68,Assumptions!$H$64:$H$68)</f>
        <v>3.5000000000000003E-2</v>
      </c>
      <c r="AP491" s="239">
        <f>_xlfn.XLOOKUP(AP11,Assumptions!$F$64:$F$68,Assumptions!$H$64:$H$68)</f>
        <v>3.5000000000000003E-2</v>
      </c>
      <c r="AQ491" s="239">
        <f>_xlfn.XLOOKUP(AQ11,Assumptions!$F$64:$F$68,Assumptions!$H$64:$H$68)</f>
        <v>3.5000000000000003E-2</v>
      </c>
      <c r="AR491" s="239">
        <f>_xlfn.XLOOKUP(AR11,Assumptions!$F$64:$F$68,Assumptions!$H$64:$H$68)</f>
        <v>3.5000000000000003E-2</v>
      </c>
      <c r="AS491" s="239">
        <f>_xlfn.XLOOKUP(AS11,Assumptions!$F$64:$F$68,Assumptions!$H$64:$H$68)</f>
        <v>3.5000000000000003E-2</v>
      </c>
      <c r="AT491" s="239">
        <f>_xlfn.XLOOKUP(AT11,Assumptions!$F$64:$F$68,Assumptions!$H$64:$H$68)</f>
        <v>3.5000000000000003E-2</v>
      </c>
      <c r="AU491" s="239">
        <f>_xlfn.XLOOKUP(AU11,Assumptions!$F$64:$F$68,Assumptions!$H$64:$H$68)</f>
        <v>3.5000000000000003E-2</v>
      </c>
      <c r="AV491" s="239">
        <f>_xlfn.XLOOKUP(AV11,Assumptions!$F$64:$F$68,Assumptions!$H$64:$H$68)</f>
        <v>3.5000000000000003E-2</v>
      </c>
      <c r="AW491" s="239">
        <f>_xlfn.XLOOKUP(AW11,Assumptions!$F$64:$F$68,Assumptions!$H$64:$H$68)</f>
        <v>3.5000000000000003E-2</v>
      </c>
      <c r="AX491" s="239">
        <f>_xlfn.XLOOKUP(AX11,Assumptions!$F$64:$F$68,Assumptions!$H$64:$H$68)</f>
        <v>3.5000000000000003E-2</v>
      </c>
      <c r="AY491" s="239">
        <f>_xlfn.XLOOKUP(AY11,Assumptions!$F$64:$F$68,Assumptions!$H$64:$H$68)</f>
        <v>3.5000000000000003E-2</v>
      </c>
      <c r="AZ491" s="239">
        <f>_xlfn.XLOOKUP(AZ11,Assumptions!$F$64:$F$68,Assumptions!$H$64:$H$68)</f>
        <v>3.5000000000000003E-2</v>
      </c>
      <c r="BA491" s="239">
        <f>_xlfn.XLOOKUP(BA11,Assumptions!$F$64:$F$68,Assumptions!$H$64:$H$68)</f>
        <v>3.5000000000000003E-2</v>
      </c>
      <c r="BB491" s="239">
        <f>_xlfn.XLOOKUP(BB11,Assumptions!$F$64:$F$68,Assumptions!$H$64:$H$68)</f>
        <v>3.5000000000000003E-2</v>
      </c>
      <c r="BC491" s="239">
        <f>_xlfn.XLOOKUP(BC11,Assumptions!$F$64:$F$68,Assumptions!$H$64:$H$68)</f>
        <v>3.5000000000000003E-2</v>
      </c>
      <c r="BD491" s="239">
        <f>_xlfn.XLOOKUP(BD11,Assumptions!$F$64:$F$68,Assumptions!$H$64:$H$68)</f>
        <v>3.5000000000000003E-2</v>
      </c>
      <c r="BE491" s="239">
        <f>_xlfn.XLOOKUP(BE11,Assumptions!$F$64:$F$68,Assumptions!$H$64:$H$68)</f>
        <v>3.5000000000000003E-2</v>
      </c>
      <c r="BF491" s="239">
        <f>_xlfn.XLOOKUP(BF11,Assumptions!$F$64:$F$68,Assumptions!$H$64:$H$68)</f>
        <v>3.5000000000000003E-2</v>
      </c>
      <c r="BG491" s="239">
        <f>_xlfn.XLOOKUP(BG11,Assumptions!$F$64:$F$68,Assumptions!$H$64:$H$68)</f>
        <v>3.5000000000000003E-2</v>
      </c>
      <c r="BH491" s="239">
        <f>_xlfn.XLOOKUP(BH11,Assumptions!$F$64:$F$68,Assumptions!$H$64:$H$68)</f>
        <v>3.5000000000000003E-2</v>
      </c>
      <c r="BI491" s="239">
        <f>_xlfn.XLOOKUP(BI11,Assumptions!$F$64:$F$68,Assumptions!$H$64:$H$68)</f>
        <v>3.5000000000000003E-2</v>
      </c>
      <c r="BJ491" s="239">
        <f>_xlfn.XLOOKUP(BJ11,Assumptions!$F$64:$F$68,Assumptions!$H$64:$H$68)</f>
        <v>3.5000000000000003E-2</v>
      </c>
      <c r="BK491" s="239">
        <f>_xlfn.XLOOKUP(BK11,Assumptions!$F$64:$F$68,Assumptions!$H$64:$H$68)</f>
        <v>3.5000000000000003E-2</v>
      </c>
      <c r="BL491" s="239">
        <f>_xlfn.XLOOKUP(BL11,Assumptions!$F$64:$F$68,Assumptions!$H$64:$H$68)</f>
        <v>3.5000000000000003E-2</v>
      </c>
      <c r="BM491" s="239">
        <f>_xlfn.XLOOKUP(BM11,Assumptions!$F$64:$F$68,Assumptions!$H$64:$H$68)</f>
        <v>3.5000000000000003E-2</v>
      </c>
      <c r="BN491" s="239">
        <f>_xlfn.XLOOKUP(BN11,Assumptions!$F$64:$F$68,Assumptions!$H$64:$H$68)</f>
        <v>3.5000000000000003E-2</v>
      </c>
      <c r="BO491" s="239">
        <f>_xlfn.XLOOKUP(BO11,Assumptions!$F$64:$F$68,Assumptions!$H$64:$H$68)</f>
        <v>3.5000000000000003E-2</v>
      </c>
      <c r="BP491" s="239"/>
      <c r="BQ491" s="239"/>
    </row>
    <row r="492" spans="2:69" s="22" customFormat="1" outlineLevel="1">
      <c r="B492" s="182"/>
      <c r="C492" s="182" t="s">
        <v>1327</v>
      </c>
      <c r="D492" s="240">
        <f>Assumptions!H62</f>
        <v>3.5000000000000003E-2</v>
      </c>
      <c r="E492" s="241" t="s">
        <v>1324</v>
      </c>
      <c r="F492" s="184" t="s">
        <v>62</v>
      </c>
      <c r="G492" s="66"/>
      <c r="H492" s="242">
        <f>$D$492</f>
        <v>3.5000000000000003E-2</v>
      </c>
      <c r="I492" s="242">
        <f t="shared" ref="I492:BO492" si="542">$D$492</f>
        <v>3.5000000000000003E-2</v>
      </c>
      <c r="J492" s="242">
        <f t="shared" si="542"/>
        <v>3.5000000000000003E-2</v>
      </c>
      <c r="K492" s="242">
        <f t="shared" si="542"/>
        <v>3.5000000000000003E-2</v>
      </c>
      <c r="L492" s="242">
        <f t="shared" si="542"/>
        <v>3.5000000000000003E-2</v>
      </c>
      <c r="M492" s="242">
        <f t="shared" si="542"/>
        <v>3.5000000000000003E-2</v>
      </c>
      <c r="N492" s="242">
        <f t="shared" si="542"/>
        <v>3.5000000000000003E-2</v>
      </c>
      <c r="O492" s="242">
        <f t="shared" si="542"/>
        <v>3.5000000000000003E-2</v>
      </c>
      <c r="P492" s="242">
        <f t="shared" si="542"/>
        <v>3.5000000000000003E-2</v>
      </c>
      <c r="Q492" s="242">
        <f t="shared" si="542"/>
        <v>3.5000000000000003E-2</v>
      </c>
      <c r="R492" s="242">
        <f t="shared" si="542"/>
        <v>3.5000000000000003E-2</v>
      </c>
      <c r="S492" s="242">
        <f t="shared" si="542"/>
        <v>3.5000000000000003E-2</v>
      </c>
      <c r="T492" s="242">
        <f t="shared" si="542"/>
        <v>3.5000000000000003E-2</v>
      </c>
      <c r="U492" s="242">
        <f t="shared" si="542"/>
        <v>3.5000000000000003E-2</v>
      </c>
      <c r="V492" s="242">
        <f t="shared" si="542"/>
        <v>3.5000000000000003E-2</v>
      </c>
      <c r="W492" s="242">
        <f t="shared" si="542"/>
        <v>3.5000000000000003E-2</v>
      </c>
      <c r="X492" s="242">
        <f t="shared" si="542"/>
        <v>3.5000000000000003E-2</v>
      </c>
      <c r="Y492" s="242">
        <f t="shared" si="542"/>
        <v>3.5000000000000003E-2</v>
      </c>
      <c r="Z492" s="242">
        <f t="shared" si="542"/>
        <v>3.5000000000000003E-2</v>
      </c>
      <c r="AA492" s="242">
        <f t="shared" si="542"/>
        <v>3.5000000000000003E-2</v>
      </c>
      <c r="AB492" s="242">
        <f t="shared" si="542"/>
        <v>3.5000000000000003E-2</v>
      </c>
      <c r="AC492" s="242">
        <f t="shared" si="542"/>
        <v>3.5000000000000003E-2</v>
      </c>
      <c r="AD492" s="242">
        <f t="shared" si="542"/>
        <v>3.5000000000000003E-2</v>
      </c>
      <c r="AE492" s="242">
        <f t="shared" si="542"/>
        <v>3.5000000000000003E-2</v>
      </c>
      <c r="AF492" s="242">
        <f t="shared" si="542"/>
        <v>3.5000000000000003E-2</v>
      </c>
      <c r="AG492" s="242">
        <f t="shared" si="542"/>
        <v>3.5000000000000003E-2</v>
      </c>
      <c r="AH492" s="242">
        <f t="shared" si="542"/>
        <v>3.5000000000000003E-2</v>
      </c>
      <c r="AI492" s="242">
        <f t="shared" si="542"/>
        <v>3.5000000000000003E-2</v>
      </c>
      <c r="AJ492" s="242">
        <f t="shared" si="542"/>
        <v>3.5000000000000003E-2</v>
      </c>
      <c r="AK492" s="242">
        <f t="shared" si="542"/>
        <v>3.5000000000000003E-2</v>
      </c>
      <c r="AL492" s="242">
        <f t="shared" si="542"/>
        <v>3.5000000000000003E-2</v>
      </c>
      <c r="AM492" s="242">
        <f t="shared" si="542"/>
        <v>3.5000000000000003E-2</v>
      </c>
      <c r="AN492" s="242">
        <f t="shared" si="542"/>
        <v>3.5000000000000003E-2</v>
      </c>
      <c r="AO492" s="242">
        <f t="shared" si="542"/>
        <v>3.5000000000000003E-2</v>
      </c>
      <c r="AP492" s="242">
        <f t="shared" si="542"/>
        <v>3.5000000000000003E-2</v>
      </c>
      <c r="AQ492" s="242">
        <f t="shared" si="542"/>
        <v>3.5000000000000003E-2</v>
      </c>
      <c r="AR492" s="242">
        <f t="shared" si="542"/>
        <v>3.5000000000000003E-2</v>
      </c>
      <c r="AS492" s="242">
        <f t="shared" si="542"/>
        <v>3.5000000000000003E-2</v>
      </c>
      <c r="AT492" s="242">
        <f t="shared" si="542"/>
        <v>3.5000000000000003E-2</v>
      </c>
      <c r="AU492" s="242">
        <f t="shared" si="542"/>
        <v>3.5000000000000003E-2</v>
      </c>
      <c r="AV492" s="242">
        <f t="shared" si="542"/>
        <v>3.5000000000000003E-2</v>
      </c>
      <c r="AW492" s="242">
        <f t="shared" si="542"/>
        <v>3.5000000000000003E-2</v>
      </c>
      <c r="AX492" s="242">
        <f t="shared" si="542"/>
        <v>3.5000000000000003E-2</v>
      </c>
      <c r="AY492" s="242">
        <f t="shared" si="542"/>
        <v>3.5000000000000003E-2</v>
      </c>
      <c r="AZ492" s="242">
        <f t="shared" si="542"/>
        <v>3.5000000000000003E-2</v>
      </c>
      <c r="BA492" s="242">
        <f t="shared" si="542"/>
        <v>3.5000000000000003E-2</v>
      </c>
      <c r="BB492" s="242">
        <f t="shared" si="542"/>
        <v>3.5000000000000003E-2</v>
      </c>
      <c r="BC492" s="242">
        <f t="shared" si="542"/>
        <v>3.5000000000000003E-2</v>
      </c>
      <c r="BD492" s="242">
        <f t="shared" si="542"/>
        <v>3.5000000000000003E-2</v>
      </c>
      <c r="BE492" s="242">
        <f t="shared" si="542"/>
        <v>3.5000000000000003E-2</v>
      </c>
      <c r="BF492" s="242">
        <f t="shared" si="542"/>
        <v>3.5000000000000003E-2</v>
      </c>
      <c r="BG492" s="242">
        <f t="shared" si="542"/>
        <v>3.5000000000000003E-2</v>
      </c>
      <c r="BH492" s="242">
        <f t="shared" si="542"/>
        <v>3.5000000000000003E-2</v>
      </c>
      <c r="BI492" s="242">
        <f t="shared" si="542"/>
        <v>3.5000000000000003E-2</v>
      </c>
      <c r="BJ492" s="242">
        <f t="shared" si="542"/>
        <v>3.5000000000000003E-2</v>
      </c>
      <c r="BK492" s="242">
        <f t="shared" si="542"/>
        <v>3.5000000000000003E-2</v>
      </c>
      <c r="BL492" s="242">
        <f t="shared" si="542"/>
        <v>3.5000000000000003E-2</v>
      </c>
      <c r="BM492" s="242">
        <f t="shared" si="542"/>
        <v>3.5000000000000003E-2</v>
      </c>
      <c r="BN492" s="242">
        <f t="shared" si="542"/>
        <v>3.5000000000000003E-2</v>
      </c>
      <c r="BO492" s="242">
        <f t="shared" si="542"/>
        <v>3.5000000000000003E-2</v>
      </c>
      <c r="BP492" s="242"/>
      <c r="BQ492" s="242"/>
    </row>
    <row r="493" spans="2:69" s="31" customFormat="1" outlineLevel="1">
      <c r="B493" s="208"/>
      <c r="C493" s="227" t="s">
        <v>1328</v>
      </c>
      <c r="D493" s="227"/>
      <c r="E493" s="228"/>
      <c r="F493" s="243"/>
      <c r="G493" s="213"/>
      <c r="H493" s="244">
        <f>SUM(H491:H492)</f>
        <v>8.1000000000000003E-2</v>
      </c>
      <c r="I493" s="244">
        <f t="shared" ref="I493:BO493" si="543">SUM(I491:I492)</f>
        <v>8.1000000000000003E-2</v>
      </c>
      <c r="J493" s="244">
        <f t="shared" si="543"/>
        <v>8.1000000000000003E-2</v>
      </c>
      <c r="K493" s="244">
        <f t="shared" si="543"/>
        <v>8.1000000000000003E-2</v>
      </c>
      <c r="L493" s="244">
        <f t="shared" si="543"/>
        <v>8.1000000000000003E-2</v>
      </c>
      <c r="M493" s="244">
        <f t="shared" si="543"/>
        <v>8.1000000000000003E-2</v>
      </c>
      <c r="N493" s="244">
        <f t="shared" si="543"/>
        <v>8.1000000000000003E-2</v>
      </c>
      <c r="O493" s="244">
        <f t="shared" si="543"/>
        <v>8.1000000000000003E-2</v>
      </c>
      <c r="P493" s="244">
        <f t="shared" si="543"/>
        <v>8.1000000000000003E-2</v>
      </c>
      <c r="Q493" s="244">
        <f t="shared" si="543"/>
        <v>8.1000000000000003E-2</v>
      </c>
      <c r="R493" s="244">
        <f t="shared" si="543"/>
        <v>8.1000000000000003E-2</v>
      </c>
      <c r="S493" s="244">
        <f t="shared" si="543"/>
        <v>8.1000000000000003E-2</v>
      </c>
      <c r="T493" s="244">
        <f t="shared" si="543"/>
        <v>7.5000000000000011E-2</v>
      </c>
      <c r="U493" s="244">
        <f t="shared" si="543"/>
        <v>7.5000000000000011E-2</v>
      </c>
      <c r="V493" s="244">
        <f t="shared" si="543"/>
        <v>7.5000000000000011E-2</v>
      </c>
      <c r="W493" s="244">
        <f t="shared" si="543"/>
        <v>7.5000000000000011E-2</v>
      </c>
      <c r="X493" s="244">
        <f t="shared" si="543"/>
        <v>7.5000000000000011E-2</v>
      </c>
      <c r="Y493" s="244">
        <f t="shared" si="543"/>
        <v>7.5000000000000011E-2</v>
      </c>
      <c r="Z493" s="244">
        <f t="shared" si="543"/>
        <v>7.5000000000000011E-2</v>
      </c>
      <c r="AA493" s="244">
        <f t="shared" si="543"/>
        <v>7.5000000000000011E-2</v>
      </c>
      <c r="AB493" s="244">
        <f t="shared" si="543"/>
        <v>7.5000000000000011E-2</v>
      </c>
      <c r="AC493" s="244">
        <f t="shared" si="543"/>
        <v>7.5000000000000011E-2</v>
      </c>
      <c r="AD493" s="244">
        <f t="shared" si="543"/>
        <v>7.5000000000000011E-2</v>
      </c>
      <c r="AE493" s="244">
        <f t="shared" si="543"/>
        <v>7.5000000000000011E-2</v>
      </c>
      <c r="AF493" s="244">
        <f t="shared" si="543"/>
        <v>7.0000000000000007E-2</v>
      </c>
      <c r="AG493" s="244">
        <f t="shared" si="543"/>
        <v>7.0000000000000007E-2</v>
      </c>
      <c r="AH493" s="244">
        <f t="shared" si="543"/>
        <v>7.0000000000000007E-2</v>
      </c>
      <c r="AI493" s="244">
        <f t="shared" si="543"/>
        <v>7.0000000000000007E-2</v>
      </c>
      <c r="AJ493" s="244">
        <f t="shared" si="543"/>
        <v>7.0000000000000007E-2</v>
      </c>
      <c r="AK493" s="244">
        <f t="shared" si="543"/>
        <v>7.0000000000000007E-2</v>
      </c>
      <c r="AL493" s="244">
        <f t="shared" si="543"/>
        <v>7.0000000000000007E-2</v>
      </c>
      <c r="AM493" s="244">
        <f t="shared" si="543"/>
        <v>7.0000000000000007E-2</v>
      </c>
      <c r="AN493" s="244">
        <f t="shared" si="543"/>
        <v>7.0000000000000007E-2</v>
      </c>
      <c r="AO493" s="244">
        <f t="shared" si="543"/>
        <v>7.0000000000000007E-2</v>
      </c>
      <c r="AP493" s="244">
        <f t="shared" si="543"/>
        <v>7.0000000000000007E-2</v>
      </c>
      <c r="AQ493" s="244">
        <f t="shared" si="543"/>
        <v>7.0000000000000007E-2</v>
      </c>
      <c r="AR493" s="244">
        <f t="shared" si="543"/>
        <v>7.0000000000000007E-2</v>
      </c>
      <c r="AS493" s="244">
        <f t="shared" si="543"/>
        <v>7.0000000000000007E-2</v>
      </c>
      <c r="AT493" s="244">
        <f t="shared" si="543"/>
        <v>7.0000000000000007E-2</v>
      </c>
      <c r="AU493" s="244">
        <f t="shared" si="543"/>
        <v>7.0000000000000007E-2</v>
      </c>
      <c r="AV493" s="244">
        <f t="shared" si="543"/>
        <v>7.0000000000000007E-2</v>
      </c>
      <c r="AW493" s="244">
        <f t="shared" si="543"/>
        <v>7.0000000000000007E-2</v>
      </c>
      <c r="AX493" s="244">
        <f t="shared" si="543"/>
        <v>7.0000000000000007E-2</v>
      </c>
      <c r="AY493" s="244">
        <f t="shared" si="543"/>
        <v>7.0000000000000007E-2</v>
      </c>
      <c r="AZ493" s="244">
        <f t="shared" si="543"/>
        <v>7.0000000000000007E-2</v>
      </c>
      <c r="BA493" s="244">
        <f t="shared" si="543"/>
        <v>7.0000000000000007E-2</v>
      </c>
      <c r="BB493" s="244">
        <f t="shared" si="543"/>
        <v>7.0000000000000007E-2</v>
      </c>
      <c r="BC493" s="244">
        <f t="shared" si="543"/>
        <v>7.0000000000000007E-2</v>
      </c>
      <c r="BD493" s="244">
        <f t="shared" si="543"/>
        <v>7.0000000000000007E-2</v>
      </c>
      <c r="BE493" s="244">
        <f t="shared" si="543"/>
        <v>7.0000000000000007E-2</v>
      </c>
      <c r="BF493" s="244">
        <f t="shared" si="543"/>
        <v>7.0000000000000007E-2</v>
      </c>
      <c r="BG493" s="244">
        <f t="shared" si="543"/>
        <v>7.0000000000000007E-2</v>
      </c>
      <c r="BH493" s="244">
        <f t="shared" si="543"/>
        <v>7.0000000000000007E-2</v>
      </c>
      <c r="BI493" s="244">
        <f t="shared" si="543"/>
        <v>7.0000000000000007E-2</v>
      </c>
      <c r="BJ493" s="244">
        <f t="shared" si="543"/>
        <v>7.0000000000000007E-2</v>
      </c>
      <c r="BK493" s="244">
        <f t="shared" si="543"/>
        <v>7.0000000000000007E-2</v>
      </c>
      <c r="BL493" s="244">
        <f t="shared" si="543"/>
        <v>7.0000000000000007E-2</v>
      </c>
      <c r="BM493" s="244">
        <f t="shared" si="543"/>
        <v>7.0000000000000007E-2</v>
      </c>
      <c r="BN493" s="244">
        <f t="shared" si="543"/>
        <v>7.0000000000000007E-2</v>
      </c>
      <c r="BO493" s="244">
        <f t="shared" si="543"/>
        <v>7.0000000000000007E-2</v>
      </c>
      <c r="BP493" s="363"/>
      <c r="BQ493" s="363"/>
    </row>
    <row r="494" spans="2:69" s="22" customFormat="1" outlineLevel="1">
      <c r="B494" s="190"/>
      <c r="C494" s="182"/>
      <c r="D494" s="182"/>
      <c r="E494" s="200"/>
      <c r="F494" s="184"/>
      <c r="G494" s="66"/>
      <c r="H494" s="182"/>
      <c r="I494" s="182"/>
      <c r="J494" s="182"/>
      <c r="K494" s="182"/>
      <c r="L494" s="182"/>
      <c r="M494" s="182"/>
      <c r="N494" s="182"/>
      <c r="O494" s="182"/>
      <c r="P494" s="182"/>
      <c r="Q494" s="182"/>
      <c r="R494" s="182"/>
      <c r="S494" s="182"/>
      <c r="T494" s="182"/>
      <c r="U494" s="182"/>
      <c r="V494" s="182"/>
      <c r="W494" s="182"/>
      <c r="X494" s="182"/>
      <c r="Y494" s="182"/>
      <c r="Z494" s="182"/>
      <c r="AA494" s="182"/>
      <c r="AB494" s="182"/>
      <c r="AC494" s="182"/>
      <c r="AD494" s="182"/>
      <c r="AE494" s="182"/>
      <c r="AF494" s="182"/>
      <c r="AG494" s="182"/>
      <c r="AH494" s="182"/>
      <c r="AI494" s="182"/>
      <c r="AJ494" s="182"/>
      <c r="AK494" s="182"/>
      <c r="AL494" s="182"/>
      <c r="AM494" s="182"/>
      <c r="AN494" s="182"/>
      <c r="AO494" s="182"/>
      <c r="AP494" s="182"/>
      <c r="AQ494" s="182"/>
      <c r="AR494" s="182"/>
      <c r="AS494" s="182"/>
      <c r="AT494" s="182"/>
      <c r="AU494" s="182"/>
      <c r="AV494" s="182"/>
      <c r="AW494" s="182"/>
      <c r="AX494" s="182"/>
      <c r="AY494" s="182"/>
      <c r="AZ494" s="182"/>
      <c r="BA494" s="182"/>
      <c r="BB494" s="182"/>
      <c r="BC494" s="182"/>
      <c r="BD494" s="182"/>
      <c r="BE494" s="182"/>
      <c r="BF494" s="182"/>
      <c r="BG494" s="182"/>
      <c r="BH494" s="182"/>
      <c r="BI494" s="182"/>
      <c r="BJ494" s="182"/>
      <c r="BK494" s="182"/>
      <c r="BL494" s="182"/>
      <c r="BM494" s="182"/>
      <c r="BN494" s="182"/>
      <c r="BO494" s="182"/>
      <c r="BP494" s="182"/>
      <c r="BQ494" s="182"/>
    </row>
    <row r="495" spans="2:69" s="22" customFormat="1" outlineLevel="1">
      <c r="B495" s="182"/>
      <c r="C495" s="182" t="s">
        <v>1305</v>
      </c>
      <c r="D495" s="226">
        <f>Assumptions!D55</f>
        <v>15000</v>
      </c>
      <c r="E495" s="226" t="s">
        <v>1319</v>
      </c>
      <c r="F495" s="184" t="s">
        <v>119</v>
      </c>
      <c r="G495" s="66"/>
      <c r="H495" s="201">
        <f>D495</f>
        <v>15000</v>
      </c>
      <c r="I495" s="189">
        <f>H498</f>
        <v>14750</v>
      </c>
      <c r="J495" s="189">
        <f t="shared" ref="J495:BO495" si="544">I498</f>
        <v>14500</v>
      </c>
      <c r="K495" s="189">
        <f t="shared" si="544"/>
        <v>14250</v>
      </c>
      <c r="L495" s="189">
        <f t="shared" si="544"/>
        <v>14000</v>
      </c>
      <c r="M495" s="189">
        <f t="shared" si="544"/>
        <v>13750</v>
      </c>
      <c r="N495" s="189">
        <f t="shared" si="544"/>
        <v>13500</v>
      </c>
      <c r="O495" s="189">
        <f t="shared" si="544"/>
        <v>13250</v>
      </c>
      <c r="P495" s="189">
        <f t="shared" si="544"/>
        <v>13000</v>
      </c>
      <c r="Q495" s="189">
        <f t="shared" si="544"/>
        <v>12750</v>
      </c>
      <c r="R495" s="189">
        <f t="shared" si="544"/>
        <v>12500</v>
      </c>
      <c r="S495" s="189">
        <f t="shared" si="544"/>
        <v>12250</v>
      </c>
      <c r="T495" s="189">
        <f t="shared" si="544"/>
        <v>12000</v>
      </c>
      <c r="U495" s="189">
        <f t="shared" si="544"/>
        <v>11750</v>
      </c>
      <c r="V495" s="189">
        <f t="shared" si="544"/>
        <v>11500</v>
      </c>
      <c r="W495" s="189">
        <f t="shared" si="544"/>
        <v>11250</v>
      </c>
      <c r="X495" s="189">
        <f t="shared" si="544"/>
        <v>11000</v>
      </c>
      <c r="Y495" s="189">
        <f t="shared" si="544"/>
        <v>10750</v>
      </c>
      <c r="Z495" s="189">
        <f t="shared" si="544"/>
        <v>10500</v>
      </c>
      <c r="AA495" s="189">
        <f t="shared" si="544"/>
        <v>10250</v>
      </c>
      <c r="AB495" s="189">
        <f t="shared" si="544"/>
        <v>10000</v>
      </c>
      <c r="AC495" s="189">
        <f t="shared" si="544"/>
        <v>9750</v>
      </c>
      <c r="AD495" s="189">
        <f t="shared" si="544"/>
        <v>9500</v>
      </c>
      <c r="AE495" s="189">
        <f t="shared" si="544"/>
        <v>9250</v>
      </c>
      <c r="AF495" s="189">
        <f t="shared" si="544"/>
        <v>9000</v>
      </c>
      <c r="AG495" s="189">
        <f t="shared" si="544"/>
        <v>8750</v>
      </c>
      <c r="AH495" s="189">
        <f t="shared" si="544"/>
        <v>8500</v>
      </c>
      <c r="AI495" s="189">
        <f t="shared" si="544"/>
        <v>8250</v>
      </c>
      <c r="AJ495" s="189">
        <f t="shared" si="544"/>
        <v>8000</v>
      </c>
      <c r="AK495" s="189">
        <f t="shared" si="544"/>
        <v>7750</v>
      </c>
      <c r="AL495" s="189">
        <f t="shared" si="544"/>
        <v>7500</v>
      </c>
      <c r="AM495" s="189">
        <f t="shared" si="544"/>
        <v>7250</v>
      </c>
      <c r="AN495" s="189">
        <f t="shared" si="544"/>
        <v>7000</v>
      </c>
      <c r="AO495" s="189">
        <f t="shared" si="544"/>
        <v>6750</v>
      </c>
      <c r="AP495" s="189">
        <f t="shared" si="544"/>
        <v>6500</v>
      </c>
      <c r="AQ495" s="189">
        <f t="shared" si="544"/>
        <v>6250</v>
      </c>
      <c r="AR495" s="189">
        <f t="shared" si="544"/>
        <v>6000</v>
      </c>
      <c r="AS495" s="189">
        <f t="shared" si="544"/>
        <v>5750</v>
      </c>
      <c r="AT495" s="189">
        <f t="shared" si="544"/>
        <v>5500</v>
      </c>
      <c r="AU495" s="189">
        <f t="shared" si="544"/>
        <v>5250</v>
      </c>
      <c r="AV495" s="189">
        <f t="shared" si="544"/>
        <v>5000</v>
      </c>
      <c r="AW495" s="189">
        <f t="shared" si="544"/>
        <v>4750</v>
      </c>
      <c r="AX495" s="189">
        <f t="shared" si="544"/>
        <v>4500</v>
      </c>
      <c r="AY495" s="189">
        <f t="shared" si="544"/>
        <v>4250</v>
      </c>
      <c r="AZ495" s="189">
        <f t="shared" si="544"/>
        <v>4000</v>
      </c>
      <c r="BA495" s="189">
        <f t="shared" si="544"/>
        <v>3750</v>
      </c>
      <c r="BB495" s="189">
        <f t="shared" si="544"/>
        <v>3500</v>
      </c>
      <c r="BC495" s="189">
        <f t="shared" si="544"/>
        <v>3250</v>
      </c>
      <c r="BD495" s="189">
        <f t="shared" si="544"/>
        <v>3000</v>
      </c>
      <c r="BE495" s="189">
        <f t="shared" si="544"/>
        <v>2750</v>
      </c>
      <c r="BF495" s="189">
        <f t="shared" si="544"/>
        <v>2500</v>
      </c>
      <c r="BG495" s="189">
        <f t="shared" si="544"/>
        <v>2250</v>
      </c>
      <c r="BH495" s="189">
        <f t="shared" si="544"/>
        <v>2000</v>
      </c>
      <c r="BI495" s="189">
        <f t="shared" si="544"/>
        <v>1750</v>
      </c>
      <c r="BJ495" s="189">
        <f t="shared" si="544"/>
        <v>1500</v>
      </c>
      <c r="BK495" s="189">
        <f t="shared" si="544"/>
        <v>1250</v>
      </c>
      <c r="BL495" s="189">
        <f t="shared" si="544"/>
        <v>1000</v>
      </c>
      <c r="BM495" s="189">
        <f t="shared" si="544"/>
        <v>750</v>
      </c>
      <c r="BN495" s="189">
        <f t="shared" si="544"/>
        <v>500</v>
      </c>
      <c r="BO495" s="189">
        <f t="shared" si="544"/>
        <v>250</v>
      </c>
      <c r="BP495" s="189"/>
      <c r="BQ495" s="189"/>
    </row>
    <row r="496" spans="2:69" s="22" customFormat="1" outlineLevel="1">
      <c r="B496" s="182"/>
      <c r="C496" s="182" t="s">
        <v>1320</v>
      </c>
      <c r="D496" s="246"/>
      <c r="E496" s="246"/>
      <c r="F496" s="184"/>
      <c r="G496" s="66"/>
      <c r="H496" s="201">
        <v>0</v>
      </c>
      <c r="I496" s="201">
        <v>0</v>
      </c>
      <c r="J496" s="201">
        <v>0</v>
      </c>
      <c r="K496" s="201">
        <v>0</v>
      </c>
      <c r="L496" s="201">
        <v>0</v>
      </c>
      <c r="M496" s="201">
        <v>0</v>
      </c>
      <c r="N496" s="201">
        <v>0</v>
      </c>
      <c r="O496" s="201">
        <v>0</v>
      </c>
      <c r="P496" s="201">
        <v>0</v>
      </c>
      <c r="Q496" s="201">
        <v>0</v>
      </c>
      <c r="R496" s="201">
        <v>0</v>
      </c>
      <c r="S496" s="201">
        <v>0</v>
      </c>
      <c r="T496" s="201">
        <v>0</v>
      </c>
      <c r="U496" s="201">
        <v>0</v>
      </c>
      <c r="V496" s="201">
        <v>0</v>
      </c>
      <c r="W496" s="201">
        <v>0</v>
      </c>
      <c r="X496" s="201">
        <v>0</v>
      </c>
      <c r="Y496" s="201">
        <v>0</v>
      </c>
      <c r="Z496" s="201">
        <v>0</v>
      </c>
      <c r="AA496" s="201">
        <v>0</v>
      </c>
      <c r="AB496" s="201">
        <v>0</v>
      </c>
      <c r="AC496" s="201">
        <v>0</v>
      </c>
      <c r="AD496" s="201">
        <v>0</v>
      </c>
      <c r="AE496" s="201">
        <v>0</v>
      </c>
      <c r="AF496" s="201">
        <v>0</v>
      </c>
      <c r="AG496" s="201">
        <v>0</v>
      </c>
      <c r="AH496" s="201">
        <v>0</v>
      </c>
      <c r="AI496" s="201">
        <v>0</v>
      </c>
      <c r="AJ496" s="201">
        <v>0</v>
      </c>
      <c r="AK496" s="201">
        <v>0</v>
      </c>
      <c r="AL496" s="201">
        <v>0</v>
      </c>
      <c r="AM496" s="201">
        <v>0</v>
      </c>
      <c r="AN496" s="201">
        <v>0</v>
      </c>
      <c r="AO496" s="201">
        <v>0</v>
      </c>
      <c r="AP496" s="201">
        <v>0</v>
      </c>
      <c r="AQ496" s="201">
        <v>0</v>
      </c>
      <c r="AR496" s="201">
        <v>0</v>
      </c>
      <c r="AS496" s="201">
        <v>0</v>
      </c>
      <c r="AT496" s="201">
        <v>0</v>
      </c>
      <c r="AU496" s="201">
        <v>0</v>
      </c>
      <c r="AV496" s="201">
        <v>0</v>
      </c>
      <c r="AW496" s="201">
        <v>0</v>
      </c>
      <c r="AX496" s="201">
        <v>0</v>
      </c>
      <c r="AY496" s="201">
        <v>0</v>
      </c>
      <c r="AZ496" s="201">
        <v>0</v>
      </c>
      <c r="BA496" s="201">
        <v>0</v>
      </c>
      <c r="BB496" s="201">
        <v>0</v>
      </c>
      <c r="BC496" s="201">
        <v>0</v>
      </c>
      <c r="BD496" s="201">
        <v>0</v>
      </c>
      <c r="BE496" s="201">
        <v>0</v>
      </c>
      <c r="BF496" s="201">
        <v>0</v>
      </c>
      <c r="BG496" s="201">
        <v>0</v>
      </c>
      <c r="BH496" s="201">
        <v>0</v>
      </c>
      <c r="BI496" s="201">
        <v>0</v>
      </c>
      <c r="BJ496" s="201">
        <v>0</v>
      </c>
      <c r="BK496" s="201">
        <v>0</v>
      </c>
      <c r="BL496" s="201">
        <v>0</v>
      </c>
      <c r="BM496" s="201">
        <v>0</v>
      </c>
      <c r="BN496" s="201">
        <v>0</v>
      </c>
      <c r="BO496" s="201">
        <v>0</v>
      </c>
      <c r="BP496" s="201"/>
      <c r="BQ496" s="201"/>
    </row>
    <row r="497" spans="2:69" s="22" customFormat="1" outlineLevel="1">
      <c r="B497" s="182"/>
      <c r="C497" s="182" t="s">
        <v>1321</v>
      </c>
      <c r="D497" s="235">
        <f>Assumptions!H61</f>
        <v>5</v>
      </c>
      <c r="E497" s="235" t="s">
        <v>1322</v>
      </c>
      <c r="F497" s="196" t="s">
        <v>119</v>
      </c>
      <c r="G497" s="66"/>
      <c r="H497" s="201">
        <f>-$H$495/($D$497*12)</f>
        <v>-250</v>
      </c>
      <c r="I497" s="201">
        <f t="shared" ref="I497:BO497" si="545">-$H$495/($D$497*12)</f>
        <v>-250</v>
      </c>
      <c r="J497" s="201">
        <f t="shared" si="545"/>
        <v>-250</v>
      </c>
      <c r="K497" s="201">
        <f t="shared" si="545"/>
        <v>-250</v>
      </c>
      <c r="L497" s="201">
        <f t="shared" si="545"/>
        <v>-250</v>
      </c>
      <c r="M497" s="201">
        <f t="shared" si="545"/>
        <v>-250</v>
      </c>
      <c r="N497" s="201">
        <f t="shared" si="545"/>
        <v>-250</v>
      </c>
      <c r="O497" s="201">
        <f t="shared" si="545"/>
        <v>-250</v>
      </c>
      <c r="P497" s="201">
        <f t="shared" si="545"/>
        <v>-250</v>
      </c>
      <c r="Q497" s="201">
        <f t="shared" si="545"/>
        <v>-250</v>
      </c>
      <c r="R497" s="201">
        <f t="shared" si="545"/>
        <v>-250</v>
      </c>
      <c r="S497" s="201">
        <f t="shared" si="545"/>
        <v>-250</v>
      </c>
      <c r="T497" s="201">
        <f t="shared" si="545"/>
        <v>-250</v>
      </c>
      <c r="U497" s="201">
        <f t="shared" si="545"/>
        <v>-250</v>
      </c>
      <c r="V497" s="201">
        <f t="shared" si="545"/>
        <v>-250</v>
      </c>
      <c r="W497" s="201">
        <f t="shared" si="545"/>
        <v>-250</v>
      </c>
      <c r="X497" s="201">
        <f t="shared" si="545"/>
        <v>-250</v>
      </c>
      <c r="Y497" s="201">
        <f t="shared" si="545"/>
        <v>-250</v>
      </c>
      <c r="Z497" s="201">
        <f t="shared" si="545"/>
        <v>-250</v>
      </c>
      <c r="AA497" s="201">
        <f t="shared" si="545"/>
        <v>-250</v>
      </c>
      <c r="AB497" s="201">
        <f t="shared" si="545"/>
        <v>-250</v>
      </c>
      <c r="AC497" s="201">
        <f t="shared" si="545"/>
        <v>-250</v>
      </c>
      <c r="AD497" s="201">
        <f t="shared" si="545"/>
        <v>-250</v>
      </c>
      <c r="AE497" s="201">
        <f t="shared" si="545"/>
        <v>-250</v>
      </c>
      <c r="AF497" s="201">
        <f t="shared" si="545"/>
        <v>-250</v>
      </c>
      <c r="AG497" s="201">
        <f t="shared" si="545"/>
        <v>-250</v>
      </c>
      <c r="AH497" s="201">
        <f t="shared" si="545"/>
        <v>-250</v>
      </c>
      <c r="AI497" s="201">
        <f t="shared" si="545"/>
        <v>-250</v>
      </c>
      <c r="AJ497" s="201">
        <f t="shared" si="545"/>
        <v>-250</v>
      </c>
      <c r="AK497" s="201">
        <f t="shared" si="545"/>
        <v>-250</v>
      </c>
      <c r="AL497" s="201">
        <f t="shared" si="545"/>
        <v>-250</v>
      </c>
      <c r="AM497" s="201">
        <f t="shared" si="545"/>
        <v>-250</v>
      </c>
      <c r="AN497" s="201">
        <f t="shared" si="545"/>
        <v>-250</v>
      </c>
      <c r="AO497" s="201">
        <f t="shared" si="545"/>
        <v>-250</v>
      </c>
      <c r="AP497" s="201">
        <f t="shared" si="545"/>
        <v>-250</v>
      </c>
      <c r="AQ497" s="201">
        <f t="shared" si="545"/>
        <v>-250</v>
      </c>
      <c r="AR497" s="201">
        <f t="shared" si="545"/>
        <v>-250</v>
      </c>
      <c r="AS497" s="201">
        <f t="shared" si="545"/>
        <v>-250</v>
      </c>
      <c r="AT497" s="201">
        <f t="shared" si="545"/>
        <v>-250</v>
      </c>
      <c r="AU497" s="201">
        <f t="shared" si="545"/>
        <v>-250</v>
      </c>
      <c r="AV497" s="201">
        <f t="shared" si="545"/>
        <v>-250</v>
      </c>
      <c r="AW497" s="201">
        <f t="shared" si="545"/>
        <v>-250</v>
      </c>
      <c r="AX497" s="201">
        <f t="shared" si="545"/>
        <v>-250</v>
      </c>
      <c r="AY497" s="201">
        <f t="shared" si="545"/>
        <v>-250</v>
      </c>
      <c r="AZ497" s="201">
        <f t="shared" si="545"/>
        <v>-250</v>
      </c>
      <c r="BA497" s="201">
        <f t="shared" si="545"/>
        <v>-250</v>
      </c>
      <c r="BB497" s="201">
        <f t="shared" si="545"/>
        <v>-250</v>
      </c>
      <c r="BC497" s="201">
        <f t="shared" si="545"/>
        <v>-250</v>
      </c>
      <c r="BD497" s="201">
        <f t="shared" si="545"/>
        <v>-250</v>
      </c>
      <c r="BE497" s="201">
        <f t="shared" si="545"/>
        <v>-250</v>
      </c>
      <c r="BF497" s="201">
        <f t="shared" si="545"/>
        <v>-250</v>
      </c>
      <c r="BG497" s="201">
        <f t="shared" si="545"/>
        <v>-250</v>
      </c>
      <c r="BH497" s="201">
        <f t="shared" si="545"/>
        <v>-250</v>
      </c>
      <c r="BI497" s="201">
        <f t="shared" si="545"/>
        <v>-250</v>
      </c>
      <c r="BJ497" s="201">
        <f t="shared" si="545"/>
        <v>-250</v>
      </c>
      <c r="BK497" s="201">
        <f t="shared" si="545"/>
        <v>-250</v>
      </c>
      <c r="BL497" s="201">
        <f t="shared" si="545"/>
        <v>-250</v>
      </c>
      <c r="BM497" s="201">
        <f t="shared" si="545"/>
        <v>-250</v>
      </c>
      <c r="BN497" s="201">
        <f t="shared" si="545"/>
        <v>-250</v>
      </c>
      <c r="BO497" s="201">
        <f t="shared" si="545"/>
        <v>-250</v>
      </c>
      <c r="BP497" s="201"/>
      <c r="BQ497" s="201"/>
    </row>
    <row r="498" spans="2:69" s="31" customFormat="1" outlineLevel="1">
      <c r="B498" s="208"/>
      <c r="C498" s="227" t="s">
        <v>1311</v>
      </c>
      <c r="D498" s="208"/>
      <c r="E498" s="190"/>
      <c r="F498" s="209" t="s">
        <v>119</v>
      </c>
      <c r="G498" s="213"/>
      <c r="H498" s="229">
        <f t="shared" ref="H498:AM498" si="546">SUM(H495:H497)</f>
        <v>14750</v>
      </c>
      <c r="I498" s="229">
        <f t="shared" si="546"/>
        <v>14500</v>
      </c>
      <c r="J498" s="229">
        <f t="shared" si="546"/>
        <v>14250</v>
      </c>
      <c r="K498" s="229">
        <f t="shared" si="546"/>
        <v>14000</v>
      </c>
      <c r="L498" s="229">
        <f t="shared" si="546"/>
        <v>13750</v>
      </c>
      <c r="M498" s="229">
        <f t="shared" si="546"/>
        <v>13500</v>
      </c>
      <c r="N498" s="229">
        <f t="shared" si="546"/>
        <v>13250</v>
      </c>
      <c r="O498" s="229">
        <f t="shared" si="546"/>
        <v>13000</v>
      </c>
      <c r="P498" s="229">
        <f t="shared" si="546"/>
        <v>12750</v>
      </c>
      <c r="Q498" s="229">
        <f t="shared" si="546"/>
        <v>12500</v>
      </c>
      <c r="R498" s="229">
        <f t="shared" si="546"/>
        <v>12250</v>
      </c>
      <c r="S498" s="229">
        <f t="shared" si="546"/>
        <v>12000</v>
      </c>
      <c r="T498" s="229">
        <f t="shared" si="546"/>
        <v>11750</v>
      </c>
      <c r="U498" s="229">
        <f t="shared" si="546"/>
        <v>11500</v>
      </c>
      <c r="V498" s="229">
        <f t="shared" si="546"/>
        <v>11250</v>
      </c>
      <c r="W498" s="229">
        <f t="shared" si="546"/>
        <v>11000</v>
      </c>
      <c r="X498" s="229">
        <f t="shared" si="546"/>
        <v>10750</v>
      </c>
      <c r="Y498" s="229">
        <f t="shared" si="546"/>
        <v>10500</v>
      </c>
      <c r="Z498" s="229">
        <f t="shared" si="546"/>
        <v>10250</v>
      </c>
      <c r="AA498" s="229">
        <f t="shared" si="546"/>
        <v>10000</v>
      </c>
      <c r="AB498" s="229">
        <f t="shared" si="546"/>
        <v>9750</v>
      </c>
      <c r="AC498" s="229">
        <f t="shared" si="546"/>
        <v>9500</v>
      </c>
      <c r="AD498" s="229">
        <f t="shared" si="546"/>
        <v>9250</v>
      </c>
      <c r="AE498" s="229">
        <f t="shared" si="546"/>
        <v>9000</v>
      </c>
      <c r="AF498" s="229">
        <f t="shared" si="546"/>
        <v>8750</v>
      </c>
      <c r="AG498" s="229">
        <f t="shared" si="546"/>
        <v>8500</v>
      </c>
      <c r="AH498" s="229">
        <f t="shared" si="546"/>
        <v>8250</v>
      </c>
      <c r="AI498" s="229">
        <f t="shared" si="546"/>
        <v>8000</v>
      </c>
      <c r="AJ498" s="229">
        <f t="shared" si="546"/>
        <v>7750</v>
      </c>
      <c r="AK498" s="229">
        <f t="shared" si="546"/>
        <v>7500</v>
      </c>
      <c r="AL498" s="229">
        <f t="shared" si="546"/>
        <v>7250</v>
      </c>
      <c r="AM498" s="229">
        <f t="shared" si="546"/>
        <v>7000</v>
      </c>
      <c r="AN498" s="229">
        <f t="shared" ref="AN498:BO498" si="547">SUM(AN495:AN497)</f>
        <v>6750</v>
      </c>
      <c r="AO498" s="229">
        <f t="shared" si="547"/>
        <v>6500</v>
      </c>
      <c r="AP498" s="229">
        <f t="shared" si="547"/>
        <v>6250</v>
      </c>
      <c r="AQ498" s="229">
        <f t="shared" si="547"/>
        <v>6000</v>
      </c>
      <c r="AR498" s="229">
        <f t="shared" si="547"/>
        <v>5750</v>
      </c>
      <c r="AS498" s="229">
        <f t="shared" si="547"/>
        <v>5500</v>
      </c>
      <c r="AT498" s="229">
        <f t="shared" si="547"/>
        <v>5250</v>
      </c>
      <c r="AU498" s="229">
        <f t="shared" si="547"/>
        <v>5000</v>
      </c>
      <c r="AV498" s="229">
        <f t="shared" si="547"/>
        <v>4750</v>
      </c>
      <c r="AW498" s="229">
        <f t="shared" si="547"/>
        <v>4500</v>
      </c>
      <c r="AX498" s="229">
        <f t="shared" si="547"/>
        <v>4250</v>
      </c>
      <c r="AY498" s="229">
        <f t="shared" si="547"/>
        <v>4000</v>
      </c>
      <c r="AZ498" s="229">
        <f t="shared" si="547"/>
        <v>3750</v>
      </c>
      <c r="BA498" s="229">
        <f t="shared" si="547"/>
        <v>3500</v>
      </c>
      <c r="BB498" s="229">
        <f t="shared" si="547"/>
        <v>3250</v>
      </c>
      <c r="BC498" s="229">
        <f t="shared" si="547"/>
        <v>3000</v>
      </c>
      <c r="BD498" s="229">
        <f t="shared" si="547"/>
        <v>2750</v>
      </c>
      <c r="BE498" s="229">
        <f t="shared" si="547"/>
        <v>2500</v>
      </c>
      <c r="BF498" s="229">
        <f t="shared" si="547"/>
        <v>2250</v>
      </c>
      <c r="BG498" s="229">
        <f t="shared" si="547"/>
        <v>2000</v>
      </c>
      <c r="BH498" s="229">
        <f t="shared" si="547"/>
        <v>1750</v>
      </c>
      <c r="BI498" s="229">
        <f t="shared" si="547"/>
        <v>1500</v>
      </c>
      <c r="BJ498" s="229">
        <f t="shared" si="547"/>
        <v>1250</v>
      </c>
      <c r="BK498" s="229">
        <f t="shared" si="547"/>
        <v>1000</v>
      </c>
      <c r="BL498" s="229">
        <f t="shared" si="547"/>
        <v>750</v>
      </c>
      <c r="BM498" s="229">
        <f t="shared" si="547"/>
        <v>500</v>
      </c>
      <c r="BN498" s="229">
        <f t="shared" si="547"/>
        <v>250</v>
      </c>
      <c r="BO498" s="229">
        <f t="shared" si="547"/>
        <v>0</v>
      </c>
      <c r="BP498" s="361"/>
      <c r="BQ498" s="361"/>
    </row>
    <row r="499" spans="2:69" s="22" customFormat="1" outlineLevel="1">
      <c r="B499" s="182"/>
      <c r="C499" s="182" t="s">
        <v>1323</v>
      </c>
      <c r="D499" s="237">
        <f>Assumptions!H65</f>
        <v>0.04</v>
      </c>
      <c r="E499" s="238" t="s">
        <v>1324</v>
      </c>
      <c r="F499" s="184" t="s">
        <v>119</v>
      </c>
      <c r="G499" s="66"/>
      <c r="H499" s="245">
        <f>H495*H493/12</f>
        <v>101.25</v>
      </c>
      <c r="I499" s="245">
        <f>I495*I493/12</f>
        <v>99.5625</v>
      </c>
      <c r="J499" s="245">
        <f t="shared" ref="J499:BO499" si="548">J495*J493/12</f>
        <v>97.875</v>
      </c>
      <c r="K499" s="245">
        <f t="shared" si="548"/>
        <v>96.1875</v>
      </c>
      <c r="L499" s="245">
        <f t="shared" si="548"/>
        <v>94.5</v>
      </c>
      <c r="M499" s="245">
        <f t="shared" si="548"/>
        <v>92.8125</v>
      </c>
      <c r="N499" s="245">
        <f t="shared" si="548"/>
        <v>91.125</v>
      </c>
      <c r="O499" s="245">
        <f t="shared" si="548"/>
        <v>89.4375</v>
      </c>
      <c r="P499" s="245">
        <f t="shared" si="548"/>
        <v>87.75</v>
      </c>
      <c r="Q499" s="245">
        <f t="shared" si="548"/>
        <v>86.0625</v>
      </c>
      <c r="R499" s="245">
        <f t="shared" si="548"/>
        <v>84.375</v>
      </c>
      <c r="S499" s="245">
        <f t="shared" si="548"/>
        <v>82.6875</v>
      </c>
      <c r="T499" s="245">
        <f t="shared" si="548"/>
        <v>75.000000000000014</v>
      </c>
      <c r="U499" s="245">
        <f t="shared" si="548"/>
        <v>73.437500000000014</v>
      </c>
      <c r="V499" s="245">
        <f t="shared" si="548"/>
        <v>71.875000000000014</v>
      </c>
      <c r="W499" s="245">
        <f t="shared" si="548"/>
        <v>70.312500000000014</v>
      </c>
      <c r="X499" s="245">
        <f t="shared" si="548"/>
        <v>68.750000000000014</v>
      </c>
      <c r="Y499" s="245">
        <f t="shared" si="548"/>
        <v>67.187500000000014</v>
      </c>
      <c r="Z499" s="245">
        <f t="shared" si="548"/>
        <v>65.625000000000014</v>
      </c>
      <c r="AA499" s="245">
        <f t="shared" si="548"/>
        <v>64.062500000000014</v>
      </c>
      <c r="AB499" s="245">
        <f t="shared" si="548"/>
        <v>62.500000000000007</v>
      </c>
      <c r="AC499" s="245">
        <f t="shared" si="548"/>
        <v>60.937500000000007</v>
      </c>
      <c r="AD499" s="245">
        <f t="shared" si="548"/>
        <v>59.375000000000007</v>
      </c>
      <c r="AE499" s="245">
        <f t="shared" si="548"/>
        <v>57.812500000000007</v>
      </c>
      <c r="AF499" s="245">
        <f t="shared" si="548"/>
        <v>52.500000000000007</v>
      </c>
      <c r="AG499" s="245">
        <f t="shared" si="548"/>
        <v>51.041666666666679</v>
      </c>
      <c r="AH499" s="245">
        <f t="shared" si="548"/>
        <v>49.583333333333336</v>
      </c>
      <c r="AI499" s="245">
        <f t="shared" si="548"/>
        <v>48.125</v>
      </c>
      <c r="AJ499" s="245">
        <f t="shared" si="548"/>
        <v>46.666666666666664</v>
      </c>
      <c r="AK499" s="245">
        <f t="shared" si="548"/>
        <v>45.208333333333336</v>
      </c>
      <c r="AL499" s="245">
        <f t="shared" si="548"/>
        <v>43.75</v>
      </c>
      <c r="AM499" s="245">
        <f t="shared" si="548"/>
        <v>42.291666666666671</v>
      </c>
      <c r="AN499" s="245">
        <f t="shared" si="548"/>
        <v>40.833333333333336</v>
      </c>
      <c r="AO499" s="245">
        <f t="shared" si="548"/>
        <v>39.375000000000007</v>
      </c>
      <c r="AP499" s="245">
        <f t="shared" si="548"/>
        <v>37.916666666666671</v>
      </c>
      <c r="AQ499" s="245">
        <f t="shared" si="548"/>
        <v>36.458333333333336</v>
      </c>
      <c r="AR499" s="245">
        <f t="shared" si="548"/>
        <v>35.000000000000007</v>
      </c>
      <c r="AS499" s="245">
        <f t="shared" si="548"/>
        <v>33.541666666666671</v>
      </c>
      <c r="AT499" s="245">
        <f t="shared" si="548"/>
        <v>32.083333333333336</v>
      </c>
      <c r="AU499" s="245">
        <f t="shared" si="548"/>
        <v>30.625000000000004</v>
      </c>
      <c r="AV499" s="245">
        <f t="shared" si="548"/>
        <v>29.166666666666671</v>
      </c>
      <c r="AW499" s="245">
        <f t="shared" si="548"/>
        <v>27.708333333333339</v>
      </c>
      <c r="AX499" s="245">
        <f t="shared" si="548"/>
        <v>26.250000000000004</v>
      </c>
      <c r="AY499" s="245">
        <f t="shared" si="548"/>
        <v>24.791666666666668</v>
      </c>
      <c r="AZ499" s="245">
        <f t="shared" si="548"/>
        <v>23.333333333333332</v>
      </c>
      <c r="BA499" s="245">
        <f t="shared" si="548"/>
        <v>21.875</v>
      </c>
      <c r="BB499" s="245">
        <f t="shared" si="548"/>
        <v>20.416666666666668</v>
      </c>
      <c r="BC499" s="245">
        <f t="shared" si="548"/>
        <v>18.958333333333336</v>
      </c>
      <c r="BD499" s="245">
        <f t="shared" si="548"/>
        <v>17.500000000000004</v>
      </c>
      <c r="BE499" s="245">
        <f t="shared" si="548"/>
        <v>16.041666666666668</v>
      </c>
      <c r="BF499" s="245">
        <f t="shared" si="548"/>
        <v>14.583333333333336</v>
      </c>
      <c r="BG499" s="245">
        <f t="shared" si="548"/>
        <v>13.125000000000002</v>
      </c>
      <c r="BH499" s="245">
        <f t="shared" si="548"/>
        <v>11.666666666666666</v>
      </c>
      <c r="BI499" s="245">
        <f t="shared" si="548"/>
        <v>10.208333333333334</v>
      </c>
      <c r="BJ499" s="245">
        <f t="shared" si="548"/>
        <v>8.7500000000000018</v>
      </c>
      <c r="BK499" s="245">
        <f t="shared" si="548"/>
        <v>7.2916666666666679</v>
      </c>
      <c r="BL499" s="245">
        <f t="shared" si="548"/>
        <v>5.833333333333333</v>
      </c>
      <c r="BM499" s="245">
        <f t="shared" si="548"/>
        <v>4.3750000000000009</v>
      </c>
      <c r="BN499" s="245">
        <f t="shared" si="548"/>
        <v>2.9166666666666665</v>
      </c>
      <c r="BO499" s="245">
        <f t="shared" si="548"/>
        <v>1.4583333333333333</v>
      </c>
      <c r="BP499" s="245"/>
      <c r="BQ499" s="245"/>
    </row>
    <row r="500" spans="2:69" s="22" customFormat="1" outlineLevel="1">
      <c r="E500" s="28"/>
      <c r="F500" s="29"/>
      <c r="G500" s="66"/>
    </row>
    <row r="501" spans="2:69" s="22" customFormat="1" outlineLevel="1">
      <c r="B501" s="181" t="s">
        <v>1193</v>
      </c>
      <c r="C501" s="182"/>
      <c r="D501" s="182"/>
      <c r="E501" s="200"/>
      <c r="F501" s="184"/>
      <c r="G501" s="167"/>
      <c r="H501" s="201"/>
      <c r="I501" s="201"/>
      <c r="J501" s="182"/>
      <c r="K501" s="182"/>
      <c r="L501" s="182"/>
      <c r="M501" s="182"/>
      <c r="N501" s="182"/>
      <c r="O501" s="182"/>
      <c r="P501" s="182"/>
      <c r="Q501" s="182"/>
      <c r="R501" s="182"/>
      <c r="S501" s="182"/>
      <c r="T501" s="182"/>
      <c r="U501" s="182"/>
      <c r="V501" s="182"/>
      <c r="W501" s="182"/>
      <c r="X501" s="182"/>
      <c r="Y501" s="182"/>
      <c r="Z501" s="182"/>
      <c r="AA501" s="182"/>
      <c r="AB501" s="182"/>
      <c r="AC501" s="182"/>
      <c r="AD501" s="182"/>
      <c r="AE501" s="182"/>
      <c r="AF501" s="182"/>
      <c r="AG501" s="182"/>
      <c r="AH501" s="182"/>
      <c r="AI501" s="182"/>
      <c r="AJ501" s="182"/>
      <c r="AK501" s="182"/>
      <c r="AL501" s="182"/>
      <c r="AM501" s="182"/>
      <c r="AN501" s="182"/>
      <c r="AO501" s="182"/>
      <c r="AP501" s="182"/>
      <c r="AQ501" s="182"/>
      <c r="AR501" s="182"/>
      <c r="AS501" s="182"/>
      <c r="AT501" s="182"/>
      <c r="AU501" s="182"/>
      <c r="AV501" s="182"/>
      <c r="AW501" s="182"/>
      <c r="AX501" s="182"/>
      <c r="AY501" s="182"/>
      <c r="AZ501" s="182"/>
      <c r="BA501" s="182"/>
      <c r="BB501" s="182"/>
      <c r="BC501" s="182"/>
      <c r="BD501" s="182"/>
      <c r="BE501" s="182"/>
      <c r="BF501" s="182"/>
      <c r="BG501" s="182"/>
      <c r="BH501" s="182"/>
      <c r="BI501" s="182"/>
      <c r="BJ501" s="182"/>
      <c r="BK501" s="182"/>
      <c r="BL501" s="182"/>
      <c r="BM501" s="182"/>
      <c r="BN501" s="182"/>
      <c r="BO501" s="182"/>
      <c r="BP501" s="182"/>
      <c r="BQ501" s="182"/>
    </row>
    <row r="502" spans="2:69" s="22" customFormat="1" outlineLevel="1">
      <c r="B502" s="182"/>
      <c r="C502" s="182" t="s">
        <v>1305</v>
      </c>
      <c r="D502" s="226">
        <v>0</v>
      </c>
      <c r="E502" s="226" t="s">
        <v>1319</v>
      </c>
      <c r="F502" s="184" t="s">
        <v>119</v>
      </c>
      <c r="G502" s="167"/>
      <c r="H502" s="201">
        <f>G505</f>
        <v>0</v>
      </c>
      <c r="I502" s="201">
        <f ca="1">H505</f>
        <v>7614.8283269044705</v>
      </c>
      <c r="J502" s="201">
        <f t="shared" ref="J502:BO502" ca="1" si="549">I505</f>
        <v>7969.488501238754</v>
      </c>
      <c r="K502" s="201">
        <f ca="1">J505</f>
        <v>0</v>
      </c>
      <c r="L502" s="201">
        <f t="shared" ca="1" si="549"/>
        <v>0</v>
      </c>
      <c r="M502" s="201">
        <f t="shared" ca="1" si="549"/>
        <v>0</v>
      </c>
      <c r="N502" s="201">
        <f t="shared" ca="1" si="549"/>
        <v>0</v>
      </c>
      <c r="O502" s="201">
        <f t="shared" ca="1" si="549"/>
        <v>0</v>
      </c>
      <c r="P502" s="201">
        <f t="shared" ca="1" si="549"/>
        <v>0</v>
      </c>
      <c r="Q502" s="201">
        <f t="shared" ca="1" si="549"/>
        <v>0</v>
      </c>
      <c r="R502" s="201">
        <f t="shared" ca="1" si="549"/>
        <v>0</v>
      </c>
      <c r="S502" s="201">
        <f t="shared" ca="1" si="549"/>
        <v>0</v>
      </c>
      <c r="T502" s="201">
        <f t="shared" ca="1" si="549"/>
        <v>0</v>
      </c>
      <c r="U502" s="201">
        <f t="shared" ca="1" si="549"/>
        <v>0</v>
      </c>
      <c r="V502" s="201">
        <f t="shared" ca="1" si="549"/>
        <v>0</v>
      </c>
      <c r="W502" s="201">
        <f t="shared" ca="1" si="549"/>
        <v>0</v>
      </c>
      <c r="X502" s="201">
        <f t="shared" ca="1" si="549"/>
        <v>0</v>
      </c>
      <c r="Y502" s="201">
        <f t="shared" ca="1" si="549"/>
        <v>0</v>
      </c>
      <c r="Z502" s="201">
        <f t="shared" ca="1" si="549"/>
        <v>0</v>
      </c>
      <c r="AA502" s="201">
        <f t="shared" ca="1" si="549"/>
        <v>0</v>
      </c>
      <c r="AB502" s="201">
        <f t="shared" ca="1" si="549"/>
        <v>0</v>
      </c>
      <c r="AC502" s="201">
        <f t="shared" ca="1" si="549"/>
        <v>0</v>
      </c>
      <c r="AD502" s="201">
        <f t="shared" ca="1" si="549"/>
        <v>0</v>
      </c>
      <c r="AE502" s="201">
        <f t="shared" ca="1" si="549"/>
        <v>0</v>
      </c>
      <c r="AF502" s="201">
        <f t="shared" ca="1" si="549"/>
        <v>0</v>
      </c>
      <c r="AG502" s="201">
        <f t="shared" ca="1" si="549"/>
        <v>0</v>
      </c>
      <c r="AH502" s="201">
        <f t="shared" ca="1" si="549"/>
        <v>0</v>
      </c>
      <c r="AI502" s="201">
        <f t="shared" ca="1" si="549"/>
        <v>0</v>
      </c>
      <c r="AJ502" s="201">
        <f t="shared" ca="1" si="549"/>
        <v>0</v>
      </c>
      <c r="AK502" s="201">
        <f t="shared" ca="1" si="549"/>
        <v>0</v>
      </c>
      <c r="AL502" s="201">
        <f t="shared" ca="1" si="549"/>
        <v>0</v>
      </c>
      <c r="AM502" s="201">
        <f t="shared" ca="1" si="549"/>
        <v>0</v>
      </c>
      <c r="AN502" s="201">
        <f t="shared" ca="1" si="549"/>
        <v>0</v>
      </c>
      <c r="AO502" s="201">
        <f t="shared" ca="1" si="549"/>
        <v>0</v>
      </c>
      <c r="AP502" s="201">
        <f t="shared" ca="1" si="549"/>
        <v>0</v>
      </c>
      <c r="AQ502" s="201">
        <f t="shared" ca="1" si="549"/>
        <v>0</v>
      </c>
      <c r="AR502" s="201">
        <f t="shared" ca="1" si="549"/>
        <v>0</v>
      </c>
      <c r="AS502" s="201">
        <f t="shared" ca="1" si="549"/>
        <v>0</v>
      </c>
      <c r="AT502" s="201">
        <f t="shared" ca="1" si="549"/>
        <v>0</v>
      </c>
      <c r="AU502" s="201">
        <f t="shared" ca="1" si="549"/>
        <v>0</v>
      </c>
      <c r="AV502" s="201">
        <f t="shared" ca="1" si="549"/>
        <v>0</v>
      </c>
      <c r="AW502" s="201">
        <f t="shared" ca="1" si="549"/>
        <v>0</v>
      </c>
      <c r="AX502" s="201">
        <f t="shared" ca="1" si="549"/>
        <v>0</v>
      </c>
      <c r="AY502" s="201">
        <f t="shared" ca="1" si="549"/>
        <v>0</v>
      </c>
      <c r="AZ502" s="201">
        <f t="shared" ca="1" si="549"/>
        <v>0</v>
      </c>
      <c r="BA502" s="201">
        <f t="shared" ca="1" si="549"/>
        <v>0</v>
      </c>
      <c r="BB502" s="201">
        <f t="shared" ca="1" si="549"/>
        <v>0</v>
      </c>
      <c r="BC502" s="201">
        <f t="shared" ca="1" si="549"/>
        <v>0</v>
      </c>
      <c r="BD502" s="201">
        <f t="shared" ca="1" si="549"/>
        <v>0</v>
      </c>
      <c r="BE502" s="201">
        <f t="shared" ca="1" si="549"/>
        <v>0</v>
      </c>
      <c r="BF502" s="201">
        <f t="shared" ca="1" si="549"/>
        <v>0</v>
      </c>
      <c r="BG502" s="201">
        <f t="shared" ca="1" si="549"/>
        <v>0</v>
      </c>
      <c r="BH502" s="201">
        <f t="shared" ca="1" si="549"/>
        <v>0</v>
      </c>
      <c r="BI502" s="201">
        <f t="shared" ca="1" si="549"/>
        <v>0</v>
      </c>
      <c r="BJ502" s="201">
        <f t="shared" ca="1" si="549"/>
        <v>0</v>
      </c>
      <c r="BK502" s="201">
        <f t="shared" ca="1" si="549"/>
        <v>0</v>
      </c>
      <c r="BL502" s="201">
        <f t="shared" ca="1" si="549"/>
        <v>0</v>
      </c>
      <c r="BM502" s="201">
        <f t="shared" ca="1" si="549"/>
        <v>0</v>
      </c>
      <c r="BN502" s="201">
        <f t="shared" ca="1" si="549"/>
        <v>0</v>
      </c>
      <c r="BO502" s="201">
        <f t="shared" ca="1" si="549"/>
        <v>0</v>
      </c>
      <c r="BP502" s="201"/>
      <c r="BQ502" s="201"/>
    </row>
    <row r="503" spans="2:69" s="22" customFormat="1" outlineLevel="1">
      <c r="B503" s="182"/>
      <c r="C503" s="182" t="s">
        <v>1329</v>
      </c>
      <c r="D503" s="226">
        <v>0</v>
      </c>
      <c r="E503" s="226"/>
      <c r="F503" s="184" t="s">
        <v>119</v>
      </c>
      <c r="G503" s="167"/>
      <c r="H503" s="201">
        <f ca="1">IF(H521&lt;0,-H521,0)</f>
        <v>7614.8283269044705</v>
      </c>
      <c r="I503" s="201">
        <f ca="1">IF(I521&lt;0,-I521,0)</f>
        <v>354.66017433428323</v>
      </c>
      <c r="J503" s="201">
        <f t="shared" ref="J503:BO503" ca="1" si="550">IF(J521&lt;0,-J521,0)</f>
        <v>0</v>
      </c>
      <c r="K503" s="201">
        <f t="shared" ca="1" si="550"/>
        <v>0</v>
      </c>
      <c r="L503" s="201">
        <f t="shared" ca="1" si="550"/>
        <v>0</v>
      </c>
      <c r="M503" s="201">
        <f t="shared" ca="1" si="550"/>
        <v>0</v>
      </c>
      <c r="N503" s="201">
        <f t="shared" ca="1" si="550"/>
        <v>0</v>
      </c>
      <c r="O503" s="201">
        <f t="shared" ca="1" si="550"/>
        <v>0</v>
      </c>
      <c r="P503" s="201">
        <f t="shared" ca="1" si="550"/>
        <v>0</v>
      </c>
      <c r="Q503" s="201">
        <f t="shared" ca="1" si="550"/>
        <v>0</v>
      </c>
      <c r="R503" s="201">
        <f t="shared" ca="1" si="550"/>
        <v>0</v>
      </c>
      <c r="S503" s="201">
        <f t="shared" ca="1" si="550"/>
        <v>0</v>
      </c>
      <c r="T503" s="201">
        <f t="shared" ca="1" si="550"/>
        <v>0</v>
      </c>
      <c r="U503" s="201">
        <f t="shared" ca="1" si="550"/>
        <v>0</v>
      </c>
      <c r="V503" s="201">
        <f t="shared" ca="1" si="550"/>
        <v>0</v>
      </c>
      <c r="W503" s="201">
        <f t="shared" ca="1" si="550"/>
        <v>0</v>
      </c>
      <c r="X503" s="201">
        <f t="shared" ca="1" si="550"/>
        <v>0</v>
      </c>
      <c r="Y503" s="201">
        <f t="shared" ca="1" si="550"/>
        <v>0</v>
      </c>
      <c r="Z503" s="201">
        <f t="shared" ca="1" si="550"/>
        <v>0</v>
      </c>
      <c r="AA503" s="201">
        <f t="shared" ca="1" si="550"/>
        <v>0</v>
      </c>
      <c r="AB503" s="201">
        <f t="shared" ca="1" si="550"/>
        <v>0</v>
      </c>
      <c r="AC503" s="201">
        <f t="shared" ca="1" si="550"/>
        <v>0</v>
      </c>
      <c r="AD503" s="201">
        <f t="shared" ca="1" si="550"/>
        <v>0</v>
      </c>
      <c r="AE503" s="201">
        <f t="shared" ca="1" si="550"/>
        <v>0</v>
      </c>
      <c r="AF503" s="201">
        <f t="shared" ca="1" si="550"/>
        <v>0</v>
      </c>
      <c r="AG503" s="201">
        <f t="shared" ca="1" si="550"/>
        <v>0</v>
      </c>
      <c r="AH503" s="201">
        <f t="shared" ca="1" si="550"/>
        <v>0</v>
      </c>
      <c r="AI503" s="201">
        <f t="shared" ca="1" si="550"/>
        <v>0</v>
      </c>
      <c r="AJ503" s="201">
        <f t="shared" ca="1" si="550"/>
        <v>0</v>
      </c>
      <c r="AK503" s="201">
        <f t="shared" ca="1" si="550"/>
        <v>0</v>
      </c>
      <c r="AL503" s="201">
        <f t="shared" ca="1" si="550"/>
        <v>0</v>
      </c>
      <c r="AM503" s="201">
        <f t="shared" ca="1" si="550"/>
        <v>0</v>
      </c>
      <c r="AN503" s="201">
        <f t="shared" ca="1" si="550"/>
        <v>0</v>
      </c>
      <c r="AO503" s="201">
        <f t="shared" ca="1" si="550"/>
        <v>0</v>
      </c>
      <c r="AP503" s="201">
        <f t="shared" ca="1" si="550"/>
        <v>0</v>
      </c>
      <c r="AQ503" s="201">
        <f t="shared" ca="1" si="550"/>
        <v>0</v>
      </c>
      <c r="AR503" s="201">
        <f t="shared" ca="1" si="550"/>
        <v>0</v>
      </c>
      <c r="AS503" s="201">
        <f t="shared" ca="1" si="550"/>
        <v>0</v>
      </c>
      <c r="AT503" s="201">
        <f t="shared" ca="1" si="550"/>
        <v>0</v>
      </c>
      <c r="AU503" s="201">
        <f t="shared" ca="1" si="550"/>
        <v>0</v>
      </c>
      <c r="AV503" s="201">
        <f t="shared" ca="1" si="550"/>
        <v>0</v>
      </c>
      <c r="AW503" s="201">
        <f t="shared" ca="1" si="550"/>
        <v>0</v>
      </c>
      <c r="AX503" s="201">
        <f t="shared" ca="1" si="550"/>
        <v>0</v>
      </c>
      <c r="AY503" s="201">
        <f t="shared" ca="1" si="550"/>
        <v>0</v>
      </c>
      <c r="AZ503" s="201">
        <f t="shared" ca="1" si="550"/>
        <v>0</v>
      </c>
      <c r="BA503" s="201">
        <f t="shared" ca="1" si="550"/>
        <v>0</v>
      </c>
      <c r="BB503" s="201">
        <f t="shared" ca="1" si="550"/>
        <v>0</v>
      </c>
      <c r="BC503" s="201">
        <f t="shared" ca="1" si="550"/>
        <v>0</v>
      </c>
      <c r="BD503" s="201">
        <f t="shared" ca="1" si="550"/>
        <v>0</v>
      </c>
      <c r="BE503" s="201">
        <f t="shared" ca="1" si="550"/>
        <v>0</v>
      </c>
      <c r="BF503" s="201">
        <f t="shared" ca="1" si="550"/>
        <v>0</v>
      </c>
      <c r="BG503" s="201">
        <f t="shared" ca="1" si="550"/>
        <v>0</v>
      </c>
      <c r="BH503" s="201">
        <f t="shared" ca="1" si="550"/>
        <v>0</v>
      </c>
      <c r="BI503" s="201">
        <f t="shared" ca="1" si="550"/>
        <v>0</v>
      </c>
      <c r="BJ503" s="201">
        <f t="shared" ca="1" si="550"/>
        <v>0</v>
      </c>
      <c r="BK503" s="201">
        <f t="shared" ca="1" si="550"/>
        <v>0</v>
      </c>
      <c r="BL503" s="201">
        <f t="shared" ca="1" si="550"/>
        <v>0</v>
      </c>
      <c r="BM503" s="201">
        <f t="shared" ca="1" si="550"/>
        <v>0</v>
      </c>
      <c r="BN503" s="201">
        <f t="shared" ca="1" si="550"/>
        <v>0</v>
      </c>
      <c r="BO503" s="201">
        <f t="shared" ca="1" si="550"/>
        <v>0</v>
      </c>
      <c r="BP503" s="201"/>
      <c r="BQ503" s="201"/>
    </row>
    <row r="504" spans="2:69" s="22" customFormat="1" outlineLevel="1">
      <c r="B504" s="182"/>
      <c r="C504" s="182" t="s">
        <v>1321</v>
      </c>
      <c r="D504" s="235">
        <f>Assumptions!H68</f>
        <v>3.5000000000000003E-2</v>
      </c>
      <c r="E504" s="235" t="s">
        <v>1322</v>
      </c>
      <c r="F504" s="184" t="s">
        <v>119</v>
      </c>
      <c r="G504" s="167"/>
      <c r="H504" s="201">
        <f ca="1">MIN(IF(H521&gt;0,-H521,0),H502)</f>
        <v>0</v>
      </c>
      <c r="I504" s="201">
        <f ca="1">MIN(IF(I521&gt;0,-I521,0),I502)</f>
        <v>0</v>
      </c>
      <c r="J504" s="201">
        <f ca="1">MAX(IF(J521&gt;0,-J521,0),-J502)</f>
        <v>-7969.488501238754</v>
      </c>
      <c r="K504" s="201">
        <f t="shared" ref="K504:BO504" ca="1" si="551">MAX(IF(K521&gt;0,-K521,0),-K502)</f>
        <v>0</v>
      </c>
      <c r="L504" s="201">
        <f t="shared" ca="1" si="551"/>
        <v>0</v>
      </c>
      <c r="M504" s="201">
        <f t="shared" ca="1" si="551"/>
        <v>0</v>
      </c>
      <c r="N504" s="201">
        <f t="shared" ca="1" si="551"/>
        <v>0</v>
      </c>
      <c r="O504" s="201">
        <f t="shared" ca="1" si="551"/>
        <v>0</v>
      </c>
      <c r="P504" s="201">
        <f t="shared" ca="1" si="551"/>
        <v>0</v>
      </c>
      <c r="Q504" s="201">
        <f t="shared" ca="1" si="551"/>
        <v>0</v>
      </c>
      <c r="R504" s="201">
        <f t="shared" ca="1" si="551"/>
        <v>0</v>
      </c>
      <c r="S504" s="201">
        <f t="shared" ca="1" si="551"/>
        <v>0</v>
      </c>
      <c r="T504" s="201">
        <f t="shared" ca="1" si="551"/>
        <v>0</v>
      </c>
      <c r="U504" s="201">
        <f t="shared" ca="1" si="551"/>
        <v>0</v>
      </c>
      <c r="V504" s="201">
        <f t="shared" ca="1" si="551"/>
        <v>0</v>
      </c>
      <c r="W504" s="201">
        <f t="shared" ca="1" si="551"/>
        <v>0</v>
      </c>
      <c r="X504" s="201">
        <f t="shared" ca="1" si="551"/>
        <v>0</v>
      </c>
      <c r="Y504" s="201">
        <f t="shared" ca="1" si="551"/>
        <v>0</v>
      </c>
      <c r="Z504" s="201">
        <f t="shared" ca="1" si="551"/>
        <v>0</v>
      </c>
      <c r="AA504" s="201">
        <f t="shared" ca="1" si="551"/>
        <v>0</v>
      </c>
      <c r="AB504" s="201">
        <f t="shared" ca="1" si="551"/>
        <v>0</v>
      </c>
      <c r="AC504" s="201">
        <f t="shared" ca="1" si="551"/>
        <v>0</v>
      </c>
      <c r="AD504" s="201">
        <f t="shared" ca="1" si="551"/>
        <v>0</v>
      </c>
      <c r="AE504" s="201">
        <f t="shared" ca="1" si="551"/>
        <v>0</v>
      </c>
      <c r="AF504" s="201">
        <f t="shared" ca="1" si="551"/>
        <v>0</v>
      </c>
      <c r="AG504" s="201">
        <f t="shared" ca="1" si="551"/>
        <v>0</v>
      </c>
      <c r="AH504" s="201">
        <f t="shared" ca="1" si="551"/>
        <v>0</v>
      </c>
      <c r="AI504" s="201">
        <f t="shared" ca="1" si="551"/>
        <v>0</v>
      </c>
      <c r="AJ504" s="201">
        <f t="shared" ca="1" si="551"/>
        <v>0</v>
      </c>
      <c r="AK504" s="201">
        <f t="shared" ca="1" si="551"/>
        <v>0</v>
      </c>
      <c r="AL504" s="201">
        <f t="shared" ca="1" si="551"/>
        <v>0</v>
      </c>
      <c r="AM504" s="201">
        <f t="shared" ca="1" si="551"/>
        <v>0</v>
      </c>
      <c r="AN504" s="201">
        <f t="shared" ca="1" si="551"/>
        <v>0</v>
      </c>
      <c r="AO504" s="201">
        <f t="shared" ca="1" si="551"/>
        <v>0</v>
      </c>
      <c r="AP504" s="201">
        <f t="shared" ca="1" si="551"/>
        <v>0</v>
      </c>
      <c r="AQ504" s="201">
        <f t="shared" ca="1" si="551"/>
        <v>0</v>
      </c>
      <c r="AR504" s="201">
        <f t="shared" ca="1" si="551"/>
        <v>0</v>
      </c>
      <c r="AS504" s="201">
        <f t="shared" ca="1" si="551"/>
        <v>0</v>
      </c>
      <c r="AT504" s="201">
        <f t="shared" ca="1" si="551"/>
        <v>0</v>
      </c>
      <c r="AU504" s="201">
        <f t="shared" ca="1" si="551"/>
        <v>0</v>
      </c>
      <c r="AV504" s="201">
        <f t="shared" ca="1" si="551"/>
        <v>0</v>
      </c>
      <c r="AW504" s="201">
        <f t="shared" ca="1" si="551"/>
        <v>0</v>
      </c>
      <c r="AX504" s="201">
        <f t="shared" ca="1" si="551"/>
        <v>0</v>
      </c>
      <c r="AY504" s="201">
        <f t="shared" ca="1" si="551"/>
        <v>0</v>
      </c>
      <c r="AZ504" s="201">
        <f t="shared" ca="1" si="551"/>
        <v>0</v>
      </c>
      <c r="BA504" s="201">
        <f t="shared" ca="1" si="551"/>
        <v>0</v>
      </c>
      <c r="BB504" s="201">
        <f t="shared" ca="1" si="551"/>
        <v>0</v>
      </c>
      <c r="BC504" s="201">
        <f t="shared" ca="1" si="551"/>
        <v>0</v>
      </c>
      <c r="BD504" s="201">
        <f t="shared" ca="1" si="551"/>
        <v>0</v>
      </c>
      <c r="BE504" s="201">
        <f t="shared" ca="1" si="551"/>
        <v>0</v>
      </c>
      <c r="BF504" s="201">
        <f t="shared" ca="1" si="551"/>
        <v>0</v>
      </c>
      <c r="BG504" s="201">
        <f t="shared" ca="1" si="551"/>
        <v>0</v>
      </c>
      <c r="BH504" s="201">
        <f t="shared" ca="1" si="551"/>
        <v>0</v>
      </c>
      <c r="BI504" s="201">
        <f t="shared" ca="1" si="551"/>
        <v>0</v>
      </c>
      <c r="BJ504" s="201">
        <f t="shared" ca="1" si="551"/>
        <v>0</v>
      </c>
      <c r="BK504" s="201">
        <f t="shared" ca="1" si="551"/>
        <v>0</v>
      </c>
      <c r="BL504" s="201">
        <f t="shared" ca="1" si="551"/>
        <v>0</v>
      </c>
      <c r="BM504" s="201">
        <f t="shared" ca="1" si="551"/>
        <v>0</v>
      </c>
      <c r="BN504" s="201">
        <f t="shared" ca="1" si="551"/>
        <v>0</v>
      </c>
      <c r="BO504" s="201">
        <f t="shared" ca="1" si="551"/>
        <v>0</v>
      </c>
      <c r="BP504" s="201"/>
      <c r="BQ504" s="201"/>
    </row>
    <row r="505" spans="2:69" s="31" customFormat="1" outlineLevel="1">
      <c r="B505" s="208"/>
      <c r="C505" s="227" t="s">
        <v>1311</v>
      </c>
      <c r="D505" s="208"/>
      <c r="E505" s="190"/>
      <c r="F505" s="243" t="s">
        <v>119</v>
      </c>
      <c r="G505" s="234">
        <v>0</v>
      </c>
      <c r="H505" s="236">
        <f ca="1">SUM(H502:H504)</f>
        <v>7614.8283269044705</v>
      </c>
      <c r="I505" s="236">
        <f ca="1">SUM(I502:I504)</f>
        <v>7969.488501238754</v>
      </c>
      <c r="J505" s="236">
        <f t="shared" ref="J505:BO505" ca="1" si="552">SUM(J502:J504)</f>
        <v>0</v>
      </c>
      <c r="K505" s="236">
        <f t="shared" ca="1" si="552"/>
        <v>0</v>
      </c>
      <c r="L505" s="236">
        <f t="shared" ca="1" si="552"/>
        <v>0</v>
      </c>
      <c r="M505" s="236">
        <f t="shared" ca="1" si="552"/>
        <v>0</v>
      </c>
      <c r="N505" s="236">
        <f t="shared" ca="1" si="552"/>
        <v>0</v>
      </c>
      <c r="O505" s="236">
        <f t="shared" ca="1" si="552"/>
        <v>0</v>
      </c>
      <c r="P505" s="236">
        <f t="shared" ca="1" si="552"/>
        <v>0</v>
      </c>
      <c r="Q505" s="236">
        <f t="shared" ca="1" si="552"/>
        <v>0</v>
      </c>
      <c r="R505" s="236">
        <f t="shared" ca="1" si="552"/>
        <v>0</v>
      </c>
      <c r="S505" s="236">
        <f t="shared" ca="1" si="552"/>
        <v>0</v>
      </c>
      <c r="T505" s="236">
        <f t="shared" ca="1" si="552"/>
        <v>0</v>
      </c>
      <c r="U505" s="236">
        <f t="shared" ca="1" si="552"/>
        <v>0</v>
      </c>
      <c r="V505" s="236">
        <f t="shared" ca="1" si="552"/>
        <v>0</v>
      </c>
      <c r="W505" s="236">
        <f t="shared" ca="1" si="552"/>
        <v>0</v>
      </c>
      <c r="X505" s="236">
        <f t="shared" ca="1" si="552"/>
        <v>0</v>
      </c>
      <c r="Y505" s="236">
        <f t="shared" ca="1" si="552"/>
        <v>0</v>
      </c>
      <c r="Z505" s="236">
        <f t="shared" ca="1" si="552"/>
        <v>0</v>
      </c>
      <c r="AA505" s="236">
        <f t="shared" ca="1" si="552"/>
        <v>0</v>
      </c>
      <c r="AB505" s="236">
        <f t="shared" ca="1" si="552"/>
        <v>0</v>
      </c>
      <c r="AC505" s="236">
        <f t="shared" ca="1" si="552"/>
        <v>0</v>
      </c>
      <c r="AD505" s="236">
        <f t="shared" ca="1" si="552"/>
        <v>0</v>
      </c>
      <c r="AE505" s="236">
        <f t="shared" ca="1" si="552"/>
        <v>0</v>
      </c>
      <c r="AF505" s="236">
        <f t="shared" ca="1" si="552"/>
        <v>0</v>
      </c>
      <c r="AG505" s="236">
        <f t="shared" ca="1" si="552"/>
        <v>0</v>
      </c>
      <c r="AH505" s="236">
        <f t="shared" ca="1" si="552"/>
        <v>0</v>
      </c>
      <c r="AI505" s="236">
        <f t="shared" ca="1" si="552"/>
        <v>0</v>
      </c>
      <c r="AJ505" s="236">
        <f t="shared" ca="1" si="552"/>
        <v>0</v>
      </c>
      <c r="AK505" s="236">
        <f t="shared" ca="1" si="552"/>
        <v>0</v>
      </c>
      <c r="AL505" s="236">
        <f t="shared" ca="1" si="552"/>
        <v>0</v>
      </c>
      <c r="AM505" s="236">
        <f t="shared" ca="1" si="552"/>
        <v>0</v>
      </c>
      <c r="AN505" s="236">
        <f t="shared" ca="1" si="552"/>
        <v>0</v>
      </c>
      <c r="AO505" s="236">
        <f t="shared" ca="1" si="552"/>
        <v>0</v>
      </c>
      <c r="AP505" s="236">
        <f t="shared" ca="1" si="552"/>
        <v>0</v>
      </c>
      <c r="AQ505" s="236">
        <f t="shared" ca="1" si="552"/>
        <v>0</v>
      </c>
      <c r="AR505" s="236">
        <f t="shared" ca="1" si="552"/>
        <v>0</v>
      </c>
      <c r="AS505" s="236">
        <f t="shared" ca="1" si="552"/>
        <v>0</v>
      </c>
      <c r="AT505" s="236">
        <f t="shared" ca="1" si="552"/>
        <v>0</v>
      </c>
      <c r="AU505" s="236">
        <f t="shared" ca="1" si="552"/>
        <v>0</v>
      </c>
      <c r="AV505" s="236">
        <f t="shared" ca="1" si="552"/>
        <v>0</v>
      </c>
      <c r="AW505" s="236">
        <f t="shared" ca="1" si="552"/>
        <v>0</v>
      </c>
      <c r="AX505" s="236">
        <f t="shared" ca="1" si="552"/>
        <v>0</v>
      </c>
      <c r="AY505" s="236">
        <f t="shared" ca="1" si="552"/>
        <v>0</v>
      </c>
      <c r="AZ505" s="236">
        <f t="shared" ca="1" si="552"/>
        <v>0</v>
      </c>
      <c r="BA505" s="236">
        <f t="shared" ca="1" si="552"/>
        <v>0</v>
      </c>
      <c r="BB505" s="236">
        <f t="shared" ca="1" si="552"/>
        <v>0</v>
      </c>
      <c r="BC505" s="236">
        <f t="shared" ca="1" si="552"/>
        <v>0</v>
      </c>
      <c r="BD505" s="236">
        <f t="shared" ca="1" si="552"/>
        <v>0</v>
      </c>
      <c r="BE505" s="236">
        <f t="shared" ca="1" si="552"/>
        <v>0</v>
      </c>
      <c r="BF505" s="236">
        <f t="shared" ca="1" si="552"/>
        <v>0</v>
      </c>
      <c r="BG505" s="236">
        <f t="shared" ca="1" si="552"/>
        <v>0</v>
      </c>
      <c r="BH505" s="236">
        <f t="shared" ca="1" si="552"/>
        <v>0</v>
      </c>
      <c r="BI505" s="236">
        <f t="shared" ca="1" si="552"/>
        <v>0</v>
      </c>
      <c r="BJ505" s="236">
        <f t="shared" ca="1" si="552"/>
        <v>0</v>
      </c>
      <c r="BK505" s="236">
        <f t="shared" ca="1" si="552"/>
        <v>0</v>
      </c>
      <c r="BL505" s="236">
        <f t="shared" ca="1" si="552"/>
        <v>0</v>
      </c>
      <c r="BM505" s="236">
        <f t="shared" ca="1" si="552"/>
        <v>0</v>
      </c>
      <c r="BN505" s="236">
        <f t="shared" ca="1" si="552"/>
        <v>0</v>
      </c>
      <c r="BO505" s="236">
        <f t="shared" ca="1" si="552"/>
        <v>0</v>
      </c>
      <c r="BP505" s="362"/>
      <c r="BQ505" s="362"/>
    </row>
    <row r="506" spans="2:69" s="22" customFormat="1" outlineLevel="1">
      <c r="B506" s="182"/>
      <c r="C506" s="182" t="s">
        <v>1323</v>
      </c>
      <c r="D506" s="237">
        <f>Assumptions!H54</f>
        <v>0.08</v>
      </c>
      <c r="E506" s="238" t="s">
        <v>1324</v>
      </c>
      <c r="F506" s="184" t="s">
        <v>119</v>
      </c>
      <c r="G506" s="167">
        <v>0</v>
      </c>
      <c r="H506" s="201">
        <f>H502*$D$506/12</f>
        <v>0</v>
      </c>
      <c r="I506" s="201">
        <f ca="1">I502*$D$506/12</f>
        <v>50.765522179363138</v>
      </c>
      <c r="J506" s="201">
        <f ca="1">J502*$D$506/12</f>
        <v>53.129923341591699</v>
      </c>
      <c r="K506" s="201">
        <f t="shared" ref="K506:BO506" ca="1" si="553">K502*$D$506/12</f>
        <v>0</v>
      </c>
      <c r="L506" s="201">
        <f t="shared" ca="1" si="553"/>
        <v>0</v>
      </c>
      <c r="M506" s="201">
        <f t="shared" ca="1" si="553"/>
        <v>0</v>
      </c>
      <c r="N506" s="201">
        <f t="shared" ca="1" si="553"/>
        <v>0</v>
      </c>
      <c r="O506" s="201">
        <f t="shared" ca="1" si="553"/>
        <v>0</v>
      </c>
      <c r="P506" s="201">
        <f t="shared" ca="1" si="553"/>
        <v>0</v>
      </c>
      <c r="Q506" s="201">
        <f t="shared" ca="1" si="553"/>
        <v>0</v>
      </c>
      <c r="R506" s="201">
        <f t="shared" ca="1" si="553"/>
        <v>0</v>
      </c>
      <c r="S506" s="201">
        <f t="shared" ca="1" si="553"/>
        <v>0</v>
      </c>
      <c r="T506" s="201">
        <f t="shared" ca="1" si="553"/>
        <v>0</v>
      </c>
      <c r="U506" s="201">
        <f t="shared" ca="1" si="553"/>
        <v>0</v>
      </c>
      <c r="V506" s="201">
        <f t="shared" ca="1" si="553"/>
        <v>0</v>
      </c>
      <c r="W506" s="201">
        <f t="shared" ca="1" si="553"/>
        <v>0</v>
      </c>
      <c r="X506" s="201">
        <f t="shared" ca="1" si="553"/>
        <v>0</v>
      </c>
      <c r="Y506" s="201">
        <f t="shared" ca="1" si="553"/>
        <v>0</v>
      </c>
      <c r="Z506" s="201">
        <f t="shared" ca="1" si="553"/>
        <v>0</v>
      </c>
      <c r="AA506" s="201">
        <f t="shared" ca="1" si="553"/>
        <v>0</v>
      </c>
      <c r="AB506" s="201">
        <f t="shared" ca="1" si="553"/>
        <v>0</v>
      </c>
      <c r="AC506" s="201">
        <f t="shared" ca="1" si="553"/>
        <v>0</v>
      </c>
      <c r="AD506" s="201">
        <f t="shared" ca="1" si="553"/>
        <v>0</v>
      </c>
      <c r="AE506" s="201">
        <f t="shared" ca="1" si="553"/>
        <v>0</v>
      </c>
      <c r="AF506" s="201">
        <f t="shared" ca="1" si="553"/>
        <v>0</v>
      </c>
      <c r="AG506" s="201">
        <f t="shared" ca="1" si="553"/>
        <v>0</v>
      </c>
      <c r="AH506" s="201">
        <f t="shared" ca="1" si="553"/>
        <v>0</v>
      </c>
      <c r="AI506" s="201">
        <f t="shared" ca="1" si="553"/>
        <v>0</v>
      </c>
      <c r="AJ506" s="201">
        <f t="shared" ca="1" si="553"/>
        <v>0</v>
      </c>
      <c r="AK506" s="201">
        <f t="shared" ca="1" si="553"/>
        <v>0</v>
      </c>
      <c r="AL506" s="201">
        <f t="shared" ca="1" si="553"/>
        <v>0</v>
      </c>
      <c r="AM506" s="201">
        <f t="shared" ca="1" si="553"/>
        <v>0</v>
      </c>
      <c r="AN506" s="201">
        <f t="shared" ca="1" si="553"/>
        <v>0</v>
      </c>
      <c r="AO506" s="201">
        <f t="shared" ca="1" si="553"/>
        <v>0</v>
      </c>
      <c r="AP506" s="201">
        <f t="shared" ca="1" si="553"/>
        <v>0</v>
      </c>
      <c r="AQ506" s="201">
        <f t="shared" ca="1" si="553"/>
        <v>0</v>
      </c>
      <c r="AR506" s="201">
        <f t="shared" ca="1" si="553"/>
        <v>0</v>
      </c>
      <c r="AS506" s="201">
        <f t="shared" ca="1" si="553"/>
        <v>0</v>
      </c>
      <c r="AT506" s="201">
        <f t="shared" ca="1" si="553"/>
        <v>0</v>
      </c>
      <c r="AU506" s="201">
        <f t="shared" ca="1" si="553"/>
        <v>0</v>
      </c>
      <c r="AV506" s="201">
        <f t="shared" ca="1" si="553"/>
        <v>0</v>
      </c>
      <c r="AW506" s="201">
        <f t="shared" ca="1" si="553"/>
        <v>0</v>
      </c>
      <c r="AX506" s="201">
        <f t="shared" ca="1" si="553"/>
        <v>0</v>
      </c>
      <c r="AY506" s="201">
        <f t="shared" ca="1" si="553"/>
        <v>0</v>
      </c>
      <c r="AZ506" s="201">
        <f t="shared" ca="1" si="553"/>
        <v>0</v>
      </c>
      <c r="BA506" s="201">
        <f t="shared" ca="1" si="553"/>
        <v>0</v>
      </c>
      <c r="BB506" s="201">
        <f t="shared" ca="1" si="553"/>
        <v>0</v>
      </c>
      <c r="BC506" s="201">
        <f t="shared" ca="1" si="553"/>
        <v>0</v>
      </c>
      <c r="BD506" s="201">
        <f t="shared" ca="1" si="553"/>
        <v>0</v>
      </c>
      <c r="BE506" s="201">
        <f t="shared" ca="1" si="553"/>
        <v>0</v>
      </c>
      <c r="BF506" s="201">
        <f t="shared" ca="1" si="553"/>
        <v>0</v>
      </c>
      <c r="BG506" s="201">
        <f t="shared" ca="1" si="553"/>
        <v>0</v>
      </c>
      <c r="BH506" s="201">
        <f t="shared" ca="1" si="553"/>
        <v>0</v>
      </c>
      <c r="BI506" s="201">
        <f t="shared" ca="1" si="553"/>
        <v>0</v>
      </c>
      <c r="BJ506" s="201">
        <f t="shared" ca="1" si="553"/>
        <v>0</v>
      </c>
      <c r="BK506" s="201">
        <f t="shared" ca="1" si="553"/>
        <v>0</v>
      </c>
      <c r="BL506" s="201">
        <f t="shared" ca="1" si="553"/>
        <v>0</v>
      </c>
      <c r="BM506" s="201">
        <f t="shared" ca="1" si="553"/>
        <v>0</v>
      </c>
      <c r="BN506" s="201">
        <f t="shared" ca="1" si="553"/>
        <v>0</v>
      </c>
      <c r="BO506" s="201">
        <f t="shared" ca="1" si="553"/>
        <v>0</v>
      </c>
      <c r="BP506" s="201"/>
      <c r="BQ506" s="201"/>
    </row>
    <row r="507" spans="2:69" s="22" customFormat="1" outlineLevel="1">
      <c r="B507" s="182"/>
      <c r="C507" s="182" t="s">
        <v>1330</v>
      </c>
      <c r="D507" s="226">
        <f>Assumptions!H53</f>
        <v>10000</v>
      </c>
      <c r="E507" s="238" t="s">
        <v>1193</v>
      </c>
      <c r="F507" s="184" t="s">
        <v>119</v>
      </c>
      <c r="G507" s="167">
        <f>D507</f>
        <v>10000</v>
      </c>
      <c r="H507" s="201">
        <f ca="1">G507-H503-H504</f>
        <v>2385.1716730955295</v>
      </c>
      <c r="I507" s="201">
        <f ca="1">H507-I503-I504</f>
        <v>2030.5114987612462</v>
      </c>
      <c r="J507" s="201">
        <f ca="1">I507-J503-J504</f>
        <v>10000</v>
      </c>
      <c r="K507" s="201">
        <f t="shared" ref="K507:BO507" ca="1" si="554">J507-K503-K504</f>
        <v>10000</v>
      </c>
      <c r="L507" s="201">
        <f t="shared" ca="1" si="554"/>
        <v>10000</v>
      </c>
      <c r="M507" s="201">
        <f t="shared" ca="1" si="554"/>
        <v>10000</v>
      </c>
      <c r="N507" s="201">
        <f t="shared" ca="1" si="554"/>
        <v>10000</v>
      </c>
      <c r="O507" s="201">
        <f t="shared" ca="1" si="554"/>
        <v>10000</v>
      </c>
      <c r="P507" s="201">
        <f t="shared" ca="1" si="554"/>
        <v>10000</v>
      </c>
      <c r="Q507" s="201">
        <f t="shared" ca="1" si="554"/>
        <v>10000</v>
      </c>
      <c r="R507" s="201">
        <f t="shared" ca="1" si="554"/>
        <v>10000</v>
      </c>
      <c r="S507" s="201">
        <f t="shared" ca="1" si="554"/>
        <v>10000</v>
      </c>
      <c r="T507" s="201">
        <f t="shared" ca="1" si="554"/>
        <v>10000</v>
      </c>
      <c r="U507" s="201">
        <f t="shared" ca="1" si="554"/>
        <v>10000</v>
      </c>
      <c r="V507" s="201">
        <f t="shared" ca="1" si="554"/>
        <v>10000</v>
      </c>
      <c r="W507" s="201">
        <f t="shared" ca="1" si="554"/>
        <v>10000</v>
      </c>
      <c r="X507" s="201">
        <f t="shared" ca="1" si="554"/>
        <v>10000</v>
      </c>
      <c r="Y507" s="201">
        <f t="shared" ca="1" si="554"/>
        <v>10000</v>
      </c>
      <c r="Z507" s="201">
        <f t="shared" ca="1" si="554"/>
        <v>10000</v>
      </c>
      <c r="AA507" s="201">
        <f t="shared" ca="1" si="554"/>
        <v>10000</v>
      </c>
      <c r="AB507" s="201">
        <f t="shared" ca="1" si="554"/>
        <v>10000</v>
      </c>
      <c r="AC507" s="201">
        <f t="shared" ca="1" si="554"/>
        <v>10000</v>
      </c>
      <c r="AD507" s="201">
        <f t="shared" ca="1" si="554"/>
        <v>10000</v>
      </c>
      <c r="AE507" s="201">
        <f t="shared" ca="1" si="554"/>
        <v>10000</v>
      </c>
      <c r="AF507" s="201">
        <f t="shared" ca="1" si="554"/>
        <v>10000</v>
      </c>
      <c r="AG507" s="201">
        <f t="shared" ca="1" si="554"/>
        <v>10000</v>
      </c>
      <c r="AH507" s="201">
        <f t="shared" ca="1" si="554"/>
        <v>10000</v>
      </c>
      <c r="AI507" s="201">
        <f t="shared" ca="1" si="554"/>
        <v>10000</v>
      </c>
      <c r="AJ507" s="201">
        <f t="shared" ca="1" si="554"/>
        <v>10000</v>
      </c>
      <c r="AK507" s="201">
        <f t="shared" ca="1" si="554"/>
        <v>10000</v>
      </c>
      <c r="AL507" s="201">
        <f t="shared" ca="1" si="554"/>
        <v>10000</v>
      </c>
      <c r="AM507" s="201">
        <f t="shared" ca="1" si="554"/>
        <v>10000</v>
      </c>
      <c r="AN507" s="201">
        <f t="shared" ca="1" si="554"/>
        <v>10000</v>
      </c>
      <c r="AO507" s="201">
        <f t="shared" ca="1" si="554"/>
        <v>10000</v>
      </c>
      <c r="AP507" s="201">
        <f t="shared" ca="1" si="554"/>
        <v>10000</v>
      </c>
      <c r="AQ507" s="201">
        <f t="shared" ca="1" si="554"/>
        <v>10000</v>
      </c>
      <c r="AR507" s="201">
        <f t="shared" ca="1" si="554"/>
        <v>10000</v>
      </c>
      <c r="AS507" s="201">
        <f t="shared" ca="1" si="554"/>
        <v>10000</v>
      </c>
      <c r="AT507" s="201">
        <f t="shared" ca="1" si="554"/>
        <v>10000</v>
      </c>
      <c r="AU507" s="201">
        <f t="shared" ca="1" si="554"/>
        <v>10000</v>
      </c>
      <c r="AV507" s="201">
        <f t="shared" ca="1" si="554"/>
        <v>10000</v>
      </c>
      <c r="AW507" s="201">
        <f t="shared" ca="1" si="554"/>
        <v>10000</v>
      </c>
      <c r="AX507" s="201">
        <f t="shared" ca="1" si="554"/>
        <v>10000</v>
      </c>
      <c r="AY507" s="201">
        <f t="shared" ca="1" si="554"/>
        <v>10000</v>
      </c>
      <c r="AZ507" s="201">
        <f t="shared" ca="1" si="554"/>
        <v>10000</v>
      </c>
      <c r="BA507" s="201">
        <f t="shared" ca="1" si="554"/>
        <v>10000</v>
      </c>
      <c r="BB507" s="201">
        <f t="shared" ca="1" si="554"/>
        <v>10000</v>
      </c>
      <c r="BC507" s="201">
        <f t="shared" ca="1" si="554"/>
        <v>10000</v>
      </c>
      <c r="BD507" s="201">
        <f t="shared" ca="1" si="554"/>
        <v>10000</v>
      </c>
      <c r="BE507" s="201">
        <f t="shared" ca="1" si="554"/>
        <v>10000</v>
      </c>
      <c r="BF507" s="201">
        <f t="shared" ca="1" si="554"/>
        <v>10000</v>
      </c>
      <c r="BG507" s="201">
        <f t="shared" ca="1" si="554"/>
        <v>10000</v>
      </c>
      <c r="BH507" s="201">
        <f t="shared" ca="1" si="554"/>
        <v>10000</v>
      </c>
      <c r="BI507" s="201">
        <f t="shared" ca="1" si="554"/>
        <v>10000</v>
      </c>
      <c r="BJ507" s="201">
        <f t="shared" ca="1" si="554"/>
        <v>10000</v>
      </c>
      <c r="BK507" s="201">
        <f t="shared" ca="1" si="554"/>
        <v>10000</v>
      </c>
      <c r="BL507" s="201">
        <f t="shared" ca="1" si="554"/>
        <v>10000</v>
      </c>
      <c r="BM507" s="201">
        <f t="shared" ca="1" si="554"/>
        <v>10000</v>
      </c>
      <c r="BN507" s="201">
        <f t="shared" ca="1" si="554"/>
        <v>10000</v>
      </c>
      <c r="BO507" s="201">
        <f t="shared" ca="1" si="554"/>
        <v>10000</v>
      </c>
      <c r="BP507" s="201"/>
      <c r="BQ507" s="201"/>
    </row>
    <row r="508" spans="2:69" s="22" customFormat="1" outlineLevel="1">
      <c r="E508" s="28"/>
      <c r="F508" s="29"/>
      <c r="G508" s="66"/>
    </row>
    <row r="509" spans="2:69" s="22" customFormat="1" outlineLevel="1">
      <c r="B509" s="181" t="s">
        <v>1331</v>
      </c>
      <c r="C509" s="182"/>
      <c r="D509" s="182"/>
      <c r="E509" s="200"/>
      <c r="F509" s="184"/>
      <c r="G509" s="66"/>
      <c r="H509" s="182"/>
      <c r="I509" s="182"/>
      <c r="J509" s="182"/>
      <c r="K509" s="182"/>
      <c r="L509" s="182"/>
      <c r="M509" s="182"/>
      <c r="N509" s="182"/>
      <c r="O509" s="182"/>
      <c r="P509" s="182"/>
      <c r="Q509" s="182"/>
      <c r="R509" s="182"/>
      <c r="S509" s="182"/>
      <c r="T509" s="182"/>
      <c r="U509" s="182"/>
      <c r="V509" s="182"/>
      <c r="W509" s="182"/>
      <c r="X509" s="182"/>
      <c r="Y509" s="182"/>
      <c r="Z509" s="182"/>
      <c r="AA509" s="182"/>
      <c r="AB509" s="182"/>
      <c r="AC509" s="182"/>
      <c r="AD509" s="182"/>
      <c r="AE509" s="182"/>
      <c r="AF509" s="182"/>
      <c r="AG509" s="182"/>
      <c r="AH509" s="182"/>
      <c r="AI509" s="182"/>
      <c r="AJ509" s="182"/>
      <c r="AK509" s="182"/>
      <c r="AL509" s="182"/>
      <c r="AM509" s="182"/>
      <c r="AN509" s="182"/>
      <c r="AO509" s="182"/>
      <c r="AP509" s="182"/>
      <c r="AQ509" s="182"/>
      <c r="AR509" s="182"/>
      <c r="AS509" s="182"/>
      <c r="AT509" s="182"/>
      <c r="AU509" s="182"/>
      <c r="AV509" s="182"/>
      <c r="AW509" s="182"/>
      <c r="AX509" s="182"/>
      <c r="AY509" s="182"/>
      <c r="AZ509" s="182"/>
      <c r="BA509" s="182"/>
      <c r="BB509" s="182"/>
      <c r="BC509" s="182"/>
      <c r="BD509" s="182"/>
      <c r="BE509" s="182"/>
      <c r="BF509" s="182"/>
      <c r="BG509" s="182"/>
      <c r="BH509" s="182"/>
      <c r="BI509" s="182"/>
      <c r="BJ509" s="182"/>
      <c r="BK509" s="182"/>
      <c r="BL509" s="182"/>
      <c r="BM509" s="182"/>
      <c r="BN509" s="182"/>
      <c r="BO509" s="182"/>
      <c r="BP509" s="182"/>
      <c r="BQ509" s="182"/>
    </row>
    <row r="510" spans="2:69" s="22" customFormat="1" outlineLevel="1">
      <c r="B510" s="182"/>
      <c r="C510" s="182" t="s">
        <v>1318</v>
      </c>
      <c r="D510" s="182"/>
      <c r="E510" s="200"/>
      <c r="F510" s="184" t="s">
        <v>119</v>
      </c>
      <c r="G510" s="252"/>
      <c r="H510" s="201" cm="1">
        <f t="array" ref="H510:BO510">-H488:BO488</f>
        <v>-208.33333333333334</v>
      </c>
      <c r="I510" s="201">
        <v>-206.16319444444446</v>
      </c>
      <c r="J510" s="201">
        <v>-203.99305555555554</v>
      </c>
      <c r="K510" s="201">
        <v>-201.82291666666663</v>
      </c>
      <c r="L510" s="201">
        <v>-199.65277777777774</v>
      </c>
      <c r="M510" s="201">
        <v>-197.48263888888883</v>
      </c>
      <c r="N510" s="201">
        <v>-195.31249999999997</v>
      </c>
      <c r="O510" s="201">
        <v>-193.14236111111106</v>
      </c>
      <c r="P510" s="201">
        <v>-190.97222222222214</v>
      </c>
      <c r="Q510" s="201">
        <v>-188.80208333333326</v>
      </c>
      <c r="R510" s="201">
        <v>-186.63194444444434</v>
      </c>
      <c r="S510" s="201">
        <v>-184.46180555555546</v>
      </c>
      <c r="T510" s="201">
        <v>-182.29166666666654</v>
      </c>
      <c r="U510" s="201">
        <v>-180.12152777777763</v>
      </c>
      <c r="V510" s="201">
        <v>-177.95138888888877</v>
      </c>
      <c r="W510" s="201">
        <v>-175.78124999999986</v>
      </c>
      <c r="X510" s="201">
        <v>-173.61111111111097</v>
      </c>
      <c r="Y510" s="201">
        <v>-171.44097222222206</v>
      </c>
      <c r="Z510" s="201">
        <v>-169.27083333333317</v>
      </c>
      <c r="AA510" s="201">
        <v>-167.10069444444426</v>
      </c>
      <c r="AB510" s="201">
        <v>-164.93055555555534</v>
      </c>
      <c r="AC510" s="201">
        <v>-162.76041666666646</v>
      </c>
      <c r="AD510" s="201">
        <v>-160.59027777777757</v>
      </c>
      <c r="AE510" s="201">
        <v>-158.42013888888866</v>
      </c>
      <c r="AF510" s="201">
        <v>-156.24999999999977</v>
      </c>
      <c r="AG510" s="201">
        <v>-154.07986111111086</v>
      </c>
      <c r="AH510" s="201">
        <v>-151.90972222222197</v>
      </c>
      <c r="AI510" s="201">
        <v>-149.73958333333306</v>
      </c>
      <c r="AJ510" s="201">
        <v>-147.56944444444417</v>
      </c>
      <c r="AK510" s="201">
        <v>-145.39930555555529</v>
      </c>
      <c r="AL510" s="201">
        <v>-143.22916666666637</v>
      </c>
      <c r="AM510" s="201">
        <v>-141.05902777777746</v>
      </c>
      <c r="AN510" s="201">
        <v>-138.88888888888857</v>
      </c>
      <c r="AO510" s="201">
        <v>-136.71874999999969</v>
      </c>
      <c r="AP510" s="201">
        <v>-134.54861111111077</v>
      </c>
      <c r="AQ510" s="201">
        <v>-132.37847222222192</v>
      </c>
      <c r="AR510" s="201">
        <v>-130.20833333333303</v>
      </c>
      <c r="AS510" s="201">
        <v>-128.03819444444414</v>
      </c>
      <c r="AT510" s="201">
        <v>-125.86805555555526</v>
      </c>
      <c r="AU510" s="201">
        <v>-123.69791666666636</v>
      </c>
      <c r="AV510" s="201">
        <v>-121.52777777777749</v>
      </c>
      <c r="AW510" s="201">
        <v>-119.35763888888862</v>
      </c>
      <c r="AX510" s="201">
        <v>-117.18749999999972</v>
      </c>
      <c r="AY510" s="201">
        <v>-115.01736111111084</v>
      </c>
      <c r="AZ510" s="201">
        <v>-112.84722222222194</v>
      </c>
      <c r="BA510" s="201">
        <v>-110.67708333333307</v>
      </c>
      <c r="BB510" s="201">
        <v>-108.50694444444419</v>
      </c>
      <c r="BC510" s="201">
        <v>-106.3368055555553</v>
      </c>
      <c r="BD510" s="201">
        <v>-104.16666666666642</v>
      </c>
      <c r="BE510" s="201">
        <v>-101.99652777777753</v>
      </c>
      <c r="BF510" s="201">
        <v>-99.826388888888644</v>
      </c>
      <c r="BG510" s="201">
        <v>-97.656249999999758</v>
      </c>
      <c r="BH510" s="201">
        <v>-95.486111111110873</v>
      </c>
      <c r="BI510" s="201">
        <v>-93.315972222222001</v>
      </c>
      <c r="BJ510" s="201">
        <v>-91.145833333333101</v>
      </c>
      <c r="BK510" s="201">
        <v>-88.97569444444423</v>
      </c>
      <c r="BL510" s="201">
        <v>-86.80555555555533</v>
      </c>
      <c r="BM510" s="201">
        <v>-84.635416666666458</v>
      </c>
      <c r="BN510" s="201">
        <v>-82.465277777777573</v>
      </c>
      <c r="BO510" s="201">
        <v>-80.295138888888687</v>
      </c>
      <c r="BP510" s="201"/>
      <c r="BQ510" s="201"/>
    </row>
    <row r="511" spans="2:69" s="22" customFormat="1" outlineLevel="1">
      <c r="B511" s="182"/>
      <c r="C511" s="182" t="s">
        <v>1332</v>
      </c>
      <c r="D511" s="182"/>
      <c r="E511" s="200"/>
      <c r="F511" s="184" t="s">
        <v>119</v>
      </c>
      <c r="G511" s="66"/>
      <c r="H511" s="201" cm="1">
        <f t="array" ref="H511:BO511">-H499:BO499</f>
        <v>-101.25</v>
      </c>
      <c r="I511" s="201">
        <v>-99.5625</v>
      </c>
      <c r="J511" s="201">
        <v>-97.875</v>
      </c>
      <c r="K511" s="201">
        <v>-96.1875</v>
      </c>
      <c r="L511" s="201">
        <v>-94.5</v>
      </c>
      <c r="M511" s="201">
        <v>-92.8125</v>
      </c>
      <c r="N511" s="201">
        <v>-91.125</v>
      </c>
      <c r="O511" s="201">
        <v>-89.4375</v>
      </c>
      <c r="P511" s="201">
        <v>-87.75</v>
      </c>
      <c r="Q511" s="201">
        <v>-86.0625</v>
      </c>
      <c r="R511" s="201">
        <v>-84.375</v>
      </c>
      <c r="S511" s="201">
        <v>-82.6875</v>
      </c>
      <c r="T511" s="201">
        <v>-75.000000000000014</v>
      </c>
      <c r="U511" s="201">
        <v>-73.437500000000014</v>
      </c>
      <c r="V511" s="201">
        <v>-71.875000000000014</v>
      </c>
      <c r="W511" s="201">
        <v>-70.312500000000014</v>
      </c>
      <c r="X511" s="201">
        <v>-68.750000000000014</v>
      </c>
      <c r="Y511" s="201">
        <v>-67.187500000000014</v>
      </c>
      <c r="Z511" s="201">
        <v>-65.625000000000014</v>
      </c>
      <c r="AA511" s="201">
        <v>-64.062500000000014</v>
      </c>
      <c r="AB511" s="201">
        <v>-62.500000000000007</v>
      </c>
      <c r="AC511" s="201">
        <v>-60.937500000000007</v>
      </c>
      <c r="AD511" s="201">
        <v>-59.375000000000007</v>
      </c>
      <c r="AE511" s="201">
        <v>-57.812500000000007</v>
      </c>
      <c r="AF511" s="201">
        <v>-52.500000000000007</v>
      </c>
      <c r="AG511" s="201">
        <v>-51.041666666666679</v>
      </c>
      <c r="AH511" s="201">
        <v>-49.583333333333336</v>
      </c>
      <c r="AI511" s="201">
        <v>-48.125</v>
      </c>
      <c r="AJ511" s="201">
        <v>-46.666666666666664</v>
      </c>
      <c r="AK511" s="201">
        <v>-45.208333333333336</v>
      </c>
      <c r="AL511" s="201">
        <v>-43.75</v>
      </c>
      <c r="AM511" s="201">
        <v>-42.291666666666671</v>
      </c>
      <c r="AN511" s="201">
        <v>-40.833333333333336</v>
      </c>
      <c r="AO511" s="201">
        <v>-39.375000000000007</v>
      </c>
      <c r="AP511" s="201">
        <v>-37.916666666666671</v>
      </c>
      <c r="AQ511" s="201">
        <v>-36.458333333333336</v>
      </c>
      <c r="AR511" s="201">
        <v>-35.000000000000007</v>
      </c>
      <c r="AS511" s="201">
        <v>-33.541666666666671</v>
      </c>
      <c r="AT511" s="201">
        <v>-32.083333333333336</v>
      </c>
      <c r="AU511" s="201">
        <v>-30.625000000000004</v>
      </c>
      <c r="AV511" s="201">
        <v>-29.166666666666671</v>
      </c>
      <c r="AW511" s="201">
        <v>-27.708333333333339</v>
      </c>
      <c r="AX511" s="201">
        <v>-26.250000000000004</v>
      </c>
      <c r="AY511" s="201">
        <v>-24.791666666666668</v>
      </c>
      <c r="AZ511" s="201">
        <v>-23.333333333333332</v>
      </c>
      <c r="BA511" s="201">
        <v>-21.875</v>
      </c>
      <c r="BB511" s="201">
        <v>-20.416666666666668</v>
      </c>
      <c r="BC511" s="201">
        <v>-18.958333333333336</v>
      </c>
      <c r="BD511" s="201">
        <v>-17.500000000000004</v>
      </c>
      <c r="BE511" s="201">
        <v>-16.041666666666668</v>
      </c>
      <c r="BF511" s="201">
        <v>-14.583333333333336</v>
      </c>
      <c r="BG511" s="201">
        <v>-13.125000000000002</v>
      </c>
      <c r="BH511" s="201">
        <v>-11.666666666666666</v>
      </c>
      <c r="BI511" s="201">
        <v>-10.208333333333334</v>
      </c>
      <c r="BJ511" s="201">
        <v>-8.7500000000000018</v>
      </c>
      <c r="BK511" s="201">
        <v>-7.2916666666666679</v>
      </c>
      <c r="BL511" s="201">
        <v>-5.833333333333333</v>
      </c>
      <c r="BM511" s="201">
        <v>-4.3750000000000009</v>
      </c>
      <c r="BN511" s="201">
        <v>-2.9166666666666665</v>
      </c>
      <c r="BO511" s="201">
        <v>-1.4583333333333333</v>
      </c>
      <c r="BP511" s="201"/>
      <c r="BQ511" s="201"/>
    </row>
    <row r="512" spans="2:69" s="22" customFormat="1" outlineLevel="1">
      <c r="B512" s="182"/>
      <c r="C512" s="182" t="s">
        <v>1193</v>
      </c>
      <c r="D512" s="182"/>
      <c r="E512" s="200"/>
      <c r="F512" s="184" t="s">
        <v>119</v>
      </c>
      <c r="G512" s="66"/>
      <c r="H512" s="201" cm="1">
        <f t="array" aca="1" ref="H512:BO512" ca="1">-H506:BO506</f>
        <v>0</v>
      </c>
      <c r="I512" s="201">
        <f ca="1"/>
        <v>-50.765522179363138</v>
      </c>
      <c r="J512" s="201">
        <f ca="1"/>
        <v>-53.129923341591699</v>
      </c>
      <c r="K512" s="201">
        <f ca="1"/>
        <v>0</v>
      </c>
      <c r="L512" s="201">
        <f ca="1"/>
        <v>0</v>
      </c>
      <c r="M512" s="201">
        <f ca="1"/>
        <v>0</v>
      </c>
      <c r="N512" s="201">
        <f ca="1"/>
        <v>0</v>
      </c>
      <c r="O512" s="201">
        <f ca="1"/>
        <v>0</v>
      </c>
      <c r="P512" s="201">
        <f ca="1"/>
        <v>0</v>
      </c>
      <c r="Q512" s="201">
        <f ca="1"/>
        <v>0</v>
      </c>
      <c r="R512" s="201">
        <f ca="1"/>
        <v>0</v>
      </c>
      <c r="S512" s="201">
        <f ca="1"/>
        <v>0</v>
      </c>
      <c r="T512" s="201">
        <f ca="1"/>
        <v>0</v>
      </c>
      <c r="U512" s="201">
        <f ca="1"/>
        <v>0</v>
      </c>
      <c r="V512" s="201">
        <f ca="1"/>
        <v>0</v>
      </c>
      <c r="W512" s="201">
        <f ca="1"/>
        <v>0</v>
      </c>
      <c r="X512" s="201">
        <f ca="1"/>
        <v>0</v>
      </c>
      <c r="Y512" s="201">
        <f ca="1"/>
        <v>0</v>
      </c>
      <c r="Z512" s="201">
        <f ca="1"/>
        <v>0</v>
      </c>
      <c r="AA512" s="201">
        <f ca="1"/>
        <v>0</v>
      </c>
      <c r="AB512" s="201">
        <f ca="1"/>
        <v>0</v>
      </c>
      <c r="AC512" s="201">
        <f ca="1"/>
        <v>0</v>
      </c>
      <c r="AD512" s="201">
        <f ca="1"/>
        <v>0</v>
      </c>
      <c r="AE512" s="201">
        <f ca="1"/>
        <v>0</v>
      </c>
      <c r="AF512" s="201">
        <f ca="1"/>
        <v>0</v>
      </c>
      <c r="AG512" s="201">
        <f ca="1"/>
        <v>0</v>
      </c>
      <c r="AH512" s="201">
        <f ca="1"/>
        <v>0</v>
      </c>
      <c r="AI512" s="201">
        <f ca="1"/>
        <v>0</v>
      </c>
      <c r="AJ512" s="201">
        <f ca="1"/>
        <v>0</v>
      </c>
      <c r="AK512" s="201">
        <f ca="1"/>
        <v>0</v>
      </c>
      <c r="AL512" s="201">
        <f ca="1"/>
        <v>0</v>
      </c>
      <c r="AM512" s="201">
        <f ca="1"/>
        <v>0</v>
      </c>
      <c r="AN512" s="201">
        <f ca="1"/>
        <v>0</v>
      </c>
      <c r="AO512" s="201">
        <f ca="1"/>
        <v>0</v>
      </c>
      <c r="AP512" s="201">
        <f ca="1"/>
        <v>0</v>
      </c>
      <c r="AQ512" s="201">
        <f ca="1"/>
        <v>0</v>
      </c>
      <c r="AR512" s="201">
        <f ca="1"/>
        <v>0</v>
      </c>
      <c r="AS512" s="201">
        <f ca="1"/>
        <v>0</v>
      </c>
      <c r="AT512" s="201">
        <f ca="1"/>
        <v>0</v>
      </c>
      <c r="AU512" s="201">
        <f ca="1"/>
        <v>0</v>
      </c>
      <c r="AV512" s="201">
        <f ca="1"/>
        <v>0</v>
      </c>
      <c r="AW512" s="201">
        <f ca="1"/>
        <v>0</v>
      </c>
      <c r="AX512" s="201">
        <f ca="1"/>
        <v>0</v>
      </c>
      <c r="AY512" s="201">
        <f ca="1"/>
        <v>0</v>
      </c>
      <c r="AZ512" s="201">
        <f ca="1"/>
        <v>0</v>
      </c>
      <c r="BA512" s="201">
        <f ca="1"/>
        <v>0</v>
      </c>
      <c r="BB512" s="201">
        <f ca="1"/>
        <v>0</v>
      </c>
      <c r="BC512" s="201">
        <f ca="1"/>
        <v>0</v>
      </c>
      <c r="BD512" s="201">
        <f ca="1"/>
        <v>0</v>
      </c>
      <c r="BE512" s="201">
        <f ca="1"/>
        <v>0</v>
      </c>
      <c r="BF512" s="201">
        <f ca="1"/>
        <v>0</v>
      </c>
      <c r="BG512" s="201">
        <f ca="1"/>
        <v>0</v>
      </c>
      <c r="BH512" s="201">
        <f ca="1"/>
        <v>0</v>
      </c>
      <c r="BI512" s="201">
        <f ca="1"/>
        <v>0</v>
      </c>
      <c r="BJ512" s="201">
        <f ca="1"/>
        <v>0</v>
      </c>
      <c r="BK512" s="201">
        <f ca="1"/>
        <v>0</v>
      </c>
      <c r="BL512" s="201">
        <f ca="1"/>
        <v>0</v>
      </c>
      <c r="BM512" s="201">
        <f ca="1"/>
        <v>0</v>
      </c>
      <c r="BN512" s="201">
        <f ca="1"/>
        <v>0</v>
      </c>
      <c r="BO512" s="201">
        <f ca="1"/>
        <v>0</v>
      </c>
      <c r="BP512" s="201"/>
      <c r="BQ512" s="201"/>
    </row>
    <row r="513" spans="2:69" s="31" customFormat="1" outlineLevel="1">
      <c r="B513" s="208"/>
      <c r="C513" s="227" t="s">
        <v>1333</v>
      </c>
      <c r="D513" s="227"/>
      <c r="E513" s="228"/>
      <c r="F513" s="243" t="s">
        <v>119</v>
      </c>
      <c r="G513" s="213"/>
      <c r="H513" s="250">
        <f t="shared" ref="H513:AM513" ca="1" si="555">SUM(H510:H512)</f>
        <v>-309.58333333333337</v>
      </c>
      <c r="I513" s="250">
        <f t="shared" ca="1" si="555"/>
        <v>-356.49121662380759</v>
      </c>
      <c r="J513" s="250">
        <f t="shared" ca="1" si="555"/>
        <v>-354.99797889714722</v>
      </c>
      <c r="K513" s="250">
        <f t="shared" ca="1" si="555"/>
        <v>-298.01041666666663</v>
      </c>
      <c r="L513" s="250">
        <f t="shared" ca="1" si="555"/>
        <v>-294.15277777777771</v>
      </c>
      <c r="M513" s="250">
        <f t="shared" ca="1" si="555"/>
        <v>-290.2951388888888</v>
      </c>
      <c r="N513" s="250">
        <f t="shared" ca="1" si="555"/>
        <v>-286.4375</v>
      </c>
      <c r="O513" s="250">
        <f t="shared" ca="1" si="555"/>
        <v>-282.57986111111109</v>
      </c>
      <c r="P513" s="250">
        <f t="shared" ca="1" si="555"/>
        <v>-278.72222222222217</v>
      </c>
      <c r="Q513" s="250">
        <f t="shared" ca="1" si="555"/>
        <v>-274.86458333333326</v>
      </c>
      <c r="R513" s="250">
        <f t="shared" ca="1" si="555"/>
        <v>-271.00694444444434</v>
      </c>
      <c r="S513" s="250">
        <f t="shared" ca="1" si="555"/>
        <v>-267.14930555555543</v>
      </c>
      <c r="T513" s="250">
        <f t="shared" ca="1" si="555"/>
        <v>-257.29166666666657</v>
      </c>
      <c r="U513" s="250">
        <f t="shared" ca="1" si="555"/>
        <v>-253.55902777777766</v>
      </c>
      <c r="V513" s="250">
        <f t="shared" ca="1" si="555"/>
        <v>-249.8263888888888</v>
      </c>
      <c r="W513" s="250">
        <f t="shared" ca="1" si="555"/>
        <v>-246.09374999999989</v>
      </c>
      <c r="X513" s="250">
        <f t="shared" ca="1" si="555"/>
        <v>-242.36111111111097</v>
      </c>
      <c r="Y513" s="250">
        <f t="shared" ca="1" si="555"/>
        <v>-238.62847222222206</v>
      </c>
      <c r="Z513" s="250">
        <f t="shared" ca="1" si="555"/>
        <v>-234.8958333333332</v>
      </c>
      <c r="AA513" s="250">
        <f t="shared" ca="1" si="555"/>
        <v>-231.16319444444429</v>
      </c>
      <c r="AB513" s="250">
        <f t="shared" ca="1" si="555"/>
        <v>-227.43055555555534</v>
      </c>
      <c r="AC513" s="250">
        <f t="shared" ca="1" si="555"/>
        <v>-223.69791666666646</v>
      </c>
      <c r="AD513" s="250">
        <f t="shared" ca="1" si="555"/>
        <v>-219.96527777777757</v>
      </c>
      <c r="AE513" s="250">
        <f t="shared" ca="1" si="555"/>
        <v>-216.23263888888866</v>
      </c>
      <c r="AF513" s="250">
        <f t="shared" ca="1" si="555"/>
        <v>-208.74999999999977</v>
      </c>
      <c r="AG513" s="250">
        <f t="shared" ca="1" si="555"/>
        <v>-205.12152777777754</v>
      </c>
      <c r="AH513" s="250">
        <f t="shared" ca="1" si="555"/>
        <v>-201.49305555555532</v>
      </c>
      <c r="AI513" s="250">
        <f t="shared" ca="1" si="555"/>
        <v>-197.86458333333306</v>
      </c>
      <c r="AJ513" s="250">
        <f t="shared" ca="1" si="555"/>
        <v>-194.23611111111083</v>
      </c>
      <c r="AK513" s="250">
        <f t="shared" ca="1" si="555"/>
        <v>-190.60763888888863</v>
      </c>
      <c r="AL513" s="250">
        <f t="shared" ca="1" si="555"/>
        <v>-186.97916666666637</v>
      </c>
      <c r="AM513" s="250">
        <f t="shared" ca="1" si="555"/>
        <v>-183.35069444444412</v>
      </c>
      <c r="AN513" s="250">
        <f t="shared" ref="AN513:BO513" ca="1" si="556">SUM(AN510:AN512)</f>
        <v>-179.72222222222192</v>
      </c>
      <c r="AO513" s="250">
        <f t="shared" ca="1" si="556"/>
        <v>-176.09374999999969</v>
      </c>
      <c r="AP513" s="250">
        <f t="shared" ca="1" si="556"/>
        <v>-172.46527777777743</v>
      </c>
      <c r="AQ513" s="250">
        <f t="shared" ca="1" si="556"/>
        <v>-168.83680555555526</v>
      </c>
      <c r="AR513" s="250">
        <f t="shared" ca="1" si="556"/>
        <v>-165.20833333333303</v>
      </c>
      <c r="AS513" s="250">
        <f t="shared" ca="1" si="556"/>
        <v>-161.5798611111108</v>
      </c>
      <c r="AT513" s="250">
        <f t="shared" ca="1" si="556"/>
        <v>-157.9513888888886</v>
      </c>
      <c r="AU513" s="250">
        <f t="shared" ca="1" si="556"/>
        <v>-154.32291666666637</v>
      </c>
      <c r="AV513" s="250">
        <f t="shared" ca="1" si="556"/>
        <v>-150.69444444444417</v>
      </c>
      <c r="AW513" s="250">
        <f t="shared" ca="1" si="556"/>
        <v>-147.06597222222194</v>
      </c>
      <c r="AX513" s="250">
        <f t="shared" ca="1" si="556"/>
        <v>-143.43749999999972</v>
      </c>
      <c r="AY513" s="250">
        <f t="shared" ca="1" si="556"/>
        <v>-139.80902777777752</v>
      </c>
      <c r="AZ513" s="250">
        <f t="shared" ca="1" si="556"/>
        <v>-136.18055555555529</v>
      </c>
      <c r="BA513" s="250">
        <f t="shared" ca="1" si="556"/>
        <v>-132.55208333333309</v>
      </c>
      <c r="BB513" s="250">
        <f t="shared" ca="1" si="556"/>
        <v>-128.92361111111086</v>
      </c>
      <c r="BC513" s="250">
        <f t="shared" ca="1" si="556"/>
        <v>-125.29513888888863</v>
      </c>
      <c r="BD513" s="250">
        <f t="shared" ca="1" si="556"/>
        <v>-121.66666666666642</v>
      </c>
      <c r="BE513" s="250">
        <f t="shared" ca="1" si="556"/>
        <v>-118.0381944444442</v>
      </c>
      <c r="BF513" s="250">
        <f t="shared" ca="1" si="556"/>
        <v>-114.40972222222197</v>
      </c>
      <c r="BG513" s="250">
        <f t="shared" ca="1" si="556"/>
        <v>-110.78124999999976</v>
      </c>
      <c r="BH513" s="250">
        <f t="shared" ca="1" si="556"/>
        <v>-107.15277777777754</v>
      </c>
      <c r="BI513" s="250">
        <f t="shared" ca="1" si="556"/>
        <v>-103.52430555555533</v>
      </c>
      <c r="BJ513" s="250">
        <f t="shared" ca="1" si="556"/>
        <v>-99.895833333333101</v>
      </c>
      <c r="BK513" s="250">
        <f t="shared" ca="1" si="556"/>
        <v>-96.267361111110901</v>
      </c>
      <c r="BL513" s="250">
        <f t="shared" ca="1" si="556"/>
        <v>-92.638888888888658</v>
      </c>
      <c r="BM513" s="250">
        <f t="shared" ca="1" si="556"/>
        <v>-89.010416666666458</v>
      </c>
      <c r="BN513" s="250">
        <f t="shared" ca="1" si="556"/>
        <v>-85.381944444444244</v>
      </c>
      <c r="BO513" s="250">
        <f t="shared" ca="1" si="556"/>
        <v>-81.753472222222015</v>
      </c>
      <c r="BP513" s="364"/>
      <c r="BQ513" s="364"/>
    </row>
    <row r="514" spans="2:69" s="22" customFormat="1" outlineLevel="1">
      <c r="E514" s="28"/>
      <c r="F514" s="29"/>
      <c r="G514" s="66"/>
    </row>
    <row r="515" spans="2:69" s="22" customFormat="1" outlineLevel="1">
      <c r="B515" s="69" t="s">
        <v>1334</v>
      </c>
      <c r="E515" s="28"/>
      <c r="F515" s="29"/>
      <c r="G515" s="66"/>
    </row>
    <row r="516" spans="2:69" s="22" customFormat="1" outlineLevel="1">
      <c r="C516" s="22" t="s">
        <v>1220</v>
      </c>
      <c r="E516" s="28"/>
      <c r="F516" s="29"/>
      <c r="G516" s="66"/>
      <c r="H516" s="148" cm="1">
        <f t="array" aca="1" ref="H516:BO516" ca="1">H110:BO110</f>
        <v>10000</v>
      </c>
      <c r="I516" s="148">
        <f ca="1"/>
        <v>0</v>
      </c>
      <c r="J516" s="148">
        <f ca="1"/>
        <v>0</v>
      </c>
      <c r="K516" s="148">
        <f ca="1"/>
        <v>6112.9615849343863</v>
      </c>
      <c r="L516" s="148">
        <f ca="1"/>
        <v>10498.991353522306</v>
      </c>
      <c r="M516" s="148">
        <f ca="1"/>
        <v>14867.781158561102</v>
      </c>
      <c r="N516" s="148">
        <f ca="1"/>
        <v>19212.18898370209</v>
      </c>
      <c r="O516" s="148">
        <f ca="1"/>
        <v>23598.125450578787</v>
      </c>
      <c r="P516" s="148">
        <f ca="1"/>
        <v>27993.119122702214</v>
      </c>
      <c r="Q516" s="148">
        <f ca="1"/>
        <v>32394.630358821469</v>
      </c>
      <c r="R516" s="148">
        <f ca="1"/>
        <v>36824.78277947718</v>
      </c>
      <c r="S516" s="148">
        <f ca="1"/>
        <v>41249.182791438405</v>
      </c>
      <c r="T516" s="148">
        <f ca="1"/>
        <v>70911.814750766993</v>
      </c>
      <c r="U516" s="148">
        <f ca="1"/>
        <v>44037.023972265393</v>
      </c>
      <c r="V516" s="148">
        <f ca="1"/>
        <v>43708.161463819219</v>
      </c>
      <c r="W516" s="148">
        <f ca="1"/>
        <v>58447.96600340349</v>
      </c>
      <c r="X516" s="148">
        <f ca="1"/>
        <v>63013.153392501874</v>
      </c>
      <c r="Y516" s="148">
        <f ca="1"/>
        <v>67590.726370637523</v>
      </c>
      <c r="Z516" s="148">
        <f ca="1"/>
        <v>72176.389700769476</v>
      </c>
      <c r="AA516" s="148">
        <f ca="1"/>
        <v>76768.856258844127</v>
      </c>
      <c r="AB516" s="148">
        <f ca="1"/>
        <v>81368.334927555668</v>
      </c>
      <c r="AC516" s="148">
        <f ca="1"/>
        <v>85956.490111350751</v>
      </c>
      <c r="AD516" s="148">
        <f ca="1"/>
        <v>90570.231332902476</v>
      </c>
      <c r="AE516" s="148">
        <f ca="1"/>
        <v>95190.923783030201</v>
      </c>
      <c r="AF516" s="148">
        <f ca="1"/>
        <v>126017.52977128925</v>
      </c>
      <c r="AG516" s="148">
        <f ca="1"/>
        <v>98072.484860298864</v>
      </c>
      <c r="AH516" s="148">
        <f ca="1"/>
        <v>97730.953171603818</v>
      </c>
      <c r="AI516" s="148">
        <f ca="1"/>
        <v>113084.6237786873</v>
      </c>
      <c r="AJ516" s="148">
        <f ca="1"/>
        <v>117848.41300145007</v>
      </c>
      <c r="AK516" s="148">
        <f ca="1"/>
        <v>122612.52664295155</v>
      </c>
      <c r="AL516" s="148">
        <f ca="1"/>
        <v>127393.87912263763</v>
      </c>
      <c r="AM516" s="148">
        <f ca="1"/>
        <v>132168.02919337907</v>
      </c>
      <c r="AN516" s="148">
        <f ca="1"/>
        <v>136939.39312618101</v>
      </c>
      <c r="AO516" s="148">
        <f ca="1"/>
        <v>141736.31068082224</v>
      </c>
      <c r="AP516" s="148">
        <f ca="1"/>
        <v>146542.65138575976</v>
      </c>
      <c r="AQ516" s="148">
        <f ca="1"/>
        <v>151355.72093559051</v>
      </c>
      <c r="AR516" s="148">
        <f ca="1"/>
        <v>183536.68722069403</v>
      </c>
      <c r="AS516" s="148">
        <f ca="1"/>
        <v>153340.53781480255</v>
      </c>
      <c r="AT516" s="148">
        <f ca="1"/>
        <v>151344.3330609749</v>
      </c>
      <c r="AU516" s="148">
        <f ca="1"/>
        <v>165669.48716235059</v>
      </c>
      <c r="AV516" s="148">
        <f ca="1"/>
        <v>168979.13174259607</v>
      </c>
      <c r="AW516" s="148">
        <f ca="1"/>
        <v>172299.30350250704</v>
      </c>
      <c r="AX516" s="148">
        <f ca="1"/>
        <v>175572.82568525049</v>
      </c>
      <c r="AY516" s="148">
        <f ca="1"/>
        <v>178898.13117517575</v>
      </c>
      <c r="AZ516" s="148">
        <f ca="1"/>
        <v>182231.88712578386</v>
      </c>
      <c r="BA516" s="148">
        <f ca="1"/>
        <v>185572.72802716633</v>
      </c>
      <c r="BB516" s="148">
        <f ca="1"/>
        <v>188920.87548297356</v>
      </c>
      <c r="BC516" s="148">
        <f ca="1"/>
        <v>192267.50071243872</v>
      </c>
      <c r="BD516" s="148">
        <f ca="1"/>
        <v>224079.51306694298</v>
      </c>
      <c r="BE516" s="148">
        <f ca="1"/>
        <v>192151.24482244311</v>
      </c>
      <c r="BF516" s="148">
        <f ca="1"/>
        <v>190155.2493483712</v>
      </c>
      <c r="BG516" s="148">
        <f ca="1"/>
        <v>205139.3302072119</v>
      </c>
      <c r="BH516" s="148">
        <f ca="1"/>
        <v>208647.97642012767</v>
      </c>
      <c r="BI516" s="148">
        <f ca="1"/>
        <v>212191.03654196238</v>
      </c>
      <c r="BJ516" s="148">
        <f ca="1"/>
        <v>215730.38704797492</v>
      </c>
      <c r="BK516" s="148">
        <f ca="1"/>
        <v>219269.99334024396</v>
      </c>
      <c r="BL516" s="148">
        <f ca="1"/>
        <v>222827.7999263597</v>
      </c>
      <c r="BM516" s="148">
        <f ca="1"/>
        <v>226377.87708724273</v>
      </c>
      <c r="BN516" s="148">
        <f ca="1"/>
        <v>229924.91004480235</v>
      </c>
      <c r="BO516" s="148">
        <f ca="1"/>
        <v>233498.96445018804</v>
      </c>
      <c r="BP516" s="148"/>
      <c r="BQ516" s="148"/>
    </row>
    <row r="517" spans="2:69" s="22" customFormat="1" outlineLevel="1">
      <c r="C517" s="22" t="s">
        <v>1335</v>
      </c>
      <c r="E517" s="28"/>
      <c r="F517" s="29"/>
      <c r="G517" s="66"/>
      <c r="H517" s="148" cm="1">
        <f t="array" aca="1" ref="H517:BO517" ca="1">H95:BO95</f>
        <v>-16446.424600000028</v>
      </c>
      <c r="I517" s="148">
        <f ca="1"/>
        <v>251.68871357396984</v>
      </c>
      <c r="J517" s="148">
        <f ca="1"/>
        <v>17410.030844932055</v>
      </c>
      <c r="K517" s="148">
        <f ca="1"/>
        <v>7741.2908246978222</v>
      </c>
      <c r="L517" s="148">
        <f ca="1"/>
        <v>7728.4936399975795</v>
      </c>
      <c r="M517" s="148">
        <f ca="1"/>
        <v>7701.6107310286634</v>
      </c>
      <c r="N517" s="148">
        <f ca="1"/>
        <v>7749.266434424957</v>
      </c>
      <c r="O517" s="148">
        <f ca="1"/>
        <v>7764.7000689835922</v>
      </c>
      <c r="P517" s="148">
        <f ca="1"/>
        <v>7777.3198705177256</v>
      </c>
      <c r="Q517" s="148">
        <f ca="1"/>
        <v>7815.5418174080642</v>
      </c>
      <c r="R517" s="148">
        <f ca="1"/>
        <v>7817.0238212824725</v>
      </c>
      <c r="S517" s="148">
        <f ca="1"/>
        <v>38564.82760820094</v>
      </c>
      <c r="T517" s="148">
        <f ca="1"/>
        <v>-25623.304166138296</v>
      </c>
      <c r="U517" s="148">
        <f ca="1"/>
        <v>358.51968507190759</v>
      </c>
      <c r="V517" s="148">
        <f ca="1"/>
        <v>18272.326552158287</v>
      </c>
      <c r="W517" s="148">
        <f ca="1"/>
        <v>8102.4687929258153</v>
      </c>
      <c r="X517" s="148">
        <f ca="1"/>
        <v>8121.880467932624</v>
      </c>
      <c r="Y517" s="148">
        <f ca="1"/>
        <v>8136.5563677549708</v>
      </c>
      <c r="Z517" s="148">
        <f ca="1"/>
        <v>8149.43810847026</v>
      </c>
      <c r="AA517" s="148">
        <f ca="1"/>
        <v>8162.5584346598844</v>
      </c>
      <c r="AB517" s="148">
        <f ca="1"/>
        <v>8153.1415073411172</v>
      </c>
      <c r="AC517" s="148">
        <f ca="1"/>
        <v>8185.488480126276</v>
      </c>
      <c r="AD517" s="148">
        <f ca="1"/>
        <v>8198.5984256411612</v>
      </c>
      <c r="AE517" s="148">
        <f ca="1"/>
        <v>40123.538924630164</v>
      </c>
      <c r="AF517" s="148">
        <f ca="1"/>
        <v>-26605.243637069412</v>
      </c>
      <c r="AG517" s="148">
        <f ca="1"/>
        <v>410.29188893720311</v>
      </c>
      <c r="AH517" s="148">
        <f ca="1"/>
        <v>19066.830722588249</v>
      </c>
      <c r="AI517" s="148">
        <f ca="1"/>
        <v>8483.3503914556277</v>
      </c>
      <c r="AJ517" s="148">
        <f ca="1"/>
        <v>8488.165756188846</v>
      </c>
      <c r="AK517" s="148">
        <f ca="1"/>
        <v>8512.0387688138562</v>
      </c>
      <c r="AL517" s="148">
        <f ca="1"/>
        <v>8509.3640652000031</v>
      </c>
      <c r="AM517" s="148">
        <f ca="1"/>
        <v>8508.6869207149502</v>
      </c>
      <c r="AN517" s="148">
        <f ca="1"/>
        <v>8540.5551035199642</v>
      </c>
      <c r="AO517" s="148">
        <f ca="1"/>
        <v>8556.557368923286</v>
      </c>
      <c r="AP517" s="148">
        <f ca="1"/>
        <v>8569.5744388708572</v>
      </c>
      <c r="AQ517" s="148">
        <f ca="1"/>
        <v>41908.748532336838</v>
      </c>
      <c r="AR517" s="148">
        <f ca="1"/>
        <v>-27643.214409719916</v>
      </c>
      <c r="AS517" s="148">
        <f ca="1"/>
        <v>-53.816264762197989</v>
      </c>
      <c r="AT517" s="148">
        <f ca="1"/>
        <v>19348.582781592104</v>
      </c>
      <c r="AU517" s="148">
        <f ca="1"/>
        <v>8338.9477763471969</v>
      </c>
      <c r="AV517" s="148">
        <f ca="1"/>
        <v>8356.5997392673962</v>
      </c>
      <c r="AW517" s="148">
        <f ca="1"/>
        <v>8304.5601471878617</v>
      </c>
      <c r="AX517" s="148">
        <f ca="1"/>
        <v>8363.6648352247812</v>
      </c>
      <c r="AY517" s="148">
        <f ca="1"/>
        <v>8378.9693098462922</v>
      </c>
      <c r="AZ517" s="148">
        <f ca="1"/>
        <v>8392.3703610710909</v>
      </c>
      <c r="BA517" s="148">
        <f ca="1"/>
        <v>8406.0245276257174</v>
      </c>
      <c r="BB517" s="148">
        <f ca="1"/>
        <v>8408.746038512516</v>
      </c>
      <c r="BC517" s="148">
        <f ca="1"/>
        <v>43085.292696728065</v>
      </c>
      <c r="BD517" s="148">
        <f ca="1"/>
        <v>-29279.194404140035</v>
      </c>
      <c r="BE517" s="148">
        <f ca="1"/>
        <v>17.694018314021378</v>
      </c>
      <c r="BF517" s="148">
        <f ca="1"/>
        <v>20204.357342166186</v>
      </c>
      <c r="BG517" s="148">
        <f ca="1"/>
        <v>8733.3612160056764</v>
      </c>
      <c r="BH517" s="148">
        <f ca="1"/>
        <v>8776.9971565289652</v>
      </c>
      <c r="BI517" s="148">
        <f ca="1"/>
        <v>8779.9900284506639</v>
      </c>
      <c r="BJ517" s="148">
        <f ca="1"/>
        <v>8784.92186972942</v>
      </c>
      <c r="BK517" s="148">
        <f ca="1"/>
        <v>8810.0719696566393</v>
      </c>
      <c r="BL517" s="148">
        <f ca="1"/>
        <v>8807.0575974260119</v>
      </c>
      <c r="BM517" s="148">
        <f ca="1"/>
        <v>8806.1624356751072</v>
      </c>
      <c r="BN517" s="148">
        <f ca="1"/>
        <v>8839.7946116463627</v>
      </c>
      <c r="BO517" s="148">
        <f ca="1"/>
        <v>44926.625736614791</v>
      </c>
      <c r="BP517" s="148"/>
      <c r="BQ517" s="148"/>
    </row>
    <row r="518" spans="2:69" s="22" customFormat="1" outlineLevel="1">
      <c r="C518" s="22" t="s">
        <v>1336</v>
      </c>
      <c r="E518" s="28"/>
      <c r="F518" s="29"/>
      <c r="G518" s="66"/>
      <c r="H518" s="148" cm="1">
        <f t="array" ref="H518:BO518">H99:BO99</f>
        <v>-103</v>
      </c>
      <c r="I518" s="148">
        <v>-103</v>
      </c>
      <c r="J518" s="148">
        <v>-103</v>
      </c>
      <c r="K518" s="148">
        <v>-103</v>
      </c>
      <c r="L518" s="148">
        <v>-103</v>
      </c>
      <c r="M518" s="148">
        <v>-103</v>
      </c>
      <c r="N518" s="148">
        <v>-103</v>
      </c>
      <c r="O518" s="148">
        <v>-103</v>
      </c>
      <c r="P518" s="148">
        <v>-103</v>
      </c>
      <c r="Q518" s="148">
        <v>-103</v>
      </c>
      <c r="R518" s="148">
        <v>-103</v>
      </c>
      <c r="S518" s="148">
        <v>-103</v>
      </c>
      <c r="T518" s="148">
        <v>-106.08999999999999</v>
      </c>
      <c r="U518" s="148">
        <v>-106.08999999999999</v>
      </c>
      <c r="V518" s="148">
        <v>-106.08999999999999</v>
      </c>
      <c r="W518" s="148">
        <v>-106.08999999999999</v>
      </c>
      <c r="X518" s="148">
        <v>-106.08999999999999</v>
      </c>
      <c r="Y518" s="148">
        <v>-106.08999999999999</v>
      </c>
      <c r="Z518" s="148">
        <v>-106.08999999999999</v>
      </c>
      <c r="AA518" s="148">
        <v>-106.08999999999999</v>
      </c>
      <c r="AB518" s="148">
        <v>-106.08999999999999</v>
      </c>
      <c r="AC518" s="148">
        <v>-106.08999999999999</v>
      </c>
      <c r="AD518" s="148">
        <v>-106.08999999999999</v>
      </c>
      <c r="AE518" s="148">
        <v>-106.08999999999999</v>
      </c>
      <c r="AF518" s="148">
        <v>-109.2727</v>
      </c>
      <c r="AG518" s="148">
        <v>-109.2727</v>
      </c>
      <c r="AH518" s="148">
        <v>-109.2727</v>
      </c>
      <c r="AI518" s="148">
        <v>-109.2727</v>
      </c>
      <c r="AJ518" s="148">
        <v>-109.2727</v>
      </c>
      <c r="AK518" s="148">
        <v>-109.2727</v>
      </c>
      <c r="AL518" s="148">
        <v>-109.2727</v>
      </c>
      <c r="AM518" s="148">
        <v>-109.2727</v>
      </c>
      <c r="AN518" s="148">
        <v>-109.2727</v>
      </c>
      <c r="AO518" s="148">
        <v>-109.2727</v>
      </c>
      <c r="AP518" s="148">
        <v>-109.2727</v>
      </c>
      <c r="AQ518" s="148">
        <v>-109.2727</v>
      </c>
      <c r="AR518" s="148">
        <v>-112.55088099999999</v>
      </c>
      <c r="AS518" s="148">
        <v>-112.55088099999999</v>
      </c>
      <c r="AT518" s="148">
        <v>-112.55088099999999</v>
      </c>
      <c r="AU518" s="148">
        <v>-112.55088099999999</v>
      </c>
      <c r="AV518" s="148">
        <v>-112.55088099999999</v>
      </c>
      <c r="AW518" s="148">
        <v>-112.55088099999999</v>
      </c>
      <c r="AX518" s="148">
        <v>-112.55088099999999</v>
      </c>
      <c r="AY518" s="148">
        <v>-112.55088099999999</v>
      </c>
      <c r="AZ518" s="148">
        <v>-112.55088099999999</v>
      </c>
      <c r="BA518" s="148">
        <v>-112.55088099999999</v>
      </c>
      <c r="BB518" s="148">
        <v>-112.55088099999999</v>
      </c>
      <c r="BC518" s="148">
        <v>-112.55088099999999</v>
      </c>
      <c r="BD518" s="148">
        <v>-115.92740742999999</v>
      </c>
      <c r="BE518" s="148">
        <v>-115.92740742999999</v>
      </c>
      <c r="BF518" s="148">
        <v>-115.92740742999999</v>
      </c>
      <c r="BG518" s="148">
        <v>-115.92740742999999</v>
      </c>
      <c r="BH518" s="148">
        <v>-115.92740742999999</v>
      </c>
      <c r="BI518" s="148">
        <v>-115.92740742999999</v>
      </c>
      <c r="BJ518" s="148">
        <v>-115.92740742999999</v>
      </c>
      <c r="BK518" s="148">
        <v>-115.92740742999999</v>
      </c>
      <c r="BL518" s="148">
        <v>-115.92740742999999</v>
      </c>
      <c r="BM518" s="148">
        <v>-115.92740742999999</v>
      </c>
      <c r="BN518" s="148">
        <v>-115.92740742999999</v>
      </c>
      <c r="BO518" s="148">
        <v>-115.92740742999999</v>
      </c>
      <c r="BP518" s="148"/>
      <c r="BQ518" s="148"/>
    </row>
    <row r="519" spans="2:69" s="22" customFormat="1" outlineLevel="1">
      <c r="C519" s="22" t="s">
        <v>1337</v>
      </c>
      <c r="E519" s="28"/>
      <c r="F519" s="29"/>
      <c r="G519" s="66"/>
      <c r="H519" s="148" cm="1">
        <f t="array" ref="H519:BO519">H486:BO486+H497:BO497</f>
        <v>-770.83333333333337</v>
      </c>
      <c r="I519" s="148">
        <v>-770.83333333333337</v>
      </c>
      <c r="J519" s="148">
        <v>-770.83333333333337</v>
      </c>
      <c r="K519" s="148">
        <v>-770.83333333333337</v>
      </c>
      <c r="L519" s="148">
        <v>-770.83333333333337</v>
      </c>
      <c r="M519" s="148">
        <v>-770.83333333333337</v>
      </c>
      <c r="N519" s="148">
        <v>-770.83333333333337</v>
      </c>
      <c r="O519" s="148">
        <v>-770.83333333333337</v>
      </c>
      <c r="P519" s="148">
        <v>-770.83333333333337</v>
      </c>
      <c r="Q519" s="148">
        <v>-770.83333333333337</v>
      </c>
      <c r="R519" s="148">
        <v>-770.83333333333337</v>
      </c>
      <c r="S519" s="148">
        <v>-770.83333333333337</v>
      </c>
      <c r="T519" s="148">
        <v>-770.83333333333337</v>
      </c>
      <c r="U519" s="148">
        <v>-770.83333333333337</v>
      </c>
      <c r="V519" s="148">
        <v>-770.83333333333337</v>
      </c>
      <c r="W519" s="148">
        <v>-770.83333333333337</v>
      </c>
      <c r="X519" s="148">
        <v>-770.83333333333337</v>
      </c>
      <c r="Y519" s="148">
        <v>-770.83333333333337</v>
      </c>
      <c r="Z519" s="148">
        <v>-770.83333333333337</v>
      </c>
      <c r="AA519" s="148">
        <v>-770.83333333333337</v>
      </c>
      <c r="AB519" s="148">
        <v>-770.83333333333337</v>
      </c>
      <c r="AC519" s="148">
        <v>-770.83333333333337</v>
      </c>
      <c r="AD519" s="148">
        <v>-770.83333333333337</v>
      </c>
      <c r="AE519" s="148">
        <v>-770.83333333333337</v>
      </c>
      <c r="AF519" s="148">
        <v>-770.83333333333337</v>
      </c>
      <c r="AG519" s="148">
        <v>-770.83333333333337</v>
      </c>
      <c r="AH519" s="148">
        <v>-770.83333333333337</v>
      </c>
      <c r="AI519" s="148">
        <v>-770.83333333333337</v>
      </c>
      <c r="AJ519" s="148">
        <v>-770.83333333333337</v>
      </c>
      <c r="AK519" s="148">
        <v>-770.83333333333337</v>
      </c>
      <c r="AL519" s="148">
        <v>-770.83333333333337</v>
      </c>
      <c r="AM519" s="148">
        <v>-770.83333333333337</v>
      </c>
      <c r="AN519" s="148">
        <v>-770.83333333333337</v>
      </c>
      <c r="AO519" s="148">
        <v>-770.83333333333337</v>
      </c>
      <c r="AP519" s="148">
        <v>-770.83333333333337</v>
      </c>
      <c r="AQ519" s="148">
        <v>-770.83333333333337</v>
      </c>
      <c r="AR519" s="148">
        <v>-770.83333333333337</v>
      </c>
      <c r="AS519" s="148">
        <v>-770.83333333333337</v>
      </c>
      <c r="AT519" s="148">
        <v>-770.83333333333337</v>
      </c>
      <c r="AU519" s="148">
        <v>-770.83333333333337</v>
      </c>
      <c r="AV519" s="148">
        <v>-770.83333333333337</v>
      </c>
      <c r="AW519" s="148">
        <v>-770.83333333333337</v>
      </c>
      <c r="AX519" s="148">
        <v>-770.83333333333337</v>
      </c>
      <c r="AY519" s="148">
        <v>-770.83333333333337</v>
      </c>
      <c r="AZ519" s="148">
        <v>-770.83333333333337</v>
      </c>
      <c r="BA519" s="148">
        <v>-770.83333333333337</v>
      </c>
      <c r="BB519" s="148">
        <v>-770.83333333333337</v>
      </c>
      <c r="BC519" s="148">
        <v>-770.83333333333337</v>
      </c>
      <c r="BD519" s="148">
        <v>-770.83333333333337</v>
      </c>
      <c r="BE519" s="148">
        <v>-770.83333333333337</v>
      </c>
      <c r="BF519" s="148">
        <v>-770.83333333333337</v>
      </c>
      <c r="BG519" s="148">
        <v>-770.83333333333337</v>
      </c>
      <c r="BH519" s="148">
        <v>-770.83333333333337</v>
      </c>
      <c r="BI519" s="148">
        <v>-770.83333333333337</v>
      </c>
      <c r="BJ519" s="148">
        <v>-770.83333333333337</v>
      </c>
      <c r="BK519" s="148">
        <v>-770.83333333333337</v>
      </c>
      <c r="BL519" s="148">
        <v>-770.83333333333337</v>
      </c>
      <c r="BM519" s="148">
        <v>-770.83333333333337</v>
      </c>
      <c r="BN519" s="148">
        <v>-770.83333333333337</v>
      </c>
      <c r="BO519" s="148">
        <v>-770.83333333333337</v>
      </c>
      <c r="BP519" s="148"/>
      <c r="BQ519" s="148"/>
    </row>
    <row r="520" spans="2:69" s="22" customFormat="1" outlineLevel="1">
      <c r="C520" s="22" t="s">
        <v>1338</v>
      </c>
      <c r="E520" s="28"/>
      <c r="F520" s="29"/>
      <c r="G520" s="66"/>
      <c r="H520" s="148" cm="1">
        <f t="array" aca="1" ref="H520:BO520" ca="1">_xlfn.ANCHORARRAY(H535)</f>
        <v>-294.57039357111012</v>
      </c>
      <c r="I520" s="148">
        <f ca="1"/>
        <v>267.48444542508031</v>
      </c>
      <c r="J520" s="148">
        <f ca="1"/>
        <v>-2453.7474254255817</v>
      </c>
      <c r="K520" s="148">
        <f ca="1"/>
        <v>-2481.4277227765692</v>
      </c>
      <c r="L520" s="148">
        <f ca="1"/>
        <v>-2485.8705016254512</v>
      </c>
      <c r="M520" s="148">
        <f ca="1"/>
        <v>-2483.3695725543425</v>
      </c>
      <c r="N520" s="148">
        <f ca="1"/>
        <v>-2489.4966342149251</v>
      </c>
      <c r="O520" s="148">
        <f ca="1"/>
        <v>-2495.8730635268348</v>
      </c>
      <c r="P520" s="148">
        <f ca="1"/>
        <v>-2501.9753010651375</v>
      </c>
      <c r="Q520" s="148">
        <f ca="1"/>
        <v>-2511.5560634190219</v>
      </c>
      <c r="R520" s="148">
        <f ca="1"/>
        <v>-2518.7904759879166</v>
      </c>
      <c r="S520" s="148">
        <f ca="1"/>
        <v>-8028.3623155390114</v>
      </c>
      <c r="T520" s="148">
        <f ca="1"/>
        <v>-374.56327902996708</v>
      </c>
      <c r="U520" s="148">
        <f ca="1"/>
        <v>189.54113981525035</v>
      </c>
      <c r="V520" s="148">
        <f ca="1"/>
        <v>-2655.5986792406779</v>
      </c>
      <c r="W520" s="148">
        <f ca="1"/>
        <v>-2660.3580704940964</v>
      </c>
      <c r="X520" s="148">
        <f ca="1"/>
        <v>-2667.3841564636432</v>
      </c>
      <c r="Y520" s="148">
        <f ca="1"/>
        <v>-2673.9697042896905</v>
      </c>
      <c r="Z520" s="148">
        <f ca="1"/>
        <v>-2680.0482170622713</v>
      </c>
      <c r="AA520" s="148">
        <f ca="1"/>
        <v>-2686.1564326150019</v>
      </c>
      <c r="AB520" s="148">
        <f ca="1"/>
        <v>-2688.0629902126984</v>
      </c>
      <c r="AC520" s="148">
        <f ca="1"/>
        <v>-2694.8239252412177</v>
      </c>
      <c r="AD520" s="148">
        <f ca="1"/>
        <v>-2700.9826421801054</v>
      </c>
      <c r="AE520" s="148">
        <f ca="1"/>
        <v>-8420.0096030377827</v>
      </c>
      <c r="AF520" s="148">
        <f ca="1"/>
        <v>-459.69524058764574</v>
      </c>
      <c r="AG520" s="148">
        <f ca="1"/>
        <v>128.28245570108123</v>
      </c>
      <c r="AH520" s="148">
        <f ca="1"/>
        <v>-2833.0540821714426</v>
      </c>
      <c r="AI520" s="148">
        <f ca="1"/>
        <v>-2839.4551353595189</v>
      </c>
      <c r="AJ520" s="148">
        <f ca="1"/>
        <v>-2843.9460813540345</v>
      </c>
      <c r="AK520" s="148">
        <f ca="1"/>
        <v>-2850.5802557944417</v>
      </c>
      <c r="AL520" s="148">
        <f ca="1"/>
        <v>-2855.1079611252344</v>
      </c>
      <c r="AM520" s="148">
        <f ca="1"/>
        <v>-2857.2169545796864</v>
      </c>
      <c r="AN520" s="148">
        <f ca="1"/>
        <v>-2863.5315155454077</v>
      </c>
      <c r="AO520" s="148">
        <f ca="1"/>
        <v>-2870.1106306524202</v>
      </c>
      <c r="AP520" s="148">
        <f ca="1"/>
        <v>-2876.398855706791</v>
      </c>
      <c r="AQ520" s="148">
        <f ca="1"/>
        <v>-8847.6762138999748</v>
      </c>
      <c r="AR520" s="148">
        <f ca="1"/>
        <v>-1669.5507818382316</v>
      </c>
      <c r="AS520" s="148">
        <f ca="1"/>
        <v>-1059.004274732119</v>
      </c>
      <c r="AT520" s="148">
        <f ca="1"/>
        <v>-4140.0444658830693</v>
      </c>
      <c r="AU520" s="148">
        <f ca="1"/>
        <v>-4145.9189817683873</v>
      </c>
      <c r="AV520" s="148">
        <f ca="1"/>
        <v>-4153.0437650231097</v>
      </c>
      <c r="AW520" s="148">
        <f ca="1"/>
        <v>-4147.6537501110924</v>
      </c>
      <c r="AX520" s="148">
        <f ca="1"/>
        <v>-4154.9751309661788</v>
      </c>
      <c r="AY520" s="148">
        <f ca="1"/>
        <v>-4161.829144904832</v>
      </c>
      <c r="AZ520" s="148">
        <f ca="1"/>
        <v>-4168.1452453552756</v>
      </c>
      <c r="BA520" s="148">
        <f ca="1"/>
        <v>-4174.4928574851601</v>
      </c>
      <c r="BB520" s="148">
        <f ca="1"/>
        <v>-4178.7365947140224</v>
      </c>
      <c r="BC520" s="148">
        <f ca="1"/>
        <v>-10389.896127890479</v>
      </c>
      <c r="BD520" s="148">
        <f ca="1"/>
        <v>-1762.3130995965003</v>
      </c>
      <c r="BE520" s="148">
        <f ca="1"/>
        <v>-1126.9287516226063</v>
      </c>
      <c r="BF520" s="148">
        <f ca="1"/>
        <v>-4333.5157425621564</v>
      </c>
      <c r="BG520" s="148">
        <f ca="1"/>
        <v>-4337.9542623265825</v>
      </c>
      <c r="BH520" s="148">
        <f ca="1"/>
        <v>-4347.1762939309228</v>
      </c>
      <c r="BI520" s="148">
        <f ca="1"/>
        <v>-4353.8787816748136</v>
      </c>
      <c r="BJ520" s="148">
        <f ca="1"/>
        <v>-4358.554836697047</v>
      </c>
      <c r="BK520" s="148">
        <f ca="1"/>
        <v>-4365.5046427775578</v>
      </c>
      <c r="BL520" s="148">
        <f ca="1"/>
        <v>-4370.2196957796523</v>
      </c>
      <c r="BM520" s="148">
        <f ca="1"/>
        <v>-4372.3687373521543</v>
      </c>
      <c r="BN520" s="148">
        <f ca="1"/>
        <v>-4378.9794654973521</v>
      </c>
      <c r="BO520" s="148">
        <f ca="1"/>
        <v>-10843.830459495</v>
      </c>
      <c r="BP520" s="148"/>
      <c r="BQ520" s="148"/>
    </row>
    <row r="521" spans="2:69" s="31" customFormat="1" outlineLevel="1">
      <c r="C521" s="247" t="s">
        <v>1339</v>
      </c>
      <c r="D521" s="247"/>
      <c r="E521" s="248"/>
      <c r="F521" s="232"/>
      <c r="G521" s="253"/>
      <c r="H521" s="254">
        <f ca="1">SUM(H516:H520)</f>
        <v>-7614.8283269044705</v>
      </c>
      <c r="I521" s="254">
        <f t="shared" ref="I521:BO521" ca="1" si="557">SUM(I516:I520)</f>
        <v>-354.66017433428323</v>
      </c>
      <c r="J521" s="254">
        <f t="shared" ca="1" si="557"/>
        <v>14082.450086173141</v>
      </c>
      <c r="K521" s="254">
        <f t="shared" ca="1" si="557"/>
        <v>10498.991353522306</v>
      </c>
      <c r="L521" s="254">
        <f t="shared" ca="1" si="557"/>
        <v>14867.781158561103</v>
      </c>
      <c r="M521" s="254">
        <f t="shared" ca="1" si="557"/>
        <v>19212.18898370209</v>
      </c>
      <c r="N521" s="254">
        <f t="shared" ca="1" si="557"/>
        <v>23598.125450578791</v>
      </c>
      <c r="O521" s="254">
        <f t="shared" ca="1" si="557"/>
        <v>27993.119122702214</v>
      </c>
      <c r="P521" s="254">
        <f t="shared" ca="1" si="557"/>
        <v>32394.630358821469</v>
      </c>
      <c r="Q521" s="254">
        <f t="shared" ca="1" si="557"/>
        <v>36824.78277947718</v>
      </c>
      <c r="R521" s="254">
        <f t="shared" ca="1" si="557"/>
        <v>41249.182791438398</v>
      </c>
      <c r="S521" s="254">
        <f t="shared" ca="1" si="557"/>
        <v>70911.814750767007</v>
      </c>
      <c r="T521" s="254">
        <f t="shared" ca="1" si="557"/>
        <v>44037.023972265401</v>
      </c>
      <c r="U521" s="254">
        <f t="shared" ca="1" si="557"/>
        <v>43708.161463819219</v>
      </c>
      <c r="V521" s="254">
        <f t="shared" ca="1" si="557"/>
        <v>58447.966003403497</v>
      </c>
      <c r="W521" s="254">
        <f t="shared" ca="1" si="557"/>
        <v>63013.153392501888</v>
      </c>
      <c r="X521" s="254">
        <f t="shared" ca="1" si="557"/>
        <v>67590.726370637538</v>
      </c>
      <c r="Y521" s="254">
        <f t="shared" ca="1" si="557"/>
        <v>72176.389700769476</v>
      </c>
      <c r="Z521" s="254">
        <f t="shared" ca="1" si="557"/>
        <v>76768.856258844142</v>
      </c>
      <c r="AA521" s="254">
        <f t="shared" ca="1" si="557"/>
        <v>81368.334927555698</v>
      </c>
      <c r="AB521" s="254">
        <f t="shared" ca="1" si="557"/>
        <v>85956.490111350766</v>
      </c>
      <c r="AC521" s="254">
        <f t="shared" ca="1" si="557"/>
        <v>90570.231332902491</v>
      </c>
      <c r="AD521" s="254">
        <f t="shared" ca="1" si="557"/>
        <v>95190.923783030201</v>
      </c>
      <c r="AE521" s="254">
        <f t="shared" ca="1" si="557"/>
        <v>126017.52977128924</v>
      </c>
      <c r="AF521" s="254">
        <f t="shared" ca="1" si="557"/>
        <v>98072.484860298864</v>
      </c>
      <c r="AG521" s="254">
        <f t="shared" ca="1" si="557"/>
        <v>97730.953171603818</v>
      </c>
      <c r="AH521" s="254">
        <f t="shared" ca="1" si="557"/>
        <v>113084.6237786873</v>
      </c>
      <c r="AI521" s="254">
        <f t="shared" ca="1" si="557"/>
        <v>117848.41300145008</v>
      </c>
      <c r="AJ521" s="254">
        <f t="shared" ca="1" si="557"/>
        <v>122612.52664295155</v>
      </c>
      <c r="AK521" s="254">
        <f t="shared" ca="1" si="557"/>
        <v>127393.87912263762</v>
      </c>
      <c r="AL521" s="254">
        <f t="shared" ca="1" si="557"/>
        <v>132168.02919337907</v>
      </c>
      <c r="AM521" s="254">
        <f t="shared" ca="1" si="557"/>
        <v>136939.39312618098</v>
      </c>
      <c r="AN521" s="254">
        <f t="shared" ca="1" si="557"/>
        <v>141736.31068082221</v>
      </c>
      <c r="AO521" s="254">
        <f t="shared" ca="1" si="557"/>
        <v>146542.65138575976</v>
      </c>
      <c r="AP521" s="254">
        <f t="shared" ca="1" si="557"/>
        <v>151355.72093559048</v>
      </c>
      <c r="AQ521" s="254">
        <f t="shared" ca="1" si="557"/>
        <v>183536.68722069403</v>
      </c>
      <c r="AR521" s="254">
        <f t="shared" ca="1" si="557"/>
        <v>153340.53781480255</v>
      </c>
      <c r="AS521" s="254">
        <f t="shared" ca="1" si="557"/>
        <v>151344.3330609749</v>
      </c>
      <c r="AT521" s="254">
        <f t="shared" ca="1" si="557"/>
        <v>165669.48716235056</v>
      </c>
      <c r="AU521" s="254">
        <f t="shared" ca="1" si="557"/>
        <v>168979.13174259604</v>
      </c>
      <c r="AV521" s="254">
        <f t="shared" ca="1" si="557"/>
        <v>172299.30350250701</v>
      </c>
      <c r="AW521" s="254">
        <f t="shared" ca="1" si="557"/>
        <v>175572.82568525046</v>
      </c>
      <c r="AX521" s="254">
        <f t="shared" ca="1" si="557"/>
        <v>178898.13117517575</v>
      </c>
      <c r="AY521" s="254">
        <f t="shared" ca="1" si="557"/>
        <v>182231.88712578386</v>
      </c>
      <c r="AZ521" s="254">
        <f t="shared" ca="1" si="557"/>
        <v>185572.72802716633</v>
      </c>
      <c r="BA521" s="254">
        <f t="shared" ca="1" si="557"/>
        <v>188920.87548297353</v>
      </c>
      <c r="BB521" s="254">
        <f t="shared" ca="1" si="557"/>
        <v>192267.50071243872</v>
      </c>
      <c r="BC521" s="254">
        <f t="shared" ca="1" si="557"/>
        <v>224079.51306694298</v>
      </c>
      <c r="BD521" s="254">
        <f t="shared" ca="1" si="557"/>
        <v>192151.24482244311</v>
      </c>
      <c r="BE521" s="254">
        <f t="shared" ca="1" si="557"/>
        <v>190155.24934837117</v>
      </c>
      <c r="BF521" s="254">
        <f t="shared" ca="1" si="557"/>
        <v>205139.3302072119</v>
      </c>
      <c r="BG521" s="254">
        <f t="shared" ca="1" si="557"/>
        <v>208647.97642012764</v>
      </c>
      <c r="BH521" s="254">
        <f t="shared" ca="1" si="557"/>
        <v>212191.03654196238</v>
      </c>
      <c r="BI521" s="254">
        <f t="shared" ca="1" si="557"/>
        <v>215730.38704797492</v>
      </c>
      <c r="BJ521" s="254">
        <f t="shared" ca="1" si="557"/>
        <v>219269.99334024393</v>
      </c>
      <c r="BK521" s="254">
        <f t="shared" ca="1" si="557"/>
        <v>222827.79992635973</v>
      </c>
      <c r="BL521" s="254">
        <f t="shared" ca="1" si="557"/>
        <v>226377.87708724273</v>
      </c>
      <c r="BM521" s="254">
        <f t="shared" ca="1" si="557"/>
        <v>229924.91004480232</v>
      </c>
      <c r="BN521" s="254">
        <f t="shared" ca="1" si="557"/>
        <v>233498.96445018804</v>
      </c>
      <c r="BO521" s="254">
        <f t="shared" ca="1" si="557"/>
        <v>266694.99898654449</v>
      </c>
      <c r="BP521" s="351"/>
      <c r="BQ521" s="351"/>
    </row>
    <row r="522" spans="2:69" s="22" customFormat="1" outlineLevel="1">
      <c r="E522" s="28"/>
      <c r="F522" s="29"/>
      <c r="G522" s="66"/>
      <c r="H522" s="148"/>
      <c r="I522" s="148"/>
      <c r="J522" s="148"/>
      <c r="K522" s="148"/>
      <c r="L522" s="148"/>
      <c r="M522" s="148"/>
      <c r="N522" s="148"/>
      <c r="O522" s="148"/>
      <c r="P522" s="148"/>
      <c r="Q522" s="148"/>
      <c r="R522" s="148"/>
      <c r="S522" s="148"/>
      <c r="T522" s="148"/>
      <c r="U522" s="148"/>
      <c r="V522" s="148"/>
      <c r="W522" s="148"/>
      <c r="X522" s="148"/>
      <c r="Y522" s="148"/>
      <c r="Z522" s="148"/>
      <c r="AA522" s="148"/>
      <c r="AB522" s="148"/>
      <c r="AC522" s="148"/>
      <c r="AD522" s="148"/>
      <c r="AE522" s="148"/>
      <c r="AF522" s="148"/>
      <c r="AG522" s="148"/>
      <c r="AH522" s="148"/>
      <c r="AI522" s="148"/>
      <c r="AJ522" s="148"/>
      <c r="AK522" s="148"/>
      <c r="AL522" s="148"/>
      <c r="AM522" s="148"/>
      <c r="AN522" s="148"/>
      <c r="AO522" s="148"/>
      <c r="AP522" s="148"/>
      <c r="AQ522" s="148"/>
      <c r="AR522" s="148"/>
      <c r="AS522" s="148"/>
      <c r="AT522" s="148"/>
      <c r="AU522" s="148"/>
      <c r="AV522" s="148"/>
      <c r="AW522" s="148"/>
      <c r="AX522" s="148"/>
      <c r="AY522" s="148"/>
      <c r="AZ522" s="148"/>
      <c r="BA522" s="148"/>
      <c r="BB522" s="148"/>
      <c r="BC522" s="148"/>
      <c r="BD522" s="148"/>
      <c r="BE522" s="148"/>
      <c r="BF522" s="148"/>
      <c r="BG522" s="148"/>
      <c r="BH522" s="148"/>
      <c r="BI522" s="148"/>
      <c r="BJ522" s="148"/>
      <c r="BK522" s="148"/>
      <c r="BL522" s="148"/>
      <c r="BM522" s="148"/>
      <c r="BN522" s="148"/>
      <c r="BO522" s="148"/>
      <c r="BP522" s="148"/>
      <c r="BQ522" s="148"/>
    </row>
    <row r="523" spans="2:69" s="22" customFormat="1" outlineLevel="1">
      <c r="E523" s="28"/>
      <c r="F523" s="29"/>
      <c r="G523" s="66"/>
      <c r="H523" s="148"/>
      <c r="I523" s="148"/>
      <c r="J523" s="148"/>
      <c r="K523" s="148"/>
      <c r="L523" s="148"/>
      <c r="M523" s="148"/>
      <c r="N523" s="148"/>
      <c r="O523" s="148"/>
      <c r="P523" s="148"/>
      <c r="Q523" s="148"/>
      <c r="R523" s="148"/>
      <c r="S523" s="148"/>
      <c r="T523" s="148"/>
      <c r="U523" s="148"/>
      <c r="V523" s="148"/>
      <c r="W523" s="148"/>
      <c r="X523" s="148"/>
      <c r="Y523" s="148"/>
      <c r="Z523" s="148"/>
      <c r="AA523" s="148"/>
      <c r="AB523" s="148"/>
      <c r="AC523" s="148"/>
      <c r="AD523" s="148"/>
      <c r="AE523" s="148"/>
      <c r="AF523" s="148"/>
      <c r="AG523" s="148"/>
      <c r="AH523" s="148"/>
      <c r="AI523" s="148"/>
      <c r="AJ523" s="148"/>
      <c r="AK523" s="148"/>
      <c r="AL523" s="148"/>
      <c r="AM523" s="148"/>
      <c r="AN523" s="148"/>
      <c r="AO523" s="148"/>
      <c r="AP523" s="148"/>
      <c r="AQ523" s="148"/>
      <c r="AR523" s="148"/>
      <c r="AS523" s="148"/>
      <c r="AT523" s="148"/>
      <c r="AU523" s="148"/>
      <c r="AV523" s="148"/>
      <c r="AW523" s="148"/>
      <c r="AX523" s="148"/>
      <c r="AY523" s="148"/>
      <c r="AZ523" s="148"/>
      <c r="BA523" s="148"/>
      <c r="BB523" s="148"/>
      <c r="BC523" s="148"/>
      <c r="BD523" s="148"/>
      <c r="BE523" s="148"/>
      <c r="BF523" s="148"/>
      <c r="BG523" s="148"/>
      <c r="BH523" s="148"/>
      <c r="BI523" s="148"/>
      <c r="BJ523" s="148"/>
      <c r="BK523" s="148"/>
      <c r="BL523" s="148"/>
      <c r="BM523" s="148"/>
      <c r="BN523" s="148"/>
      <c r="BO523" s="148"/>
      <c r="BP523" s="148"/>
      <c r="BQ523" s="148"/>
    </row>
    <row r="524" spans="2:69" s="23" customFormat="1" ht="13.7" customHeight="1">
      <c r="B524" s="57" t="s">
        <v>1340</v>
      </c>
      <c r="C524" s="58"/>
      <c r="D524" s="58"/>
      <c r="E524" s="59"/>
      <c r="F524" s="60"/>
      <c r="G524" s="58"/>
      <c r="H524" s="58"/>
      <c r="I524" s="58"/>
      <c r="J524" s="58"/>
      <c r="K524" s="58"/>
      <c r="L524" s="58"/>
      <c r="M524" s="58"/>
      <c r="N524" s="58"/>
      <c r="O524" s="58"/>
      <c r="P524" s="58"/>
      <c r="Q524" s="58"/>
      <c r="R524" s="58"/>
      <c r="S524" s="58"/>
      <c r="T524" s="58"/>
      <c r="U524" s="58"/>
      <c r="V524" s="58"/>
      <c r="W524" s="58"/>
      <c r="X524" s="58"/>
      <c r="Y524" s="58"/>
      <c r="Z524" s="58"/>
      <c r="AA524" s="58"/>
      <c r="AB524" s="58"/>
      <c r="AC524" s="58"/>
      <c r="AD524" s="58"/>
      <c r="AE524" s="58"/>
      <c r="AF524" s="58"/>
      <c r="AG524" s="58"/>
      <c r="AH524" s="58"/>
      <c r="AI524" s="58"/>
      <c r="AJ524" s="58"/>
      <c r="AK524" s="58"/>
      <c r="AL524" s="58"/>
      <c r="AM524" s="58"/>
      <c r="AN524" s="58"/>
      <c r="AO524" s="58"/>
      <c r="AP524" s="58"/>
      <c r="AQ524" s="58"/>
      <c r="AR524" s="58"/>
      <c r="AS524" s="58"/>
      <c r="AT524" s="58"/>
      <c r="AU524" s="58"/>
      <c r="AV524" s="58"/>
      <c r="AW524" s="58"/>
      <c r="AX524" s="58"/>
      <c r="AY524" s="58"/>
      <c r="AZ524" s="58"/>
      <c r="BA524" s="58"/>
      <c r="BB524" s="58"/>
      <c r="BC524" s="58"/>
      <c r="BD524" s="58"/>
      <c r="BE524" s="58"/>
      <c r="BF524" s="58"/>
      <c r="BG524" s="58"/>
      <c r="BH524" s="58"/>
      <c r="BI524" s="58"/>
      <c r="BJ524" s="58"/>
      <c r="BK524" s="58"/>
      <c r="BL524" s="58"/>
      <c r="BM524" s="58"/>
      <c r="BN524" s="58"/>
      <c r="BO524" s="58"/>
      <c r="BP524" s="356"/>
      <c r="BQ524" s="356"/>
    </row>
    <row r="525" spans="2:69" s="22" customFormat="1" outlineLevel="1">
      <c r="E525" s="28"/>
      <c r="F525" s="29"/>
      <c r="G525" s="66"/>
    </row>
    <row r="526" spans="2:69" s="22" customFormat="1" outlineLevel="1">
      <c r="B526" s="181" t="s">
        <v>1341</v>
      </c>
      <c r="C526" s="182"/>
      <c r="D526" s="182"/>
      <c r="E526" s="200"/>
      <c r="F526" s="184"/>
      <c r="G526" s="66"/>
      <c r="H526" s="182"/>
      <c r="I526" s="182"/>
      <c r="J526" s="182"/>
      <c r="K526" s="182"/>
      <c r="L526" s="182"/>
      <c r="M526" s="182"/>
      <c r="N526" s="182"/>
      <c r="O526" s="182"/>
      <c r="P526" s="182"/>
      <c r="Q526" s="182"/>
      <c r="R526" s="182"/>
      <c r="S526" s="182"/>
      <c r="T526" s="182"/>
      <c r="U526" s="182"/>
      <c r="V526" s="182"/>
      <c r="W526" s="182"/>
      <c r="X526" s="182"/>
      <c r="Y526" s="182"/>
      <c r="Z526" s="182"/>
      <c r="AA526" s="182"/>
      <c r="AB526" s="182"/>
      <c r="AC526" s="182"/>
      <c r="AD526" s="182"/>
      <c r="AE526" s="182"/>
      <c r="AF526" s="182"/>
      <c r="AG526" s="182"/>
      <c r="AH526" s="182"/>
      <c r="AI526" s="182"/>
      <c r="AJ526" s="182"/>
      <c r="AK526" s="182"/>
      <c r="AL526" s="182"/>
      <c r="AM526" s="182"/>
      <c r="AN526" s="182"/>
      <c r="AO526" s="182"/>
      <c r="AP526" s="182"/>
      <c r="AQ526" s="182"/>
      <c r="AR526" s="182"/>
      <c r="AS526" s="182"/>
      <c r="AT526" s="182"/>
      <c r="AU526" s="182"/>
      <c r="AV526" s="182"/>
      <c r="AW526" s="182"/>
      <c r="AX526" s="182"/>
      <c r="AY526" s="182"/>
      <c r="AZ526" s="182"/>
      <c r="BA526" s="182"/>
      <c r="BB526" s="182"/>
      <c r="BC526" s="182"/>
      <c r="BD526" s="182"/>
      <c r="BE526" s="182"/>
      <c r="BF526" s="182"/>
      <c r="BG526" s="182"/>
      <c r="BH526" s="182"/>
      <c r="BI526" s="182"/>
      <c r="BJ526" s="182"/>
      <c r="BK526" s="182"/>
      <c r="BL526" s="182"/>
      <c r="BM526" s="182"/>
      <c r="BN526" s="182"/>
      <c r="BO526" s="182"/>
      <c r="BP526" s="182"/>
      <c r="BQ526" s="182"/>
    </row>
    <row r="527" spans="2:69" s="22" customFormat="1" outlineLevel="1">
      <c r="B527" s="182"/>
      <c r="C527" s="182" t="s">
        <v>1305</v>
      </c>
      <c r="D527" s="182"/>
      <c r="E527" s="200"/>
      <c r="F527" s="184" t="s">
        <v>119</v>
      </c>
      <c r="G527" s="66"/>
      <c r="H527" s="201" cm="1">
        <f t="array" aca="1" ref="H527:BO527" ca="1">G530:BN530</f>
        <v>10000</v>
      </c>
      <c r="I527" s="201">
        <f ca="1"/>
        <v>10000</v>
      </c>
      <c r="J527" s="201">
        <f ca="1"/>
        <v>10000</v>
      </c>
      <c r="K527" s="201">
        <f ca="1"/>
        <v>10000</v>
      </c>
      <c r="L527" s="201">
        <f ca="1"/>
        <v>10000</v>
      </c>
      <c r="M527" s="201">
        <f ca="1"/>
        <v>10000</v>
      </c>
      <c r="N527" s="201">
        <f ca="1"/>
        <v>10000</v>
      </c>
      <c r="O527" s="201">
        <f ca="1"/>
        <v>10000</v>
      </c>
      <c r="P527" s="201">
        <f ca="1"/>
        <v>10000</v>
      </c>
      <c r="Q527" s="201">
        <f ca="1"/>
        <v>10000</v>
      </c>
      <c r="R527" s="201">
        <f ca="1"/>
        <v>10000</v>
      </c>
      <c r="S527" s="201">
        <f ca="1"/>
        <v>10000</v>
      </c>
      <c r="T527" s="201">
        <f ca="1"/>
        <v>10000</v>
      </c>
      <c r="U527" s="201">
        <f ca="1"/>
        <v>10000</v>
      </c>
      <c r="V527" s="201">
        <f ca="1"/>
        <v>10000</v>
      </c>
      <c r="W527" s="201">
        <f ca="1"/>
        <v>10000</v>
      </c>
      <c r="X527" s="201">
        <f ca="1"/>
        <v>10000</v>
      </c>
      <c r="Y527" s="201">
        <f ca="1"/>
        <v>10000</v>
      </c>
      <c r="Z527" s="201">
        <f ca="1"/>
        <v>10000</v>
      </c>
      <c r="AA527" s="201">
        <f ca="1"/>
        <v>10000</v>
      </c>
      <c r="AB527" s="201">
        <f ca="1"/>
        <v>10000</v>
      </c>
      <c r="AC527" s="201">
        <f ca="1"/>
        <v>10000</v>
      </c>
      <c r="AD527" s="201">
        <f ca="1"/>
        <v>10000</v>
      </c>
      <c r="AE527" s="201">
        <f ca="1"/>
        <v>10000</v>
      </c>
      <c r="AF527" s="201">
        <f ca="1"/>
        <v>10000</v>
      </c>
      <c r="AG527" s="201">
        <f ca="1"/>
        <v>10000</v>
      </c>
      <c r="AH527" s="201">
        <f ca="1"/>
        <v>10000</v>
      </c>
      <c r="AI527" s="201">
        <f ca="1"/>
        <v>10000</v>
      </c>
      <c r="AJ527" s="201">
        <f ca="1"/>
        <v>10000</v>
      </c>
      <c r="AK527" s="201">
        <f ca="1"/>
        <v>10000</v>
      </c>
      <c r="AL527" s="201">
        <f ca="1"/>
        <v>10000</v>
      </c>
      <c r="AM527" s="201">
        <f ca="1"/>
        <v>10000</v>
      </c>
      <c r="AN527" s="201">
        <f ca="1"/>
        <v>10000</v>
      </c>
      <c r="AO527" s="201">
        <f ca="1"/>
        <v>10000</v>
      </c>
      <c r="AP527" s="201">
        <f ca="1"/>
        <v>10000</v>
      </c>
      <c r="AQ527" s="201">
        <f ca="1"/>
        <v>10000</v>
      </c>
      <c r="AR527" s="201">
        <f ca="1"/>
        <v>10000</v>
      </c>
      <c r="AS527" s="201">
        <f ca="1"/>
        <v>10000</v>
      </c>
      <c r="AT527" s="201">
        <f ca="1"/>
        <v>10000</v>
      </c>
      <c r="AU527" s="201">
        <f ca="1"/>
        <v>10000</v>
      </c>
      <c r="AV527" s="201">
        <f ca="1"/>
        <v>10000</v>
      </c>
      <c r="AW527" s="201">
        <f ca="1"/>
        <v>10000</v>
      </c>
      <c r="AX527" s="201">
        <f ca="1"/>
        <v>10000</v>
      </c>
      <c r="AY527" s="201">
        <f ca="1"/>
        <v>10000</v>
      </c>
      <c r="AZ527" s="201">
        <f ca="1"/>
        <v>10000</v>
      </c>
      <c r="BA527" s="201">
        <f ca="1"/>
        <v>10000</v>
      </c>
      <c r="BB527" s="201">
        <f ca="1"/>
        <v>10000</v>
      </c>
      <c r="BC527" s="201">
        <f ca="1"/>
        <v>10000</v>
      </c>
      <c r="BD527" s="201">
        <f ca="1"/>
        <v>10000</v>
      </c>
      <c r="BE527" s="201">
        <f ca="1"/>
        <v>10000</v>
      </c>
      <c r="BF527" s="201">
        <f ca="1"/>
        <v>10000</v>
      </c>
      <c r="BG527" s="201">
        <f ca="1"/>
        <v>10000</v>
      </c>
      <c r="BH527" s="201">
        <f ca="1"/>
        <v>10000</v>
      </c>
      <c r="BI527" s="201">
        <f ca="1"/>
        <v>10000</v>
      </c>
      <c r="BJ527" s="201">
        <f ca="1"/>
        <v>10000</v>
      </c>
      <c r="BK527" s="201">
        <f ca="1"/>
        <v>10000</v>
      </c>
      <c r="BL527" s="201">
        <f ca="1"/>
        <v>10000</v>
      </c>
      <c r="BM527" s="201">
        <f ca="1"/>
        <v>10000</v>
      </c>
      <c r="BN527" s="201">
        <f ca="1"/>
        <v>10000</v>
      </c>
      <c r="BO527" s="201">
        <f ca="1"/>
        <v>10000</v>
      </c>
      <c r="BP527" s="201"/>
      <c r="BQ527" s="201"/>
    </row>
    <row r="528" spans="2:69" s="22" customFormat="1" outlineLevel="1">
      <c r="B528" s="182"/>
      <c r="C528" s="182" t="s">
        <v>1342</v>
      </c>
      <c r="D528" s="182"/>
      <c r="E528" s="200"/>
      <c r="F528" s="184" t="s">
        <v>119</v>
      </c>
      <c r="G528" s="66"/>
      <c r="H528" s="201">
        <v>0</v>
      </c>
      <c r="I528" s="201">
        <v>0</v>
      </c>
      <c r="J528" s="201">
        <v>0</v>
      </c>
      <c r="K528" s="201">
        <v>0</v>
      </c>
      <c r="L528" s="201">
        <v>0</v>
      </c>
      <c r="M528" s="201">
        <v>0</v>
      </c>
      <c r="N528" s="201">
        <v>0</v>
      </c>
      <c r="O528" s="201">
        <v>0</v>
      </c>
      <c r="P528" s="201">
        <v>0</v>
      </c>
      <c r="Q528" s="201">
        <v>0</v>
      </c>
      <c r="R528" s="201">
        <v>0</v>
      </c>
      <c r="S528" s="201">
        <v>0</v>
      </c>
      <c r="T528" s="201">
        <v>0</v>
      </c>
      <c r="U528" s="201">
        <v>0</v>
      </c>
      <c r="V528" s="201">
        <v>0</v>
      </c>
      <c r="W528" s="201">
        <v>0</v>
      </c>
      <c r="X528" s="201">
        <v>0</v>
      </c>
      <c r="Y528" s="201">
        <v>0</v>
      </c>
      <c r="Z528" s="201">
        <v>0</v>
      </c>
      <c r="AA528" s="201">
        <v>0</v>
      </c>
      <c r="AB528" s="201">
        <v>0</v>
      </c>
      <c r="AC528" s="201">
        <v>0</v>
      </c>
      <c r="AD528" s="201">
        <v>0</v>
      </c>
      <c r="AE528" s="201">
        <v>0</v>
      </c>
      <c r="AF528" s="201">
        <v>0</v>
      </c>
      <c r="AG528" s="201">
        <v>0</v>
      </c>
      <c r="AH528" s="201">
        <v>0</v>
      </c>
      <c r="AI528" s="201">
        <v>0</v>
      </c>
      <c r="AJ528" s="201">
        <v>0</v>
      </c>
      <c r="AK528" s="201">
        <v>0</v>
      </c>
      <c r="AL528" s="201">
        <v>0</v>
      </c>
      <c r="AM528" s="201">
        <v>0</v>
      </c>
      <c r="AN528" s="201">
        <v>0</v>
      </c>
      <c r="AO528" s="201">
        <v>0</v>
      </c>
      <c r="AP528" s="201">
        <v>0</v>
      </c>
      <c r="AQ528" s="201">
        <v>0</v>
      </c>
      <c r="AR528" s="201">
        <v>0</v>
      </c>
      <c r="AS528" s="201">
        <v>0</v>
      </c>
      <c r="AT528" s="201">
        <v>0</v>
      </c>
      <c r="AU528" s="201">
        <v>0</v>
      </c>
      <c r="AV528" s="201">
        <v>0</v>
      </c>
      <c r="AW528" s="201">
        <v>0</v>
      </c>
      <c r="AX528" s="201">
        <v>0</v>
      </c>
      <c r="AY528" s="201">
        <v>0</v>
      </c>
      <c r="AZ528" s="201">
        <v>0</v>
      </c>
      <c r="BA528" s="201">
        <v>0</v>
      </c>
      <c r="BB528" s="201">
        <v>0</v>
      </c>
      <c r="BC528" s="201">
        <v>0</v>
      </c>
      <c r="BD528" s="201">
        <v>0</v>
      </c>
      <c r="BE528" s="201">
        <v>0</v>
      </c>
      <c r="BF528" s="201">
        <v>0</v>
      </c>
      <c r="BG528" s="201">
        <v>0</v>
      </c>
      <c r="BH528" s="201">
        <v>0</v>
      </c>
      <c r="BI528" s="201">
        <v>0</v>
      </c>
      <c r="BJ528" s="201">
        <v>0</v>
      </c>
      <c r="BK528" s="201">
        <v>0</v>
      </c>
      <c r="BL528" s="201">
        <v>0</v>
      </c>
      <c r="BM528" s="201">
        <v>0</v>
      </c>
      <c r="BN528" s="201">
        <v>0</v>
      </c>
      <c r="BO528" s="201">
        <v>0</v>
      </c>
      <c r="BP528" s="201"/>
      <c r="BQ528" s="201"/>
    </row>
    <row r="529" spans="2:16384" s="22" customFormat="1" outlineLevel="1">
      <c r="B529" s="182"/>
      <c r="C529" s="182" t="s">
        <v>1343</v>
      </c>
      <c r="D529" s="182"/>
      <c r="E529" s="200"/>
      <c r="F529" s="184" t="s">
        <v>119</v>
      </c>
      <c r="G529" s="66"/>
      <c r="H529" s="201">
        <v>0</v>
      </c>
      <c r="I529" s="201">
        <v>0</v>
      </c>
      <c r="J529" s="201">
        <v>0</v>
      </c>
      <c r="K529" s="201">
        <v>0</v>
      </c>
      <c r="L529" s="201">
        <v>0</v>
      </c>
      <c r="M529" s="201">
        <v>0</v>
      </c>
      <c r="N529" s="201">
        <v>0</v>
      </c>
      <c r="O529" s="201">
        <v>0</v>
      </c>
      <c r="P529" s="201">
        <v>0</v>
      </c>
      <c r="Q529" s="201">
        <v>0</v>
      </c>
      <c r="R529" s="201">
        <v>0</v>
      </c>
      <c r="S529" s="201">
        <v>0</v>
      </c>
      <c r="T529" s="201">
        <v>0</v>
      </c>
      <c r="U529" s="201">
        <v>0</v>
      </c>
      <c r="V529" s="201">
        <v>0</v>
      </c>
      <c r="W529" s="201">
        <v>0</v>
      </c>
      <c r="X529" s="201">
        <v>0</v>
      </c>
      <c r="Y529" s="201">
        <v>0</v>
      </c>
      <c r="Z529" s="201">
        <v>0</v>
      </c>
      <c r="AA529" s="201">
        <v>0</v>
      </c>
      <c r="AB529" s="201">
        <v>0</v>
      </c>
      <c r="AC529" s="201">
        <v>0</v>
      </c>
      <c r="AD529" s="201">
        <v>0</v>
      </c>
      <c r="AE529" s="201">
        <v>0</v>
      </c>
      <c r="AF529" s="201">
        <v>0</v>
      </c>
      <c r="AG529" s="201">
        <v>0</v>
      </c>
      <c r="AH529" s="201">
        <v>0</v>
      </c>
      <c r="AI529" s="201">
        <v>0</v>
      </c>
      <c r="AJ529" s="201">
        <v>0</v>
      </c>
      <c r="AK529" s="201">
        <v>0</v>
      </c>
      <c r="AL529" s="201">
        <v>0</v>
      </c>
      <c r="AM529" s="201">
        <v>0</v>
      </c>
      <c r="AN529" s="201">
        <v>0</v>
      </c>
      <c r="AO529" s="201">
        <v>0</v>
      </c>
      <c r="AP529" s="201">
        <v>0</v>
      </c>
      <c r="AQ529" s="201">
        <v>0</v>
      </c>
      <c r="AR529" s="201">
        <v>0</v>
      </c>
      <c r="AS529" s="201">
        <v>0</v>
      </c>
      <c r="AT529" s="201">
        <v>0</v>
      </c>
      <c r="AU529" s="201">
        <v>0</v>
      </c>
      <c r="AV529" s="201">
        <v>0</v>
      </c>
      <c r="AW529" s="201">
        <v>0</v>
      </c>
      <c r="AX529" s="201">
        <v>0</v>
      </c>
      <c r="AY529" s="201">
        <v>0</v>
      </c>
      <c r="AZ529" s="201">
        <v>0</v>
      </c>
      <c r="BA529" s="201">
        <v>0</v>
      </c>
      <c r="BB529" s="201">
        <v>0</v>
      </c>
      <c r="BC529" s="201">
        <v>0</v>
      </c>
      <c r="BD529" s="201">
        <v>0</v>
      </c>
      <c r="BE529" s="201">
        <v>0</v>
      </c>
      <c r="BF529" s="201">
        <v>0</v>
      </c>
      <c r="BG529" s="201">
        <v>0</v>
      </c>
      <c r="BH529" s="201">
        <v>0</v>
      </c>
      <c r="BI529" s="201">
        <v>0</v>
      </c>
      <c r="BJ529" s="201">
        <v>0</v>
      </c>
      <c r="BK529" s="201">
        <v>0</v>
      </c>
      <c r="BL529" s="201">
        <v>0</v>
      </c>
      <c r="BM529" s="201">
        <v>0</v>
      </c>
      <c r="BN529" s="201">
        <v>0</v>
      </c>
      <c r="BO529" s="201">
        <v>0</v>
      </c>
      <c r="BP529" s="201"/>
      <c r="BQ529" s="201"/>
    </row>
    <row r="530" spans="2:16384" s="31" customFormat="1" outlineLevel="1">
      <c r="B530" s="208"/>
      <c r="C530" s="255" t="s">
        <v>1311</v>
      </c>
      <c r="D530" s="255"/>
      <c r="E530" s="256"/>
      <c r="F530" s="257" t="s">
        <v>119</v>
      </c>
      <c r="G530" s="253">
        <f>Assumptions!D57</f>
        <v>10000</v>
      </c>
      <c r="H530" s="258">
        <f ca="1">SUM(H527:H529)</f>
        <v>10000</v>
      </c>
      <c r="I530" s="258">
        <f t="shared" ref="I530:BO530" ca="1" si="558">SUM(I527:I529)</f>
        <v>10000</v>
      </c>
      <c r="J530" s="258">
        <f t="shared" ca="1" si="558"/>
        <v>10000</v>
      </c>
      <c r="K530" s="258">
        <f t="shared" ca="1" si="558"/>
        <v>10000</v>
      </c>
      <c r="L530" s="258">
        <f t="shared" ca="1" si="558"/>
        <v>10000</v>
      </c>
      <c r="M530" s="258">
        <f t="shared" ca="1" si="558"/>
        <v>10000</v>
      </c>
      <c r="N530" s="258">
        <f t="shared" ca="1" si="558"/>
        <v>10000</v>
      </c>
      <c r="O530" s="258">
        <f t="shared" ca="1" si="558"/>
        <v>10000</v>
      </c>
      <c r="P530" s="258">
        <f t="shared" ca="1" si="558"/>
        <v>10000</v>
      </c>
      <c r="Q530" s="258">
        <f t="shared" ca="1" si="558"/>
        <v>10000</v>
      </c>
      <c r="R530" s="258">
        <f t="shared" ca="1" si="558"/>
        <v>10000</v>
      </c>
      <c r="S530" s="258">
        <f t="shared" ca="1" si="558"/>
        <v>10000</v>
      </c>
      <c r="T530" s="258">
        <f t="shared" ca="1" si="558"/>
        <v>10000</v>
      </c>
      <c r="U530" s="258">
        <f t="shared" ca="1" si="558"/>
        <v>10000</v>
      </c>
      <c r="V530" s="258">
        <f t="shared" ca="1" si="558"/>
        <v>10000</v>
      </c>
      <c r="W530" s="258">
        <f t="shared" ca="1" si="558"/>
        <v>10000</v>
      </c>
      <c r="X530" s="258">
        <f t="shared" ca="1" si="558"/>
        <v>10000</v>
      </c>
      <c r="Y530" s="258">
        <f t="shared" ca="1" si="558"/>
        <v>10000</v>
      </c>
      <c r="Z530" s="258">
        <f t="shared" ca="1" si="558"/>
        <v>10000</v>
      </c>
      <c r="AA530" s="258">
        <f t="shared" ca="1" si="558"/>
        <v>10000</v>
      </c>
      <c r="AB530" s="258">
        <f t="shared" ca="1" si="558"/>
        <v>10000</v>
      </c>
      <c r="AC530" s="258">
        <f t="shared" ca="1" si="558"/>
        <v>10000</v>
      </c>
      <c r="AD530" s="258">
        <f t="shared" ca="1" si="558"/>
        <v>10000</v>
      </c>
      <c r="AE530" s="258">
        <f t="shared" ca="1" si="558"/>
        <v>10000</v>
      </c>
      <c r="AF530" s="258">
        <f t="shared" ca="1" si="558"/>
        <v>10000</v>
      </c>
      <c r="AG530" s="258">
        <f t="shared" ca="1" si="558"/>
        <v>10000</v>
      </c>
      <c r="AH530" s="258">
        <f t="shared" ca="1" si="558"/>
        <v>10000</v>
      </c>
      <c r="AI530" s="258">
        <f t="shared" ca="1" si="558"/>
        <v>10000</v>
      </c>
      <c r="AJ530" s="258">
        <f t="shared" ca="1" si="558"/>
        <v>10000</v>
      </c>
      <c r="AK530" s="258">
        <f t="shared" ca="1" si="558"/>
        <v>10000</v>
      </c>
      <c r="AL530" s="258">
        <f t="shared" ca="1" si="558"/>
        <v>10000</v>
      </c>
      <c r="AM530" s="258">
        <f t="shared" ca="1" si="558"/>
        <v>10000</v>
      </c>
      <c r="AN530" s="258">
        <f t="shared" ca="1" si="558"/>
        <v>10000</v>
      </c>
      <c r="AO530" s="258">
        <f t="shared" ca="1" si="558"/>
        <v>10000</v>
      </c>
      <c r="AP530" s="258">
        <f t="shared" ca="1" si="558"/>
        <v>10000</v>
      </c>
      <c r="AQ530" s="258">
        <f t="shared" ca="1" si="558"/>
        <v>10000</v>
      </c>
      <c r="AR530" s="258">
        <f t="shared" ca="1" si="558"/>
        <v>10000</v>
      </c>
      <c r="AS530" s="258">
        <f t="shared" ca="1" si="558"/>
        <v>10000</v>
      </c>
      <c r="AT530" s="258">
        <f t="shared" ca="1" si="558"/>
        <v>10000</v>
      </c>
      <c r="AU530" s="258">
        <f t="shared" ca="1" si="558"/>
        <v>10000</v>
      </c>
      <c r="AV530" s="258">
        <f t="shared" ca="1" si="558"/>
        <v>10000</v>
      </c>
      <c r="AW530" s="258">
        <f t="shared" ca="1" si="558"/>
        <v>10000</v>
      </c>
      <c r="AX530" s="258">
        <f t="shared" ca="1" si="558"/>
        <v>10000</v>
      </c>
      <c r="AY530" s="258">
        <f t="shared" ca="1" si="558"/>
        <v>10000</v>
      </c>
      <c r="AZ530" s="258">
        <f t="shared" ca="1" si="558"/>
        <v>10000</v>
      </c>
      <c r="BA530" s="258">
        <f t="shared" ca="1" si="558"/>
        <v>10000</v>
      </c>
      <c r="BB530" s="258">
        <f t="shared" ca="1" si="558"/>
        <v>10000</v>
      </c>
      <c r="BC530" s="258">
        <f t="shared" ca="1" si="558"/>
        <v>10000</v>
      </c>
      <c r="BD530" s="258">
        <f t="shared" ca="1" si="558"/>
        <v>10000</v>
      </c>
      <c r="BE530" s="258">
        <f t="shared" ca="1" si="558"/>
        <v>10000</v>
      </c>
      <c r="BF530" s="258">
        <f t="shared" ca="1" si="558"/>
        <v>10000</v>
      </c>
      <c r="BG530" s="258">
        <f t="shared" ca="1" si="558"/>
        <v>10000</v>
      </c>
      <c r="BH530" s="258">
        <f t="shared" ca="1" si="558"/>
        <v>10000</v>
      </c>
      <c r="BI530" s="258">
        <f t="shared" ca="1" si="558"/>
        <v>10000</v>
      </c>
      <c r="BJ530" s="258">
        <f t="shared" ca="1" si="558"/>
        <v>10000</v>
      </c>
      <c r="BK530" s="258">
        <f t="shared" ca="1" si="558"/>
        <v>10000</v>
      </c>
      <c r="BL530" s="258">
        <f t="shared" ca="1" si="558"/>
        <v>10000</v>
      </c>
      <c r="BM530" s="258">
        <f t="shared" ca="1" si="558"/>
        <v>10000</v>
      </c>
      <c r="BN530" s="258">
        <f t="shared" ca="1" si="558"/>
        <v>10000</v>
      </c>
      <c r="BO530" s="258">
        <f t="shared" ca="1" si="558"/>
        <v>10000</v>
      </c>
      <c r="BP530" s="362"/>
      <c r="BQ530" s="362"/>
    </row>
    <row r="531" spans="2:16384" s="22" customFormat="1" outlineLevel="1">
      <c r="E531" s="28"/>
      <c r="F531" s="29"/>
      <c r="G531" s="66"/>
    </row>
    <row r="532" spans="2:16384" s="22" customFormat="1" outlineLevel="1">
      <c r="B532" s="181" t="s">
        <v>1202</v>
      </c>
      <c r="C532" s="182"/>
      <c r="D532" s="182"/>
      <c r="E532" s="200"/>
      <c r="F532" s="184"/>
      <c r="G532" s="66"/>
    </row>
    <row r="533" spans="2:16384" s="22" customFormat="1" outlineLevel="1">
      <c r="B533" s="182"/>
      <c r="C533" s="182" t="s">
        <v>1305</v>
      </c>
      <c r="D533" s="182"/>
      <c r="E533" s="200"/>
      <c r="F533" s="184"/>
      <c r="G533" s="66"/>
      <c r="H533" s="201">
        <f ca="1">G536</f>
        <v>70500</v>
      </c>
      <c r="I533" s="201">
        <f ca="1">H536</f>
        <v>70794.570393571121</v>
      </c>
      <c r="J533" s="201">
        <f t="shared" ref="J533:BO533" ca="1" si="559">I536</f>
        <v>70527.08594814605</v>
      </c>
      <c r="K533" s="201">
        <f t="shared" ca="1" si="559"/>
        <v>72980.83337357163</v>
      </c>
      <c r="L533" s="201">
        <f t="shared" ca="1" si="559"/>
        <v>75462.2610963482</v>
      </c>
      <c r="M533" s="201">
        <f t="shared" ca="1" si="559"/>
        <v>77948.131597973654</v>
      </c>
      <c r="N533" s="201">
        <f t="shared" ca="1" si="559"/>
        <v>80431.501170528005</v>
      </c>
      <c r="O533" s="201">
        <f t="shared" ca="1" si="559"/>
        <v>82920.997804742932</v>
      </c>
      <c r="P533" s="201">
        <f t="shared" ca="1" si="559"/>
        <v>85416.870868269776</v>
      </c>
      <c r="Q533" s="201">
        <f t="shared" ca="1" si="559"/>
        <v>87918.846169334924</v>
      </c>
      <c r="R533" s="201">
        <f t="shared" ca="1" si="559"/>
        <v>90430.402232753942</v>
      </c>
      <c r="S533" s="201">
        <f t="shared" ca="1" si="559"/>
        <v>92949.192708741859</v>
      </c>
      <c r="T533" s="201">
        <f t="shared" ca="1" si="559"/>
        <v>100977.55502428087</v>
      </c>
      <c r="U533" s="201">
        <f t="shared" ca="1" si="559"/>
        <v>101352.11830331082</v>
      </c>
      <c r="V533" s="201">
        <f t="shared" ca="1" si="559"/>
        <v>101162.57716349557</v>
      </c>
      <c r="W533" s="201">
        <f t="shared" ca="1" si="559"/>
        <v>103818.17584273625</v>
      </c>
      <c r="X533" s="201">
        <f t="shared" ca="1" si="559"/>
        <v>106478.53391323035</v>
      </c>
      <c r="Y533" s="201">
        <f t="shared" ca="1" si="559"/>
        <v>109145.918069694</v>
      </c>
      <c r="Z533" s="201">
        <f t="shared" ca="1" si="559"/>
        <v>111819.88777398369</v>
      </c>
      <c r="AA533" s="201">
        <f t="shared" ca="1" si="559"/>
        <v>114499.93599104596</v>
      </c>
      <c r="AB533" s="201">
        <f t="shared" ca="1" si="559"/>
        <v>117186.09242366097</v>
      </c>
      <c r="AC533" s="201">
        <f t="shared" ca="1" si="559"/>
        <v>119874.15541387367</v>
      </c>
      <c r="AD533" s="201">
        <f t="shared" ca="1" si="559"/>
        <v>122568.97933911489</v>
      </c>
      <c r="AE533" s="201">
        <f t="shared" ca="1" si="559"/>
        <v>125269.96198129498</v>
      </c>
      <c r="AF533" s="201">
        <f t="shared" ca="1" si="559"/>
        <v>133689.97158433276</v>
      </c>
      <c r="AG533" s="201">
        <f t="shared" ca="1" si="559"/>
        <v>134149.66682492042</v>
      </c>
      <c r="AH533" s="201">
        <f t="shared" ca="1" si="559"/>
        <v>134021.38436921936</v>
      </c>
      <c r="AI533" s="201">
        <f t="shared" ca="1" si="559"/>
        <v>136854.4384513908</v>
      </c>
      <c r="AJ533" s="201">
        <f t="shared" ca="1" si="559"/>
        <v>139693.89358675032</v>
      </c>
      <c r="AK533" s="201">
        <f t="shared" ca="1" si="559"/>
        <v>142537.83966810437</v>
      </c>
      <c r="AL533" s="201">
        <f t="shared" ca="1" si="559"/>
        <v>145388.41992389879</v>
      </c>
      <c r="AM533" s="201">
        <f t="shared" ca="1" si="559"/>
        <v>148243.52788502403</v>
      </c>
      <c r="AN533" s="201">
        <f t="shared" ca="1" si="559"/>
        <v>151100.74483960372</v>
      </c>
      <c r="AO533" s="201">
        <f t="shared" ca="1" si="559"/>
        <v>153964.27635514911</v>
      </c>
      <c r="AP533" s="201">
        <f t="shared" ca="1" si="559"/>
        <v>156834.38698580151</v>
      </c>
      <c r="AQ533" s="201">
        <f t="shared" ca="1" si="559"/>
        <v>159710.7858415083</v>
      </c>
      <c r="AR533" s="201">
        <f t="shared" ca="1" si="559"/>
        <v>168558.46205540828</v>
      </c>
      <c r="AS533" s="201">
        <f t="shared" ca="1" si="559"/>
        <v>170228.01283724653</v>
      </c>
      <c r="AT533" s="201">
        <f t="shared" ca="1" si="559"/>
        <v>171287.01711197864</v>
      </c>
      <c r="AU533" s="201">
        <f t="shared" ca="1" si="559"/>
        <v>175427.06157786169</v>
      </c>
      <c r="AV533" s="201">
        <f t="shared" ca="1" si="559"/>
        <v>179572.98055963006</v>
      </c>
      <c r="AW533" s="201">
        <f t="shared" ca="1" si="559"/>
        <v>183726.02432465315</v>
      </c>
      <c r="AX533" s="201">
        <f t="shared" ca="1" si="559"/>
        <v>187873.67807476423</v>
      </c>
      <c r="AY533" s="201">
        <f t="shared" ca="1" si="559"/>
        <v>192028.65320573043</v>
      </c>
      <c r="AZ533" s="201">
        <f t="shared" ca="1" si="559"/>
        <v>196190.48235063525</v>
      </c>
      <c r="BA533" s="201">
        <f t="shared" ca="1" si="559"/>
        <v>200358.62759599055</v>
      </c>
      <c r="BB533" s="201">
        <f t="shared" ca="1" si="559"/>
        <v>204533.12045347571</v>
      </c>
      <c r="BC533" s="201">
        <f t="shared" ca="1" si="559"/>
        <v>208711.85704818973</v>
      </c>
      <c r="BD533" s="201">
        <f t="shared" ca="1" si="559"/>
        <v>219101.75317608021</v>
      </c>
      <c r="BE533" s="201">
        <f t="shared" ca="1" si="559"/>
        <v>220864.06627567671</v>
      </c>
      <c r="BF533" s="201">
        <f t="shared" ca="1" si="559"/>
        <v>221990.9950272993</v>
      </c>
      <c r="BG533" s="201">
        <f t="shared" ca="1" si="559"/>
        <v>226324.51076986146</v>
      </c>
      <c r="BH533" s="201">
        <f t="shared" ca="1" si="559"/>
        <v>230662.46503218805</v>
      </c>
      <c r="BI533" s="201">
        <f t="shared" ca="1" si="559"/>
        <v>235009.64132611899</v>
      </c>
      <c r="BJ533" s="201">
        <f t="shared" ca="1" si="559"/>
        <v>239363.5201077938</v>
      </c>
      <c r="BK533" s="201">
        <f t="shared" ca="1" si="559"/>
        <v>243722.07494449086</v>
      </c>
      <c r="BL533" s="201">
        <f t="shared" ca="1" si="559"/>
        <v>248087.57958726841</v>
      </c>
      <c r="BM533" s="201">
        <f t="shared" ca="1" si="559"/>
        <v>252457.79928304808</v>
      </c>
      <c r="BN533" s="201">
        <f t="shared" ca="1" si="559"/>
        <v>256830.16802040022</v>
      </c>
      <c r="BO533" s="201">
        <f t="shared" ca="1" si="559"/>
        <v>261209.14748589759</v>
      </c>
      <c r="BP533" s="201"/>
      <c r="BQ533" s="201"/>
    </row>
    <row r="534" spans="2:16384" s="22" customFormat="1" outlineLevel="1">
      <c r="B534" s="182"/>
      <c r="C534" s="182" t="s">
        <v>21</v>
      </c>
      <c r="D534" s="182"/>
      <c r="E534" s="200"/>
      <c r="F534" s="184"/>
      <c r="G534" s="66"/>
      <c r="H534" s="201" cm="1">
        <f t="array" aca="1" ref="H534:BO534" ca="1">_xlfn.ANCHORARRAY(H52)</f>
        <v>589.14078714222023</v>
      </c>
      <c r="I534" s="201">
        <f ca="1"/>
        <v>-534.96889085016062</v>
      </c>
      <c r="J534" s="201">
        <f ca="1"/>
        <v>4907.4948508511634</v>
      </c>
      <c r="K534" s="201">
        <f ca="1"/>
        <v>4962.8554455531385</v>
      </c>
      <c r="L534" s="201">
        <f ca="1"/>
        <v>4971.7410032509024</v>
      </c>
      <c r="M534" s="201">
        <f ca="1"/>
        <v>4966.7391451086851</v>
      </c>
      <c r="N534" s="201">
        <f ca="1"/>
        <v>4978.9932684298501</v>
      </c>
      <c r="O534" s="201">
        <f ca="1"/>
        <v>4991.7461270536696</v>
      </c>
      <c r="P534" s="201">
        <f ca="1"/>
        <v>5003.950602130275</v>
      </c>
      <c r="Q534" s="201">
        <f ca="1"/>
        <v>5023.1121268380439</v>
      </c>
      <c r="R534" s="201">
        <f ca="1"/>
        <v>5037.5809519758332</v>
      </c>
      <c r="S534" s="201">
        <f ca="1"/>
        <v>16056.724631078023</v>
      </c>
      <c r="T534" s="201">
        <f ca="1"/>
        <v>749.12655805993415</v>
      </c>
      <c r="U534" s="201">
        <f ca="1"/>
        <v>-379.08227963050069</v>
      </c>
      <c r="V534" s="201">
        <f ca="1"/>
        <v>5311.1973584813559</v>
      </c>
      <c r="W534" s="201">
        <f ca="1"/>
        <v>5320.7161409881928</v>
      </c>
      <c r="X534" s="201">
        <f ca="1"/>
        <v>5334.7683129272864</v>
      </c>
      <c r="Y534" s="201">
        <f ca="1"/>
        <v>5347.9394085793811</v>
      </c>
      <c r="Z534" s="201">
        <f ca="1"/>
        <v>5360.0964341245426</v>
      </c>
      <c r="AA534" s="201">
        <f ca="1"/>
        <v>5372.3128652300038</v>
      </c>
      <c r="AB534" s="201">
        <f ca="1"/>
        <v>5376.1259804253968</v>
      </c>
      <c r="AC534" s="201">
        <f ca="1"/>
        <v>5389.6478504824354</v>
      </c>
      <c r="AD534" s="201">
        <f ca="1"/>
        <v>5401.9652843602107</v>
      </c>
      <c r="AE534" s="201">
        <f ca="1"/>
        <v>16840.019206075565</v>
      </c>
      <c r="AF534" s="201">
        <f ca="1"/>
        <v>919.39048117529148</v>
      </c>
      <c r="AG534" s="201">
        <f ca="1"/>
        <v>-256.56491140216247</v>
      </c>
      <c r="AH534" s="201">
        <f ca="1"/>
        <v>5666.1081643428852</v>
      </c>
      <c r="AI534" s="201">
        <f ca="1"/>
        <v>5678.9102707190377</v>
      </c>
      <c r="AJ534" s="201">
        <f ca="1"/>
        <v>5687.892162708069</v>
      </c>
      <c r="AK534" s="201">
        <f ca="1"/>
        <v>5701.1605115888833</v>
      </c>
      <c r="AL534" s="201">
        <f ca="1"/>
        <v>5710.2159222504688</v>
      </c>
      <c r="AM534" s="201">
        <f ca="1"/>
        <v>5714.4339091593729</v>
      </c>
      <c r="AN534" s="201">
        <f ca="1"/>
        <v>5727.0630310908155</v>
      </c>
      <c r="AO534" s="201">
        <f ca="1"/>
        <v>5740.2212613048405</v>
      </c>
      <c r="AP534" s="201">
        <f ca="1"/>
        <v>5752.797711413582</v>
      </c>
      <c r="AQ534" s="201">
        <f ca="1"/>
        <v>17695.35242779995</v>
      </c>
      <c r="AR534" s="201">
        <f ca="1"/>
        <v>3339.1015636764632</v>
      </c>
      <c r="AS534" s="201">
        <f ca="1"/>
        <v>2118.0085494642381</v>
      </c>
      <c r="AT534" s="201">
        <f ca="1"/>
        <v>8280.0889317661386</v>
      </c>
      <c r="AU534" s="201">
        <f ca="1"/>
        <v>8291.8379635367746</v>
      </c>
      <c r="AV534" s="201">
        <f ca="1"/>
        <v>8306.0875300462194</v>
      </c>
      <c r="AW534" s="201">
        <f ca="1"/>
        <v>8295.3075002221849</v>
      </c>
      <c r="AX534" s="201">
        <f ca="1"/>
        <v>8309.9502619323575</v>
      </c>
      <c r="AY534" s="201">
        <f ca="1"/>
        <v>8323.658289809664</v>
      </c>
      <c r="AZ534" s="201">
        <f ca="1"/>
        <v>8336.2904907105512</v>
      </c>
      <c r="BA534" s="201">
        <f ca="1"/>
        <v>8348.9857149703203</v>
      </c>
      <c r="BB534" s="201">
        <f ca="1"/>
        <v>8357.4731894280449</v>
      </c>
      <c r="BC534" s="201">
        <f ca="1"/>
        <v>20779.792255780958</v>
      </c>
      <c r="BD534" s="201">
        <f ca="1"/>
        <v>3524.6261991930005</v>
      </c>
      <c r="BE534" s="201">
        <f ca="1"/>
        <v>2253.8575032452127</v>
      </c>
      <c r="BF534" s="201">
        <f ca="1"/>
        <v>8667.0314851243129</v>
      </c>
      <c r="BG534" s="201">
        <f ca="1"/>
        <v>8675.9085246531649</v>
      </c>
      <c r="BH534" s="201">
        <f ca="1"/>
        <v>8694.3525878618457</v>
      </c>
      <c r="BI534" s="201">
        <f ca="1"/>
        <v>8707.7575633496272</v>
      </c>
      <c r="BJ534" s="201">
        <f ca="1"/>
        <v>8717.109673394094</v>
      </c>
      <c r="BK534" s="201">
        <f ca="1"/>
        <v>8731.0092855551156</v>
      </c>
      <c r="BL534" s="201">
        <f ca="1"/>
        <v>8740.4393915593046</v>
      </c>
      <c r="BM534" s="201">
        <f ca="1"/>
        <v>8744.7374747043086</v>
      </c>
      <c r="BN534" s="201">
        <f ca="1"/>
        <v>8757.9589309947041</v>
      </c>
      <c r="BO534" s="201">
        <f ca="1"/>
        <v>21687.660918990001</v>
      </c>
      <c r="BP534" s="201"/>
      <c r="BQ534" s="201"/>
    </row>
    <row r="535" spans="2:16384" s="22" customFormat="1" outlineLevel="1">
      <c r="B535" s="182"/>
      <c r="C535" s="182" t="s">
        <v>1344</v>
      </c>
      <c r="D535" s="240">
        <v>0.5</v>
      </c>
      <c r="E535" s="241" t="s">
        <v>1287</v>
      </c>
      <c r="F535" s="184"/>
      <c r="G535" s="66"/>
      <c r="H535" s="201" cm="1">
        <f t="array" aca="1" ref="H535:BO535" ca="1">-_xlfn.ANCHORARRAY(H534)*$D$535</f>
        <v>-294.57039357111012</v>
      </c>
      <c r="I535" s="201">
        <f ca="1"/>
        <v>267.48444542508031</v>
      </c>
      <c r="J535" s="201">
        <f ca="1"/>
        <v>-2453.7474254255817</v>
      </c>
      <c r="K535" s="201">
        <f ca="1"/>
        <v>-2481.4277227765692</v>
      </c>
      <c r="L535" s="201">
        <f ca="1"/>
        <v>-2485.8705016254512</v>
      </c>
      <c r="M535" s="201">
        <f ca="1"/>
        <v>-2483.3695725543425</v>
      </c>
      <c r="N535" s="201">
        <f ca="1"/>
        <v>-2489.4966342149251</v>
      </c>
      <c r="O535" s="201">
        <f ca="1"/>
        <v>-2495.8730635268348</v>
      </c>
      <c r="P535" s="201">
        <f ca="1"/>
        <v>-2501.9753010651375</v>
      </c>
      <c r="Q535" s="201">
        <f ca="1"/>
        <v>-2511.5560634190219</v>
      </c>
      <c r="R535" s="201">
        <f ca="1"/>
        <v>-2518.7904759879166</v>
      </c>
      <c r="S535" s="201">
        <f ca="1"/>
        <v>-8028.3623155390114</v>
      </c>
      <c r="T535" s="201">
        <f ca="1"/>
        <v>-374.56327902996708</v>
      </c>
      <c r="U535" s="201">
        <f ca="1"/>
        <v>189.54113981525035</v>
      </c>
      <c r="V535" s="201">
        <f ca="1"/>
        <v>-2655.5986792406779</v>
      </c>
      <c r="W535" s="201">
        <f ca="1"/>
        <v>-2660.3580704940964</v>
      </c>
      <c r="X535" s="201">
        <f ca="1"/>
        <v>-2667.3841564636432</v>
      </c>
      <c r="Y535" s="201">
        <f ca="1"/>
        <v>-2673.9697042896905</v>
      </c>
      <c r="Z535" s="201">
        <f ca="1"/>
        <v>-2680.0482170622713</v>
      </c>
      <c r="AA535" s="201">
        <f ca="1"/>
        <v>-2686.1564326150019</v>
      </c>
      <c r="AB535" s="201">
        <f ca="1"/>
        <v>-2688.0629902126984</v>
      </c>
      <c r="AC535" s="201">
        <f ca="1"/>
        <v>-2694.8239252412177</v>
      </c>
      <c r="AD535" s="201">
        <f ca="1"/>
        <v>-2700.9826421801054</v>
      </c>
      <c r="AE535" s="201">
        <f ca="1"/>
        <v>-8420.0096030377827</v>
      </c>
      <c r="AF535" s="201">
        <f ca="1"/>
        <v>-459.69524058764574</v>
      </c>
      <c r="AG535" s="201">
        <f ca="1"/>
        <v>128.28245570108123</v>
      </c>
      <c r="AH535" s="201">
        <f ca="1"/>
        <v>-2833.0540821714426</v>
      </c>
      <c r="AI535" s="201">
        <f ca="1"/>
        <v>-2839.4551353595189</v>
      </c>
      <c r="AJ535" s="201">
        <f ca="1"/>
        <v>-2843.9460813540345</v>
      </c>
      <c r="AK535" s="201">
        <f ca="1"/>
        <v>-2850.5802557944417</v>
      </c>
      <c r="AL535" s="201">
        <f ca="1"/>
        <v>-2855.1079611252344</v>
      </c>
      <c r="AM535" s="201">
        <f ca="1"/>
        <v>-2857.2169545796864</v>
      </c>
      <c r="AN535" s="201">
        <f ca="1"/>
        <v>-2863.5315155454077</v>
      </c>
      <c r="AO535" s="201">
        <f ca="1"/>
        <v>-2870.1106306524202</v>
      </c>
      <c r="AP535" s="201">
        <f ca="1"/>
        <v>-2876.398855706791</v>
      </c>
      <c r="AQ535" s="201">
        <f ca="1"/>
        <v>-8847.6762138999748</v>
      </c>
      <c r="AR535" s="201">
        <f ca="1"/>
        <v>-1669.5507818382316</v>
      </c>
      <c r="AS535" s="201">
        <f ca="1"/>
        <v>-1059.004274732119</v>
      </c>
      <c r="AT535" s="201">
        <f ca="1"/>
        <v>-4140.0444658830693</v>
      </c>
      <c r="AU535" s="201">
        <f ca="1"/>
        <v>-4145.9189817683873</v>
      </c>
      <c r="AV535" s="201">
        <f ca="1"/>
        <v>-4153.0437650231097</v>
      </c>
      <c r="AW535" s="201">
        <f ca="1"/>
        <v>-4147.6537501110924</v>
      </c>
      <c r="AX535" s="201">
        <f ca="1"/>
        <v>-4154.9751309661788</v>
      </c>
      <c r="AY535" s="201">
        <f ca="1"/>
        <v>-4161.829144904832</v>
      </c>
      <c r="AZ535" s="201">
        <f ca="1"/>
        <v>-4168.1452453552756</v>
      </c>
      <c r="BA535" s="201">
        <f ca="1"/>
        <v>-4174.4928574851601</v>
      </c>
      <c r="BB535" s="201">
        <f ca="1"/>
        <v>-4178.7365947140224</v>
      </c>
      <c r="BC535" s="201">
        <f ca="1"/>
        <v>-10389.896127890479</v>
      </c>
      <c r="BD535" s="201">
        <f ca="1"/>
        <v>-1762.3130995965003</v>
      </c>
      <c r="BE535" s="201">
        <f ca="1"/>
        <v>-1126.9287516226063</v>
      </c>
      <c r="BF535" s="201">
        <f ca="1"/>
        <v>-4333.5157425621564</v>
      </c>
      <c r="BG535" s="201">
        <f ca="1"/>
        <v>-4337.9542623265825</v>
      </c>
      <c r="BH535" s="201">
        <f ca="1"/>
        <v>-4347.1762939309228</v>
      </c>
      <c r="BI535" s="201">
        <f ca="1"/>
        <v>-4353.8787816748136</v>
      </c>
      <c r="BJ535" s="201">
        <f ca="1"/>
        <v>-4358.554836697047</v>
      </c>
      <c r="BK535" s="201">
        <f ca="1"/>
        <v>-4365.5046427775578</v>
      </c>
      <c r="BL535" s="201">
        <f ca="1"/>
        <v>-4370.2196957796523</v>
      </c>
      <c r="BM535" s="201">
        <f ca="1"/>
        <v>-4372.3687373521543</v>
      </c>
      <c r="BN535" s="201">
        <f ca="1"/>
        <v>-4378.9794654973521</v>
      </c>
      <c r="BO535" s="201">
        <f ca="1"/>
        <v>-10843.830459495</v>
      </c>
      <c r="BP535" s="201"/>
      <c r="BQ535" s="201"/>
    </row>
    <row r="536" spans="2:16384" s="31" customFormat="1" outlineLevel="1">
      <c r="B536" s="208"/>
      <c r="C536" s="255" t="s">
        <v>1311</v>
      </c>
      <c r="D536" s="255"/>
      <c r="E536" s="256"/>
      <c r="F536" s="257"/>
      <c r="G536" s="267">
        <f ca="1">G84</f>
        <v>70500</v>
      </c>
      <c r="H536" s="258">
        <f ca="1">SUM(H533:H535)</f>
        <v>70794.570393571121</v>
      </c>
      <c r="I536" s="258">
        <f t="shared" ref="I536:BO536" ca="1" si="560">SUM(I533:I535)</f>
        <v>70527.08594814605</v>
      </c>
      <c r="J536" s="258">
        <f t="shared" ca="1" si="560"/>
        <v>72980.83337357163</v>
      </c>
      <c r="K536" s="258">
        <f t="shared" ca="1" si="560"/>
        <v>75462.2610963482</v>
      </c>
      <c r="L536" s="258">
        <f t="shared" ca="1" si="560"/>
        <v>77948.131597973654</v>
      </c>
      <c r="M536" s="258">
        <f t="shared" ca="1" si="560"/>
        <v>80431.501170528005</v>
      </c>
      <c r="N536" s="258">
        <f t="shared" ca="1" si="560"/>
        <v>82920.997804742932</v>
      </c>
      <c r="O536" s="258">
        <f t="shared" ca="1" si="560"/>
        <v>85416.870868269776</v>
      </c>
      <c r="P536" s="258">
        <f t="shared" ca="1" si="560"/>
        <v>87918.846169334924</v>
      </c>
      <c r="Q536" s="258">
        <f t="shared" ca="1" si="560"/>
        <v>90430.402232753942</v>
      </c>
      <c r="R536" s="258">
        <f t="shared" ca="1" si="560"/>
        <v>92949.192708741859</v>
      </c>
      <c r="S536" s="258">
        <f t="shared" ca="1" si="560"/>
        <v>100977.55502428087</v>
      </c>
      <c r="T536" s="258">
        <f t="shared" ca="1" si="560"/>
        <v>101352.11830331082</v>
      </c>
      <c r="U536" s="258">
        <f t="shared" ca="1" si="560"/>
        <v>101162.57716349557</v>
      </c>
      <c r="V536" s="258">
        <f t="shared" ca="1" si="560"/>
        <v>103818.17584273625</v>
      </c>
      <c r="W536" s="258">
        <f t="shared" ca="1" si="560"/>
        <v>106478.53391323035</v>
      </c>
      <c r="X536" s="258">
        <f t="shared" ca="1" si="560"/>
        <v>109145.918069694</v>
      </c>
      <c r="Y536" s="258">
        <f t="shared" ca="1" si="560"/>
        <v>111819.88777398369</v>
      </c>
      <c r="Z536" s="258">
        <f t="shared" ca="1" si="560"/>
        <v>114499.93599104596</v>
      </c>
      <c r="AA536" s="258">
        <f t="shared" ca="1" si="560"/>
        <v>117186.09242366097</v>
      </c>
      <c r="AB536" s="258">
        <f t="shared" ca="1" si="560"/>
        <v>119874.15541387367</v>
      </c>
      <c r="AC536" s="258">
        <f t="shared" ca="1" si="560"/>
        <v>122568.97933911489</v>
      </c>
      <c r="AD536" s="258">
        <f t="shared" ca="1" si="560"/>
        <v>125269.96198129498</v>
      </c>
      <c r="AE536" s="258">
        <f t="shared" ca="1" si="560"/>
        <v>133689.97158433276</v>
      </c>
      <c r="AF536" s="258">
        <f t="shared" ca="1" si="560"/>
        <v>134149.66682492042</v>
      </c>
      <c r="AG536" s="258">
        <f t="shared" ca="1" si="560"/>
        <v>134021.38436921936</v>
      </c>
      <c r="AH536" s="258">
        <f t="shared" ca="1" si="560"/>
        <v>136854.4384513908</v>
      </c>
      <c r="AI536" s="258">
        <f t="shared" ca="1" si="560"/>
        <v>139693.89358675032</v>
      </c>
      <c r="AJ536" s="258">
        <f t="shared" ca="1" si="560"/>
        <v>142537.83966810437</v>
      </c>
      <c r="AK536" s="258">
        <f t="shared" ca="1" si="560"/>
        <v>145388.41992389879</v>
      </c>
      <c r="AL536" s="258">
        <f t="shared" ca="1" si="560"/>
        <v>148243.52788502403</v>
      </c>
      <c r="AM536" s="258">
        <f t="shared" ca="1" si="560"/>
        <v>151100.74483960372</v>
      </c>
      <c r="AN536" s="258">
        <f t="shared" ca="1" si="560"/>
        <v>153964.27635514911</v>
      </c>
      <c r="AO536" s="258">
        <f t="shared" ca="1" si="560"/>
        <v>156834.38698580151</v>
      </c>
      <c r="AP536" s="258">
        <f t="shared" ca="1" si="560"/>
        <v>159710.7858415083</v>
      </c>
      <c r="AQ536" s="258">
        <f t="shared" ca="1" si="560"/>
        <v>168558.46205540828</v>
      </c>
      <c r="AR536" s="258">
        <f t="shared" ca="1" si="560"/>
        <v>170228.01283724653</v>
      </c>
      <c r="AS536" s="258">
        <f t="shared" ca="1" si="560"/>
        <v>171287.01711197864</v>
      </c>
      <c r="AT536" s="258">
        <f t="shared" ca="1" si="560"/>
        <v>175427.06157786169</v>
      </c>
      <c r="AU536" s="258">
        <f t="shared" ca="1" si="560"/>
        <v>179572.98055963006</v>
      </c>
      <c r="AV536" s="258">
        <f t="shared" ca="1" si="560"/>
        <v>183726.02432465315</v>
      </c>
      <c r="AW536" s="258">
        <f t="shared" ca="1" si="560"/>
        <v>187873.67807476423</v>
      </c>
      <c r="AX536" s="258">
        <f t="shared" ca="1" si="560"/>
        <v>192028.65320573043</v>
      </c>
      <c r="AY536" s="258">
        <f t="shared" ca="1" si="560"/>
        <v>196190.48235063525</v>
      </c>
      <c r="AZ536" s="258">
        <f t="shared" ca="1" si="560"/>
        <v>200358.62759599055</v>
      </c>
      <c r="BA536" s="258">
        <f t="shared" ca="1" si="560"/>
        <v>204533.12045347571</v>
      </c>
      <c r="BB536" s="258">
        <f t="shared" ca="1" si="560"/>
        <v>208711.85704818973</v>
      </c>
      <c r="BC536" s="258">
        <f t="shared" ca="1" si="560"/>
        <v>219101.75317608021</v>
      </c>
      <c r="BD536" s="258">
        <f t="shared" ca="1" si="560"/>
        <v>220864.06627567671</v>
      </c>
      <c r="BE536" s="258">
        <f t="shared" ca="1" si="560"/>
        <v>221990.9950272993</v>
      </c>
      <c r="BF536" s="258">
        <f t="shared" ca="1" si="560"/>
        <v>226324.51076986146</v>
      </c>
      <c r="BG536" s="258">
        <f t="shared" ca="1" si="560"/>
        <v>230662.46503218805</v>
      </c>
      <c r="BH536" s="258">
        <f t="shared" ca="1" si="560"/>
        <v>235009.64132611899</v>
      </c>
      <c r="BI536" s="258">
        <f t="shared" ca="1" si="560"/>
        <v>239363.5201077938</v>
      </c>
      <c r="BJ536" s="258">
        <f t="shared" ca="1" si="560"/>
        <v>243722.07494449086</v>
      </c>
      <c r="BK536" s="258">
        <f t="shared" ca="1" si="560"/>
        <v>248087.57958726841</v>
      </c>
      <c r="BL536" s="258">
        <f t="shared" ca="1" si="560"/>
        <v>252457.79928304808</v>
      </c>
      <c r="BM536" s="258">
        <f t="shared" ca="1" si="560"/>
        <v>256830.16802040022</v>
      </c>
      <c r="BN536" s="258">
        <f t="shared" ca="1" si="560"/>
        <v>261209.14748589759</v>
      </c>
      <c r="BO536" s="258">
        <f t="shared" ca="1" si="560"/>
        <v>272052.97794539254</v>
      </c>
      <c r="BP536" s="362"/>
      <c r="BQ536" s="362"/>
    </row>
    <row r="537" spans="2:16384" s="22" customFormat="1">
      <c r="E537" s="28"/>
      <c r="F537" s="29"/>
    </row>
    <row r="538" spans="2:16384" s="22" customFormat="1">
      <c r="C538" s="22" t="s">
        <v>1345</v>
      </c>
      <c r="E538" s="28"/>
      <c r="F538" s="29"/>
      <c r="G538" s="318"/>
      <c r="H538" s="141" cm="1">
        <f t="array" aca="1" ref="H538:XFD538" ca="1">ROUNDDOWN(H536:XFD536-H84:BO84,0)</f>
        <v>0</v>
      </c>
      <c r="I538" s="141">
        <f ca="1"/>
        <v>0</v>
      </c>
      <c r="J538" s="141">
        <f ca="1"/>
        <v>0</v>
      </c>
      <c r="K538" s="141">
        <f ca="1"/>
        <v>0</v>
      </c>
      <c r="L538" s="141">
        <f ca="1"/>
        <v>0</v>
      </c>
      <c r="M538" s="141">
        <f ca="1"/>
        <v>0</v>
      </c>
      <c r="N538" s="141">
        <f ca="1"/>
        <v>0</v>
      </c>
      <c r="O538" s="141">
        <f ca="1"/>
        <v>0</v>
      </c>
      <c r="P538" s="141">
        <f ca="1"/>
        <v>0</v>
      </c>
      <c r="Q538" s="141">
        <f ca="1"/>
        <v>0</v>
      </c>
      <c r="R538" s="141">
        <f ca="1"/>
        <v>0</v>
      </c>
      <c r="S538" s="141">
        <f ca="1"/>
        <v>0</v>
      </c>
      <c r="T538" s="141">
        <f ca="1"/>
        <v>0</v>
      </c>
      <c r="U538" s="141">
        <f ca="1"/>
        <v>0</v>
      </c>
      <c r="V538" s="141">
        <f ca="1"/>
        <v>0</v>
      </c>
      <c r="W538" s="141">
        <f ca="1"/>
        <v>0</v>
      </c>
      <c r="X538" s="141">
        <f ca="1"/>
        <v>0</v>
      </c>
      <c r="Y538" s="141">
        <f ca="1"/>
        <v>0</v>
      </c>
      <c r="Z538" s="141">
        <f ca="1"/>
        <v>0</v>
      </c>
      <c r="AA538" s="141">
        <f ca="1"/>
        <v>0</v>
      </c>
      <c r="AB538" s="141">
        <f ca="1"/>
        <v>0</v>
      </c>
      <c r="AC538" s="141">
        <f ca="1"/>
        <v>0</v>
      </c>
      <c r="AD538" s="141">
        <f ca="1"/>
        <v>0</v>
      </c>
      <c r="AE538" s="141">
        <f ca="1"/>
        <v>0</v>
      </c>
      <c r="AF538" s="141">
        <f ca="1"/>
        <v>0</v>
      </c>
      <c r="AG538" s="141">
        <f ca="1"/>
        <v>0</v>
      </c>
      <c r="AH538" s="141">
        <f ca="1"/>
        <v>0</v>
      </c>
      <c r="AI538" s="141">
        <f ca="1"/>
        <v>0</v>
      </c>
      <c r="AJ538" s="141">
        <f ca="1"/>
        <v>0</v>
      </c>
      <c r="AK538" s="141">
        <f ca="1"/>
        <v>0</v>
      </c>
      <c r="AL538" s="141">
        <f ca="1"/>
        <v>0</v>
      </c>
      <c r="AM538" s="141">
        <f ca="1"/>
        <v>0</v>
      </c>
      <c r="AN538" s="141">
        <f ca="1"/>
        <v>0</v>
      </c>
      <c r="AO538" s="141">
        <f ca="1"/>
        <v>0</v>
      </c>
      <c r="AP538" s="141">
        <f ca="1"/>
        <v>0</v>
      </c>
      <c r="AQ538" s="141">
        <f ca="1"/>
        <v>0</v>
      </c>
      <c r="AR538" s="141">
        <f ca="1"/>
        <v>0</v>
      </c>
      <c r="AS538" s="141">
        <f ca="1"/>
        <v>0</v>
      </c>
      <c r="AT538" s="141">
        <f ca="1"/>
        <v>0</v>
      </c>
      <c r="AU538" s="141">
        <f ca="1"/>
        <v>0</v>
      </c>
      <c r="AV538" s="141">
        <f ca="1"/>
        <v>0</v>
      </c>
      <c r="AW538" s="141">
        <f ca="1"/>
        <v>0</v>
      </c>
      <c r="AX538" s="141">
        <f ca="1"/>
        <v>0</v>
      </c>
      <c r="AY538" s="141">
        <f ca="1"/>
        <v>0</v>
      </c>
      <c r="AZ538" s="141">
        <f ca="1"/>
        <v>0</v>
      </c>
      <c r="BA538" s="141">
        <f ca="1"/>
        <v>0</v>
      </c>
      <c r="BB538" s="141">
        <f ca="1"/>
        <v>0</v>
      </c>
      <c r="BC538" s="141">
        <f ca="1"/>
        <v>0</v>
      </c>
      <c r="BD538" s="141">
        <f ca="1"/>
        <v>0</v>
      </c>
      <c r="BE538" s="141">
        <f ca="1"/>
        <v>0</v>
      </c>
      <c r="BF538" s="141">
        <f ca="1"/>
        <v>0</v>
      </c>
      <c r="BG538" s="141">
        <f ca="1"/>
        <v>0</v>
      </c>
      <c r="BH538" s="141">
        <f ca="1"/>
        <v>0</v>
      </c>
      <c r="BI538" s="141">
        <f ca="1"/>
        <v>0</v>
      </c>
      <c r="BJ538" s="141">
        <f ca="1"/>
        <v>0</v>
      </c>
      <c r="BK538" s="141">
        <f ca="1"/>
        <v>0</v>
      </c>
      <c r="BL538" s="141">
        <f ca="1"/>
        <v>0</v>
      </c>
      <c r="BM538" s="141">
        <f ca="1"/>
        <v>0</v>
      </c>
      <c r="BN538" s="141">
        <f ca="1"/>
        <v>0</v>
      </c>
      <c r="BO538" s="141">
        <f ca="1"/>
        <v>0</v>
      </c>
      <c r="BP538" s="141" t="e">
        <f ca="1"/>
        <v>#N/A</v>
      </c>
      <c r="BQ538" s="141" t="e">
        <f ca="1"/>
        <v>#N/A</v>
      </c>
      <c r="BR538" s="22" t="e">
        <f ca="1"/>
        <v>#N/A</v>
      </c>
      <c r="BS538" s="22" t="e">
        <f ca="1"/>
        <v>#N/A</v>
      </c>
      <c r="BT538" s="22" t="e">
        <f ca="1"/>
        <v>#N/A</v>
      </c>
      <c r="BU538" s="22" t="e">
        <f ca="1"/>
        <v>#N/A</v>
      </c>
      <c r="BV538" s="22" t="e">
        <f ca="1"/>
        <v>#N/A</v>
      </c>
      <c r="BW538" s="22" t="e">
        <f ca="1"/>
        <v>#N/A</v>
      </c>
      <c r="BX538" s="22" t="e">
        <f ca="1"/>
        <v>#N/A</v>
      </c>
      <c r="BY538" s="22" t="e">
        <f ca="1"/>
        <v>#N/A</v>
      </c>
      <c r="BZ538" s="22" t="e">
        <f ca="1"/>
        <v>#N/A</v>
      </c>
      <c r="CA538" s="22" t="e">
        <f ca="1"/>
        <v>#N/A</v>
      </c>
      <c r="CB538" s="22" t="e">
        <f ca="1"/>
        <v>#N/A</v>
      </c>
      <c r="CC538" s="22" t="e">
        <f ca="1"/>
        <v>#N/A</v>
      </c>
      <c r="CD538" s="22" t="e">
        <f ca="1"/>
        <v>#N/A</v>
      </c>
      <c r="CE538" s="22" t="e">
        <f ca="1"/>
        <v>#N/A</v>
      </c>
      <c r="CF538" s="22" t="e">
        <f ca="1"/>
        <v>#N/A</v>
      </c>
      <c r="CG538" s="22" t="e">
        <f ca="1"/>
        <v>#N/A</v>
      </c>
      <c r="CH538" s="22" t="e">
        <f ca="1"/>
        <v>#N/A</v>
      </c>
      <c r="CI538" s="22" t="e">
        <f ca="1"/>
        <v>#N/A</v>
      </c>
      <c r="CJ538" s="22" t="e">
        <f ca="1"/>
        <v>#N/A</v>
      </c>
      <c r="CK538" s="22" t="e">
        <f ca="1"/>
        <v>#N/A</v>
      </c>
      <c r="CL538" s="22" t="e">
        <f ca="1"/>
        <v>#N/A</v>
      </c>
      <c r="CM538" s="22" t="e">
        <f ca="1"/>
        <v>#N/A</v>
      </c>
      <c r="CN538" s="22" t="e">
        <f ca="1"/>
        <v>#N/A</v>
      </c>
      <c r="CO538" s="22" t="e">
        <f ca="1"/>
        <v>#N/A</v>
      </c>
      <c r="CP538" s="22" t="e">
        <f ca="1"/>
        <v>#N/A</v>
      </c>
      <c r="CQ538" s="22" t="e">
        <f ca="1"/>
        <v>#N/A</v>
      </c>
      <c r="CR538" s="22" t="e">
        <f ca="1"/>
        <v>#N/A</v>
      </c>
      <c r="CS538" s="22" t="e">
        <f ca="1"/>
        <v>#N/A</v>
      </c>
      <c r="CT538" s="22" t="e">
        <f ca="1"/>
        <v>#N/A</v>
      </c>
      <c r="CU538" s="22" t="e">
        <f ca="1"/>
        <v>#N/A</v>
      </c>
      <c r="CV538" s="22" t="e">
        <f ca="1"/>
        <v>#N/A</v>
      </c>
      <c r="CW538" s="22" t="e">
        <f ca="1"/>
        <v>#N/A</v>
      </c>
      <c r="CX538" s="22" t="e">
        <f ca="1"/>
        <v>#N/A</v>
      </c>
      <c r="CY538" s="22" t="e">
        <f ca="1"/>
        <v>#N/A</v>
      </c>
      <c r="CZ538" s="22" t="e">
        <f ca="1"/>
        <v>#N/A</v>
      </c>
      <c r="DA538" s="22" t="e">
        <f ca="1"/>
        <v>#N/A</v>
      </c>
      <c r="DB538" s="22" t="e">
        <f ca="1"/>
        <v>#N/A</v>
      </c>
      <c r="DC538" s="22" t="e">
        <f ca="1"/>
        <v>#N/A</v>
      </c>
      <c r="DD538" s="22" t="e">
        <f ca="1"/>
        <v>#N/A</v>
      </c>
      <c r="DE538" s="22" t="e">
        <f ca="1"/>
        <v>#N/A</v>
      </c>
      <c r="DF538" s="22" t="e">
        <f ca="1"/>
        <v>#N/A</v>
      </c>
      <c r="DG538" s="22" t="e">
        <f ca="1"/>
        <v>#N/A</v>
      </c>
      <c r="DH538" s="22" t="e">
        <f ca="1"/>
        <v>#N/A</v>
      </c>
      <c r="DI538" s="22" t="e">
        <f ca="1"/>
        <v>#N/A</v>
      </c>
      <c r="DJ538" s="22" t="e">
        <f ca="1"/>
        <v>#N/A</v>
      </c>
      <c r="DK538" s="22" t="e">
        <f ca="1"/>
        <v>#N/A</v>
      </c>
      <c r="DL538" s="22" t="e">
        <f ca="1"/>
        <v>#N/A</v>
      </c>
      <c r="DM538" s="22" t="e">
        <f ca="1"/>
        <v>#N/A</v>
      </c>
      <c r="DN538" s="22" t="e">
        <f ca="1"/>
        <v>#N/A</v>
      </c>
      <c r="DO538" s="22" t="e">
        <f ca="1"/>
        <v>#N/A</v>
      </c>
      <c r="DP538" s="22" t="e">
        <f ca="1"/>
        <v>#N/A</v>
      </c>
      <c r="DQ538" s="22" t="e">
        <f ca="1"/>
        <v>#N/A</v>
      </c>
      <c r="DR538" s="22" t="e">
        <f ca="1"/>
        <v>#N/A</v>
      </c>
      <c r="DS538" s="22" t="e">
        <f ca="1"/>
        <v>#N/A</v>
      </c>
      <c r="DT538" s="22" t="e">
        <f ca="1"/>
        <v>#N/A</v>
      </c>
      <c r="DU538" s="22" t="e">
        <f ca="1"/>
        <v>#N/A</v>
      </c>
      <c r="DV538" s="22" t="e">
        <f ca="1"/>
        <v>#N/A</v>
      </c>
      <c r="DW538" s="22" t="e">
        <f ca="1"/>
        <v>#N/A</v>
      </c>
      <c r="DX538" s="22" t="e">
        <f ca="1"/>
        <v>#N/A</v>
      </c>
      <c r="DY538" s="22" t="e">
        <f ca="1"/>
        <v>#N/A</v>
      </c>
      <c r="DZ538" s="22" t="e">
        <f ca="1"/>
        <v>#N/A</v>
      </c>
      <c r="EA538" s="22" t="e">
        <f ca="1"/>
        <v>#N/A</v>
      </c>
      <c r="EB538" s="22" t="e">
        <f ca="1"/>
        <v>#N/A</v>
      </c>
      <c r="EC538" s="22" t="e">
        <f ca="1"/>
        <v>#N/A</v>
      </c>
      <c r="ED538" s="22" t="e">
        <f ca="1"/>
        <v>#N/A</v>
      </c>
      <c r="EE538" s="22" t="e">
        <f ca="1"/>
        <v>#N/A</v>
      </c>
      <c r="EF538" s="22" t="e">
        <f ca="1"/>
        <v>#N/A</v>
      </c>
      <c r="EG538" s="22" t="e">
        <f ca="1"/>
        <v>#N/A</v>
      </c>
      <c r="EH538" s="22" t="e">
        <f ca="1"/>
        <v>#N/A</v>
      </c>
      <c r="EI538" s="22" t="e">
        <f ca="1"/>
        <v>#N/A</v>
      </c>
      <c r="EJ538" s="22" t="e">
        <f ca="1"/>
        <v>#N/A</v>
      </c>
      <c r="EK538" s="22" t="e">
        <f ca="1"/>
        <v>#N/A</v>
      </c>
      <c r="EL538" s="22" t="e">
        <f ca="1"/>
        <v>#N/A</v>
      </c>
      <c r="EM538" s="22" t="e">
        <f ca="1"/>
        <v>#N/A</v>
      </c>
      <c r="EN538" s="22" t="e">
        <f ca="1"/>
        <v>#N/A</v>
      </c>
      <c r="EO538" s="22" t="e">
        <f ca="1"/>
        <v>#N/A</v>
      </c>
      <c r="EP538" s="22" t="e">
        <f ca="1"/>
        <v>#N/A</v>
      </c>
      <c r="EQ538" s="22" t="e">
        <f ca="1"/>
        <v>#N/A</v>
      </c>
      <c r="ER538" s="22" t="e">
        <f ca="1"/>
        <v>#N/A</v>
      </c>
      <c r="ES538" s="22" t="e">
        <f ca="1"/>
        <v>#N/A</v>
      </c>
      <c r="ET538" s="22" t="e">
        <f ca="1"/>
        <v>#N/A</v>
      </c>
      <c r="EU538" s="22" t="e">
        <f ca="1"/>
        <v>#N/A</v>
      </c>
      <c r="EV538" s="22" t="e">
        <f ca="1"/>
        <v>#N/A</v>
      </c>
      <c r="EW538" s="22" t="e">
        <f ca="1"/>
        <v>#N/A</v>
      </c>
      <c r="EX538" s="22" t="e">
        <f ca="1"/>
        <v>#N/A</v>
      </c>
      <c r="EY538" s="22" t="e">
        <f ca="1"/>
        <v>#N/A</v>
      </c>
      <c r="EZ538" s="22" t="e">
        <f ca="1"/>
        <v>#N/A</v>
      </c>
      <c r="FA538" s="22" t="e">
        <f ca="1"/>
        <v>#N/A</v>
      </c>
      <c r="FB538" s="22" t="e">
        <f ca="1"/>
        <v>#N/A</v>
      </c>
      <c r="FC538" s="22" t="e">
        <f ca="1"/>
        <v>#N/A</v>
      </c>
      <c r="FD538" s="22" t="e">
        <f ca="1"/>
        <v>#N/A</v>
      </c>
      <c r="FE538" s="22" t="e">
        <f ca="1"/>
        <v>#N/A</v>
      </c>
      <c r="FF538" s="22" t="e">
        <f ca="1"/>
        <v>#N/A</v>
      </c>
      <c r="FG538" s="22" t="e">
        <f ca="1"/>
        <v>#N/A</v>
      </c>
      <c r="FH538" s="22" t="e">
        <f ca="1"/>
        <v>#N/A</v>
      </c>
      <c r="FI538" s="22" t="e">
        <f ca="1"/>
        <v>#N/A</v>
      </c>
      <c r="FJ538" s="22" t="e">
        <f ca="1"/>
        <v>#N/A</v>
      </c>
      <c r="FK538" s="22" t="e">
        <f ca="1"/>
        <v>#N/A</v>
      </c>
      <c r="FL538" s="22" t="e">
        <f ca="1"/>
        <v>#N/A</v>
      </c>
      <c r="FM538" s="22" t="e">
        <f ca="1"/>
        <v>#N/A</v>
      </c>
      <c r="FN538" s="22" t="e">
        <f ca="1"/>
        <v>#N/A</v>
      </c>
      <c r="FO538" s="22" t="e">
        <f ca="1"/>
        <v>#N/A</v>
      </c>
      <c r="FP538" s="22" t="e">
        <f ca="1"/>
        <v>#N/A</v>
      </c>
      <c r="FQ538" s="22" t="e">
        <f ca="1"/>
        <v>#N/A</v>
      </c>
      <c r="FR538" s="22" t="e">
        <f ca="1"/>
        <v>#N/A</v>
      </c>
      <c r="FS538" s="22" t="e">
        <f ca="1"/>
        <v>#N/A</v>
      </c>
      <c r="FT538" s="22" t="e">
        <f ca="1"/>
        <v>#N/A</v>
      </c>
      <c r="FU538" s="22" t="e">
        <f ca="1"/>
        <v>#N/A</v>
      </c>
      <c r="FV538" s="22" t="e">
        <f ca="1"/>
        <v>#N/A</v>
      </c>
      <c r="FW538" s="22" t="e">
        <f ca="1"/>
        <v>#N/A</v>
      </c>
      <c r="FX538" s="22" t="e">
        <f ca="1"/>
        <v>#N/A</v>
      </c>
      <c r="FY538" s="22" t="e">
        <f ca="1"/>
        <v>#N/A</v>
      </c>
      <c r="FZ538" s="22" t="e">
        <f ca="1"/>
        <v>#N/A</v>
      </c>
      <c r="GA538" s="22" t="e">
        <f ca="1"/>
        <v>#N/A</v>
      </c>
      <c r="GB538" s="22" t="e">
        <f ca="1"/>
        <v>#N/A</v>
      </c>
      <c r="GC538" s="22" t="e">
        <f ca="1"/>
        <v>#N/A</v>
      </c>
      <c r="GD538" s="22" t="e">
        <f ca="1"/>
        <v>#N/A</v>
      </c>
      <c r="GE538" s="22" t="e">
        <f ca="1"/>
        <v>#N/A</v>
      </c>
      <c r="GF538" s="22" t="e">
        <f ca="1"/>
        <v>#N/A</v>
      </c>
      <c r="GG538" s="22" t="e">
        <f ca="1"/>
        <v>#N/A</v>
      </c>
      <c r="GH538" s="22" t="e">
        <f ca="1"/>
        <v>#N/A</v>
      </c>
      <c r="GI538" s="22" t="e">
        <f ca="1"/>
        <v>#N/A</v>
      </c>
      <c r="GJ538" s="22" t="e">
        <f ca="1"/>
        <v>#N/A</v>
      </c>
      <c r="GK538" s="22" t="e">
        <f ca="1"/>
        <v>#N/A</v>
      </c>
      <c r="GL538" s="22" t="e">
        <f ca="1"/>
        <v>#N/A</v>
      </c>
      <c r="GM538" s="22" t="e">
        <f ca="1"/>
        <v>#N/A</v>
      </c>
      <c r="GN538" s="22" t="e">
        <f ca="1"/>
        <v>#N/A</v>
      </c>
      <c r="GO538" s="22" t="e">
        <f ca="1"/>
        <v>#N/A</v>
      </c>
      <c r="GP538" s="22" t="e">
        <f ca="1"/>
        <v>#N/A</v>
      </c>
      <c r="GQ538" s="22" t="e">
        <f ca="1"/>
        <v>#N/A</v>
      </c>
      <c r="GR538" s="22" t="e">
        <f ca="1"/>
        <v>#N/A</v>
      </c>
      <c r="GS538" s="22" t="e">
        <f ca="1"/>
        <v>#N/A</v>
      </c>
      <c r="GT538" s="22" t="e">
        <f ca="1"/>
        <v>#N/A</v>
      </c>
      <c r="GU538" s="22" t="e">
        <f ca="1"/>
        <v>#N/A</v>
      </c>
      <c r="GV538" s="22" t="e">
        <f ca="1"/>
        <v>#N/A</v>
      </c>
      <c r="GW538" s="22" t="e">
        <f ca="1"/>
        <v>#N/A</v>
      </c>
      <c r="GX538" s="22" t="e">
        <f ca="1"/>
        <v>#N/A</v>
      </c>
      <c r="GY538" s="22" t="e">
        <f ca="1"/>
        <v>#N/A</v>
      </c>
      <c r="GZ538" s="22" t="e">
        <f ca="1"/>
        <v>#N/A</v>
      </c>
      <c r="HA538" s="22" t="e">
        <f ca="1"/>
        <v>#N/A</v>
      </c>
      <c r="HB538" s="22" t="e">
        <f ca="1"/>
        <v>#N/A</v>
      </c>
      <c r="HC538" s="22" t="e">
        <f ca="1"/>
        <v>#N/A</v>
      </c>
      <c r="HD538" s="22" t="e">
        <f ca="1"/>
        <v>#N/A</v>
      </c>
      <c r="HE538" s="22" t="e">
        <f ca="1"/>
        <v>#N/A</v>
      </c>
      <c r="HF538" s="22" t="e">
        <f ca="1"/>
        <v>#N/A</v>
      </c>
      <c r="HG538" s="22" t="e">
        <f ca="1"/>
        <v>#N/A</v>
      </c>
      <c r="HH538" s="22" t="e">
        <f ca="1"/>
        <v>#N/A</v>
      </c>
      <c r="HI538" s="22" t="e">
        <f ca="1"/>
        <v>#N/A</v>
      </c>
      <c r="HJ538" s="22" t="e">
        <f ca="1"/>
        <v>#N/A</v>
      </c>
      <c r="HK538" s="22" t="e">
        <f ca="1"/>
        <v>#N/A</v>
      </c>
      <c r="HL538" s="22" t="e">
        <f ca="1"/>
        <v>#N/A</v>
      </c>
      <c r="HM538" s="22" t="e">
        <f ca="1"/>
        <v>#N/A</v>
      </c>
      <c r="HN538" s="22" t="e">
        <f ca="1"/>
        <v>#N/A</v>
      </c>
      <c r="HO538" s="22" t="e">
        <f ca="1"/>
        <v>#N/A</v>
      </c>
      <c r="HP538" s="22" t="e">
        <f ca="1"/>
        <v>#N/A</v>
      </c>
      <c r="HQ538" s="22" t="e">
        <f ca="1"/>
        <v>#N/A</v>
      </c>
      <c r="HR538" s="22" t="e">
        <f ca="1"/>
        <v>#N/A</v>
      </c>
      <c r="HS538" s="22" t="e">
        <f ca="1"/>
        <v>#N/A</v>
      </c>
      <c r="HT538" s="22" t="e">
        <f ca="1"/>
        <v>#N/A</v>
      </c>
      <c r="HU538" s="22" t="e">
        <f ca="1"/>
        <v>#N/A</v>
      </c>
      <c r="HV538" s="22" t="e">
        <f ca="1"/>
        <v>#N/A</v>
      </c>
      <c r="HW538" s="22" t="e">
        <f ca="1"/>
        <v>#N/A</v>
      </c>
      <c r="HX538" s="22" t="e">
        <f ca="1"/>
        <v>#N/A</v>
      </c>
      <c r="HY538" s="22" t="e">
        <f ca="1"/>
        <v>#N/A</v>
      </c>
      <c r="HZ538" s="22" t="e">
        <f ca="1"/>
        <v>#N/A</v>
      </c>
      <c r="IA538" s="22" t="e">
        <f ca="1"/>
        <v>#N/A</v>
      </c>
      <c r="IB538" s="22" t="e">
        <f ca="1"/>
        <v>#N/A</v>
      </c>
      <c r="IC538" s="22" t="e">
        <f ca="1"/>
        <v>#N/A</v>
      </c>
      <c r="ID538" s="22" t="e">
        <f ca="1"/>
        <v>#N/A</v>
      </c>
      <c r="IE538" s="22" t="e">
        <f ca="1"/>
        <v>#N/A</v>
      </c>
      <c r="IF538" s="22" t="e">
        <f ca="1"/>
        <v>#N/A</v>
      </c>
      <c r="IG538" s="22" t="e">
        <f ca="1"/>
        <v>#N/A</v>
      </c>
      <c r="IH538" s="22" t="e">
        <f ca="1"/>
        <v>#N/A</v>
      </c>
      <c r="II538" s="22" t="e">
        <f ca="1"/>
        <v>#N/A</v>
      </c>
      <c r="IJ538" s="22" t="e">
        <f ca="1"/>
        <v>#N/A</v>
      </c>
      <c r="IK538" s="22" t="e">
        <f ca="1"/>
        <v>#N/A</v>
      </c>
      <c r="IL538" s="22" t="e">
        <f ca="1"/>
        <v>#N/A</v>
      </c>
      <c r="IM538" s="22" t="e">
        <f ca="1"/>
        <v>#N/A</v>
      </c>
      <c r="IN538" s="22" t="e">
        <f ca="1"/>
        <v>#N/A</v>
      </c>
      <c r="IO538" s="22" t="e">
        <f ca="1"/>
        <v>#N/A</v>
      </c>
      <c r="IP538" s="22" t="e">
        <f ca="1"/>
        <v>#N/A</v>
      </c>
      <c r="IQ538" s="22" t="e">
        <f ca="1"/>
        <v>#N/A</v>
      </c>
      <c r="IR538" s="22" t="e">
        <f ca="1"/>
        <v>#N/A</v>
      </c>
      <c r="IS538" s="22" t="e">
        <f ca="1"/>
        <v>#N/A</v>
      </c>
      <c r="IT538" s="22" t="e">
        <f ca="1"/>
        <v>#N/A</v>
      </c>
      <c r="IU538" s="22" t="e">
        <f ca="1"/>
        <v>#N/A</v>
      </c>
      <c r="IV538" s="22" t="e">
        <f ca="1"/>
        <v>#N/A</v>
      </c>
      <c r="IW538" s="22" t="e">
        <f ca="1"/>
        <v>#N/A</v>
      </c>
      <c r="IX538" s="22" t="e">
        <f ca="1"/>
        <v>#N/A</v>
      </c>
      <c r="IY538" s="22" t="e">
        <f ca="1"/>
        <v>#N/A</v>
      </c>
      <c r="IZ538" s="22" t="e">
        <f ca="1"/>
        <v>#N/A</v>
      </c>
      <c r="JA538" s="22" t="e">
        <f ca="1"/>
        <v>#N/A</v>
      </c>
      <c r="JB538" s="22" t="e">
        <f ca="1"/>
        <v>#N/A</v>
      </c>
      <c r="JC538" s="22" t="e">
        <f ca="1"/>
        <v>#N/A</v>
      </c>
      <c r="JD538" s="22" t="e">
        <f ca="1"/>
        <v>#N/A</v>
      </c>
      <c r="JE538" s="22" t="e">
        <f ca="1"/>
        <v>#N/A</v>
      </c>
      <c r="JF538" s="22" t="e">
        <f ca="1"/>
        <v>#N/A</v>
      </c>
      <c r="JG538" s="22" t="e">
        <f ca="1"/>
        <v>#N/A</v>
      </c>
      <c r="JH538" s="22" t="e">
        <f ca="1"/>
        <v>#N/A</v>
      </c>
      <c r="JI538" s="22" t="e">
        <f ca="1"/>
        <v>#N/A</v>
      </c>
      <c r="JJ538" s="22" t="e">
        <f ca="1"/>
        <v>#N/A</v>
      </c>
      <c r="JK538" s="22" t="e">
        <f ca="1"/>
        <v>#N/A</v>
      </c>
      <c r="JL538" s="22" t="e">
        <f ca="1"/>
        <v>#N/A</v>
      </c>
      <c r="JM538" s="22" t="e">
        <f ca="1"/>
        <v>#N/A</v>
      </c>
      <c r="JN538" s="22" t="e">
        <f ca="1"/>
        <v>#N/A</v>
      </c>
      <c r="JO538" s="22" t="e">
        <f ca="1"/>
        <v>#N/A</v>
      </c>
      <c r="JP538" s="22" t="e">
        <f ca="1"/>
        <v>#N/A</v>
      </c>
      <c r="JQ538" s="22" t="e">
        <f ca="1"/>
        <v>#N/A</v>
      </c>
      <c r="JR538" s="22" t="e">
        <f ca="1"/>
        <v>#N/A</v>
      </c>
      <c r="JS538" s="22" t="e">
        <f ca="1"/>
        <v>#N/A</v>
      </c>
      <c r="JT538" s="22" t="e">
        <f ca="1"/>
        <v>#N/A</v>
      </c>
      <c r="JU538" s="22" t="e">
        <f ca="1"/>
        <v>#N/A</v>
      </c>
      <c r="JV538" s="22" t="e">
        <f ca="1"/>
        <v>#N/A</v>
      </c>
      <c r="JW538" s="22" t="e">
        <f ca="1"/>
        <v>#N/A</v>
      </c>
      <c r="JX538" s="22" t="e">
        <f ca="1"/>
        <v>#N/A</v>
      </c>
      <c r="JY538" s="22" t="e">
        <f ca="1"/>
        <v>#N/A</v>
      </c>
      <c r="JZ538" s="22" t="e">
        <f ca="1"/>
        <v>#N/A</v>
      </c>
      <c r="KA538" s="22" t="e">
        <f ca="1"/>
        <v>#N/A</v>
      </c>
      <c r="KB538" s="22" t="e">
        <f ca="1"/>
        <v>#N/A</v>
      </c>
      <c r="KC538" s="22" t="e">
        <f ca="1"/>
        <v>#N/A</v>
      </c>
      <c r="KD538" s="22" t="e">
        <f ca="1"/>
        <v>#N/A</v>
      </c>
      <c r="KE538" s="22" t="e">
        <f ca="1"/>
        <v>#N/A</v>
      </c>
      <c r="KF538" s="22" t="e">
        <f ca="1"/>
        <v>#N/A</v>
      </c>
      <c r="KG538" s="22" t="e">
        <f ca="1"/>
        <v>#N/A</v>
      </c>
      <c r="KH538" s="22" t="e">
        <f ca="1"/>
        <v>#N/A</v>
      </c>
      <c r="KI538" s="22" t="e">
        <f ca="1"/>
        <v>#N/A</v>
      </c>
      <c r="KJ538" s="22" t="e">
        <f ca="1"/>
        <v>#N/A</v>
      </c>
      <c r="KK538" s="22" t="e">
        <f ca="1"/>
        <v>#N/A</v>
      </c>
      <c r="KL538" s="22" t="e">
        <f ca="1"/>
        <v>#N/A</v>
      </c>
      <c r="KM538" s="22" t="e">
        <f ca="1"/>
        <v>#N/A</v>
      </c>
      <c r="KN538" s="22" t="e">
        <f ca="1"/>
        <v>#N/A</v>
      </c>
      <c r="KO538" s="22" t="e">
        <f ca="1"/>
        <v>#N/A</v>
      </c>
      <c r="KP538" s="22" t="e">
        <f ca="1"/>
        <v>#N/A</v>
      </c>
      <c r="KQ538" s="22" t="e">
        <f ca="1"/>
        <v>#N/A</v>
      </c>
      <c r="KR538" s="22" t="e">
        <f ca="1"/>
        <v>#N/A</v>
      </c>
      <c r="KS538" s="22" t="e">
        <f ca="1"/>
        <v>#N/A</v>
      </c>
      <c r="KT538" s="22" t="e">
        <f ca="1"/>
        <v>#N/A</v>
      </c>
      <c r="KU538" s="22" t="e">
        <f ca="1"/>
        <v>#N/A</v>
      </c>
      <c r="KV538" s="22" t="e">
        <f ca="1"/>
        <v>#N/A</v>
      </c>
      <c r="KW538" s="22" t="e">
        <f ca="1"/>
        <v>#N/A</v>
      </c>
      <c r="KX538" s="22" t="e">
        <f ca="1"/>
        <v>#N/A</v>
      </c>
      <c r="KY538" s="22" t="e">
        <f ca="1"/>
        <v>#N/A</v>
      </c>
      <c r="KZ538" s="22" t="e">
        <f ca="1"/>
        <v>#N/A</v>
      </c>
      <c r="LA538" s="22" t="e">
        <f ca="1"/>
        <v>#N/A</v>
      </c>
      <c r="LB538" s="22" t="e">
        <f ca="1"/>
        <v>#N/A</v>
      </c>
      <c r="LC538" s="22" t="e">
        <f ca="1"/>
        <v>#N/A</v>
      </c>
      <c r="LD538" s="22" t="e">
        <f ca="1"/>
        <v>#N/A</v>
      </c>
      <c r="LE538" s="22" t="e">
        <f ca="1"/>
        <v>#N/A</v>
      </c>
      <c r="LF538" s="22" t="e">
        <f ca="1"/>
        <v>#N/A</v>
      </c>
      <c r="LG538" s="22" t="e">
        <f ca="1"/>
        <v>#N/A</v>
      </c>
      <c r="LH538" s="22" t="e">
        <f ca="1"/>
        <v>#N/A</v>
      </c>
      <c r="LI538" s="22" t="e">
        <f ca="1"/>
        <v>#N/A</v>
      </c>
      <c r="LJ538" s="22" t="e">
        <f ca="1"/>
        <v>#N/A</v>
      </c>
      <c r="LK538" s="22" t="e">
        <f ca="1"/>
        <v>#N/A</v>
      </c>
      <c r="LL538" s="22" t="e">
        <f ca="1"/>
        <v>#N/A</v>
      </c>
      <c r="LM538" s="22" t="e">
        <f ca="1"/>
        <v>#N/A</v>
      </c>
      <c r="LN538" s="22" t="e">
        <f ca="1"/>
        <v>#N/A</v>
      </c>
      <c r="LO538" s="22" t="e">
        <f ca="1"/>
        <v>#N/A</v>
      </c>
      <c r="LP538" s="22" t="e">
        <f ca="1"/>
        <v>#N/A</v>
      </c>
      <c r="LQ538" s="22" t="e">
        <f ca="1"/>
        <v>#N/A</v>
      </c>
      <c r="LR538" s="22" t="e">
        <f ca="1"/>
        <v>#N/A</v>
      </c>
      <c r="LS538" s="22" t="e">
        <f ca="1"/>
        <v>#N/A</v>
      </c>
      <c r="LT538" s="22" t="e">
        <f ca="1"/>
        <v>#N/A</v>
      </c>
      <c r="LU538" s="22" t="e">
        <f ca="1"/>
        <v>#N/A</v>
      </c>
      <c r="LV538" s="22" t="e">
        <f ca="1"/>
        <v>#N/A</v>
      </c>
      <c r="LW538" s="22" t="e">
        <f ca="1"/>
        <v>#N/A</v>
      </c>
      <c r="LX538" s="22" t="e">
        <f ca="1"/>
        <v>#N/A</v>
      </c>
      <c r="LY538" s="22" t="e">
        <f ca="1"/>
        <v>#N/A</v>
      </c>
      <c r="LZ538" s="22" t="e">
        <f ca="1"/>
        <v>#N/A</v>
      </c>
      <c r="MA538" s="22" t="e">
        <f ca="1"/>
        <v>#N/A</v>
      </c>
      <c r="MB538" s="22" t="e">
        <f ca="1"/>
        <v>#N/A</v>
      </c>
      <c r="MC538" s="22" t="e">
        <f ca="1"/>
        <v>#N/A</v>
      </c>
      <c r="MD538" s="22" t="e">
        <f ca="1"/>
        <v>#N/A</v>
      </c>
      <c r="ME538" s="22" t="e">
        <f ca="1"/>
        <v>#N/A</v>
      </c>
      <c r="MF538" s="22" t="e">
        <f ca="1"/>
        <v>#N/A</v>
      </c>
      <c r="MG538" s="22" t="e">
        <f ca="1"/>
        <v>#N/A</v>
      </c>
      <c r="MH538" s="22" t="e">
        <f ca="1"/>
        <v>#N/A</v>
      </c>
      <c r="MI538" s="22" t="e">
        <f ca="1"/>
        <v>#N/A</v>
      </c>
      <c r="MJ538" s="22" t="e">
        <f ca="1"/>
        <v>#N/A</v>
      </c>
      <c r="MK538" s="22" t="e">
        <f ca="1"/>
        <v>#N/A</v>
      </c>
      <c r="ML538" s="22" t="e">
        <f ca="1"/>
        <v>#N/A</v>
      </c>
      <c r="MM538" s="22" t="e">
        <f ca="1"/>
        <v>#N/A</v>
      </c>
      <c r="MN538" s="22" t="e">
        <f ca="1"/>
        <v>#N/A</v>
      </c>
      <c r="MO538" s="22" t="e">
        <f ca="1"/>
        <v>#N/A</v>
      </c>
      <c r="MP538" s="22" t="e">
        <f ca="1"/>
        <v>#N/A</v>
      </c>
      <c r="MQ538" s="22" t="e">
        <f ca="1"/>
        <v>#N/A</v>
      </c>
      <c r="MR538" s="22" t="e">
        <f ca="1"/>
        <v>#N/A</v>
      </c>
      <c r="MS538" s="22" t="e">
        <f ca="1"/>
        <v>#N/A</v>
      </c>
      <c r="MT538" s="22" t="e">
        <f ca="1"/>
        <v>#N/A</v>
      </c>
      <c r="MU538" s="22" t="e">
        <f ca="1"/>
        <v>#N/A</v>
      </c>
      <c r="MV538" s="22" t="e">
        <f ca="1"/>
        <v>#N/A</v>
      </c>
      <c r="MW538" s="22" t="e">
        <f ca="1"/>
        <v>#N/A</v>
      </c>
      <c r="MX538" s="22" t="e">
        <f ca="1"/>
        <v>#N/A</v>
      </c>
      <c r="MY538" s="22" t="e">
        <f ca="1"/>
        <v>#N/A</v>
      </c>
      <c r="MZ538" s="22" t="e">
        <f ca="1"/>
        <v>#N/A</v>
      </c>
      <c r="NA538" s="22" t="e">
        <f ca="1"/>
        <v>#N/A</v>
      </c>
      <c r="NB538" s="22" t="e">
        <f ca="1"/>
        <v>#N/A</v>
      </c>
      <c r="NC538" s="22" t="e">
        <f ca="1"/>
        <v>#N/A</v>
      </c>
      <c r="ND538" s="22" t="e">
        <f ca="1"/>
        <v>#N/A</v>
      </c>
      <c r="NE538" s="22" t="e">
        <f ca="1"/>
        <v>#N/A</v>
      </c>
      <c r="NF538" s="22" t="e">
        <f ca="1"/>
        <v>#N/A</v>
      </c>
      <c r="NG538" s="22" t="e">
        <f ca="1"/>
        <v>#N/A</v>
      </c>
      <c r="NH538" s="22" t="e">
        <f ca="1"/>
        <v>#N/A</v>
      </c>
      <c r="NI538" s="22" t="e">
        <f ca="1"/>
        <v>#N/A</v>
      </c>
      <c r="NJ538" s="22" t="e">
        <f ca="1"/>
        <v>#N/A</v>
      </c>
      <c r="NK538" s="22" t="e">
        <f ca="1"/>
        <v>#N/A</v>
      </c>
      <c r="NL538" s="22" t="e">
        <f ca="1"/>
        <v>#N/A</v>
      </c>
      <c r="NM538" s="22" t="e">
        <f ca="1"/>
        <v>#N/A</v>
      </c>
      <c r="NN538" s="22" t="e">
        <f ca="1"/>
        <v>#N/A</v>
      </c>
      <c r="NO538" s="22" t="e">
        <f ca="1"/>
        <v>#N/A</v>
      </c>
      <c r="NP538" s="22" t="e">
        <f ca="1"/>
        <v>#N/A</v>
      </c>
      <c r="NQ538" s="22" t="e">
        <f ca="1"/>
        <v>#N/A</v>
      </c>
      <c r="NR538" s="22" t="e">
        <f ca="1"/>
        <v>#N/A</v>
      </c>
      <c r="NS538" s="22" t="e">
        <f ca="1"/>
        <v>#N/A</v>
      </c>
      <c r="NT538" s="22" t="e">
        <f ca="1"/>
        <v>#N/A</v>
      </c>
      <c r="NU538" s="22" t="e">
        <f ca="1"/>
        <v>#N/A</v>
      </c>
      <c r="NV538" s="22" t="e">
        <f ca="1"/>
        <v>#N/A</v>
      </c>
      <c r="NW538" s="22" t="e">
        <f ca="1"/>
        <v>#N/A</v>
      </c>
      <c r="NX538" s="22" t="e">
        <f ca="1"/>
        <v>#N/A</v>
      </c>
      <c r="NY538" s="22" t="e">
        <f ca="1"/>
        <v>#N/A</v>
      </c>
      <c r="NZ538" s="22" t="e">
        <f ca="1"/>
        <v>#N/A</v>
      </c>
      <c r="OA538" s="22" t="e">
        <f ca="1"/>
        <v>#N/A</v>
      </c>
      <c r="OB538" s="22" t="e">
        <f ca="1"/>
        <v>#N/A</v>
      </c>
      <c r="OC538" s="22" t="e">
        <f ca="1"/>
        <v>#N/A</v>
      </c>
      <c r="OD538" s="22" t="e">
        <f ca="1"/>
        <v>#N/A</v>
      </c>
      <c r="OE538" s="22" t="e">
        <f ca="1"/>
        <v>#N/A</v>
      </c>
      <c r="OF538" s="22" t="e">
        <f ca="1"/>
        <v>#N/A</v>
      </c>
      <c r="OG538" s="22" t="e">
        <f ca="1"/>
        <v>#N/A</v>
      </c>
      <c r="OH538" s="22" t="e">
        <f ca="1"/>
        <v>#N/A</v>
      </c>
      <c r="OI538" s="22" t="e">
        <f ca="1"/>
        <v>#N/A</v>
      </c>
      <c r="OJ538" s="22" t="e">
        <f ca="1"/>
        <v>#N/A</v>
      </c>
      <c r="OK538" s="22" t="e">
        <f ca="1"/>
        <v>#N/A</v>
      </c>
      <c r="OL538" s="22" t="e">
        <f ca="1"/>
        <v>#N/A</v>
      </c>
      <c r="OM538" s="22" t="e">
        <f ca="1"/>
        <v>#N/A</v>
      </c>
      <c r="ON538" s="22" t="e">
        <f ca="1"/>
        <v>#N/A</v>
      </c>
      <c r="OO538" s="22" t="e">
        <f ca="1"/>
        <v>#N/A</v>
      </c>
      <c r="OP538" s="22" t="e">
        <f ca="1"/>
        <v>#N/A</v>
      </c>
      <c r="OQ538" s="22" t="e">
        <f ca="1"/>
        <v>#N/A</v>
      </c>
      <c r="OR538" s="22" t="e">
        <f ca="1"/>
        <v>#N/A</v>
      </c>
      <c r="OS538" s="22" t="e">
        <f ca="1"/>
        <v>#N/A</v>
      </c>
      <c r="OT538" s="22" t="e">
        <f ca="1"/>
        <v>#N/A</v>
      </c>
      <c r="OU538" s="22" t="e">
        <f ca="1"/>
        <v>#N/A</v>
      </c>
      <c r="OV538" s="22" t="e">
        <f ca="1"/>
        <v>#N/A</v>
      </c>
      <c r="OW538" s="22" t="e">
        <f ca="1"/>
        <v>#N/A</v>
      </c>
      <c r="OX538" s="22" t="e">
        <f ca="1"/>
        <v>#N/A</v>
      </c>
      <c r="OY538" s="22" t="e">
        <f ca="1"/>
        <v>#N/A</v>
      </c>
      <c r="OZ538" s="22" t="e">
        <f ca="1"/>
        <v>#N/A</v>
      </c>
      <c r="PA538" s="22" t="e">
        <f ca="1"/>
        <v>#N/A</v>
      </c>
      <c r="PB538" s="22" t="e">
        <f ca="1"/>
        <v>#N/A</v>
      </c>
      <c r="PC538" s="22" t="e">
        <f ca="1"/>
        <v>#N/A</v>
      </c>
      <c r="PD538" s="22" t="e">
        <f ca="1"/>
        <v>#N/A</v>
      </c>
      <c r="PE538" s="22" t="e">
        <f ca="1"/>
        <v>#N/A</v>
      </c>
      <c r="PF538" s="22" t="e">
        <f ca="1"/>
        <v>#N/A</v>
      </c>
      <c r="PG538" s="22" t="e">
        <f ca="1"/>
        <v>#N/A</v>
      </c>
      <c r="PH538" s="22" t="e">
        <f ca="1"/>
        <v>#N/A</v>
      </c>
      <c r="PI538" s="22" t="e">
        <f ca="1"/>
        <v>#N/A</v>
      </c>
      <c r="PJ538" s="22" t="e">
        <f ca="1"/>
        <v>#N/A</v>
      </c>
      <c r="PK538" s="22" t="e">
        <f ca="1"/>
        <v>#N/A</v>
      </c>
      <c r="PL538" s="22" t="e">
        <f ca="1"/>
        <v>#N/A</v>
      </c>
      <c r="PM538" s="22" t="e">
        <f ca="1"/>
        <v>#N/A</v>
      </c>
      <c r="PN538" s="22" t="e">
        <f ca="1"/>
        <v>#N/A</v>
      </c>
      <c r="PO538" s="22" t="e">
        <f ca="1"/>
        <v>#N/A</v>
      </c>
      <c r="PP538" s="22" t="e">
        <f ca="1"/>
        <v>#N/A</v>
      </c>
      <c r="PQ538" s="22" t="e">
        <f ca="1"/>
        <v>#N/A</v>
      </c>
      <c r="PR538" s="22" t="e">
        <f ca="1"/>
        <v>#N/A</v>
      </c>
      <c r="PS538" s="22" t="e">
        <f ca="1"/>
        <v>#N/A</v>
      </c>
      <c r="PT538" s="22" t="e">
        <f ca="1"/>
        <v>#N/A</v>
      </c>
      <c r="PU538" s="22" t="e">
        <f ca="1"/>
        <v>#N/A</v>
      </c>
      <c r="PV538" s="22" t="e">
        <f ca="1"/>
        <v>#N/A</v>
      </c>
      <c r="PW538" s="22" t="e">
        <f ca="1"/>
        <v>#N/A</v>
      </c>
      <c r="PX538" s="22" t="e">
        <f ca="1"/>
        <v>#N/A</v>
      </c>
      <c r="PY538" s="22" t="e">
        <f ca="1"/>
        <v>#N/A</v>
      </c>
      <c r="PZ538" s="22" t="e">
        <f ca="1"/>
        <v>#N/A</v>
      </c>
      <c r="QA538" s="22" t="e">
        <f ca="1"/>
        <v>#N/A</v>
      </c>
      <c r="QB538" s="22" t="e">
        <f ca="1"/>
        <v>#N/A</v>
      </c>
      <c r="QC538" s="22" t="e">
        <f ca="1"/>
        <v>#N/A</v>
      </c>
      <c r="QD538" s="22" t="e">
        <f ca="1"/>
        <v>#N/A</v>
      </c>
      <c r="QE538" s="22" t="e">
        <f ca="1"/>
        <v>#N/A</v>
      </c>
      <c r="QF538" s="22" t="e">
        <f ca="1"/>
        <v>#N/A</v>
      </c>
      <c r="QG538" s="22" t="e">
        <f ca="1"/>
        <v>#N/A</v>
      </c>
      <c r="QH538" s="22" t="e">
        <f ca="1"/>
        <v>#N/A</v>
      </c>
      <c r="QI538" s="22" t="e">
        <f ca="1"/>
        <v>#N/A</v>
      </c>
      <c r="QJ538" s="22" t="e">
        <f ca="1"/>
        <v>#N/A</v>
      </c>
      <c r="QK538" s="22" t="e">
        <f ca="1"/>
        <v>#N/A</v>
      </c>
      <c r="QL538" s="22" t="e">
        <f ca="1"/>
        <v>#N/A</v>
      </c>
      <c r="QM538" s="22" t="e">
        <f ca="1"/>
        <v>#N/A</v>
      </c>
      <c r="QN538" s="22" t="e">
        <f ca="1"/>
        <v>#N/A</v>
      </c>
      <c r="QO538" s="22" t="e">
        <f ca="1"/>
        <v>#N/A</v>
      </c>
      <c r="QP538" s="22" t="e">
        <f ca="1"/>
        <v>#N/A</v>
      </c>
      <c r="QQ538" s="22" t="e">
        <f ca="1"/>
        <v>#N/A</v>
      </c>
      <c r="QR538" s="22" t="e">
        <f ca="1"/>
        <v>#N/A</v>
      </c>
      <c r="QS538" s="22" t="e">
        <f ca="1"/>
        <v>#N/A</v>
      </c>
      <c r="QT538" s="22" t="e">
        <f ca="1"/>
        <v>#N/A</v>
      </c>
      <c r="QU538" s="22" t="e">
        <f ca="1"/>
        <v>#N/A</v>
      </c>
      <c r="QV538" s="22" t="e">
        <f ca="1"/>
        <v>#N/A</v>
      </c>
      <c r="QW538" s="22" t="e">
        <f ca="1"/>
        <v>#N/A</v>
      </c>
      <c r="QX538" s="22" t="e">
        <f ca="1"/>
        <v>#N/A</v>
      </c>
      <c r="QY538" s="22" t="e">
        <f ca="1"/>
        <v>#N/A</v>
      </c>
      <c r="QZ538" s="22" t="e">
        <f ca="1"/>
        <v>#N/A</v>
      </c>
      <c r="RA538" s="22" t="e">
        <f ca="1"/>
        <v>#N/A</v>
      </c>
      <c r="RB538" s="22" t="e">
        <f ca="1"/>
        <v>#N/A</v>
      </c>
      <c r="RC538" s="22" t="e">
        <f ca="1"/>
        <v>#N/A</v>
      </c>
      <c r="RD538" s="22" t="e">
        <f ca="1"/>
        <v>#N/A</v>
      </c>
      <c r="RE538" s="22" t="e">
        <f ca="1"/>
        <v>#N/A</v>
      </c>
      <c r="RF538" s="22" t="e">
        <f ca="1"/>
        <v>#N/A</v>
      </c>
      <c r="RG538" s="22" t="e">
        <f ca="1"/>
        <v>#N/A</v>
      </c>
      <c r="RH538" s="22" t="e">
        <f ca="1"/>
        <v>#N/A</v>
      </c>
      <c r="RI538" s="22" t="e">
        <f ca="1"/>
        <v>#N/A</v>
      </c>
      <c r="RJ538" s="22" t="e">
        <f ca="1"/>
        <v>#N/A</v>
      </c>
      <c r="RK538" s="22" t="e">
        <f ca="1"/>
        <v>#N/A</v>
      </c>
      <c r="RL538" s="22" t="e">
        <f ca="1"/>
        <v>#N/A</v>
      </c>
      <c r="RM538" s="22" t="e">
        <f ca="1"/>
        <v>#N/A</v>
      </c>
      <c r="RN538" s="22" t="e">
        <f ca="1"/>
        <v>#N/A</v>
      </c>
      <c r="RO538" s="22" t="e">
        <f ca="1"/>
        <v>#N/A</v>
      </c>
      <c r="RP538" s="22" t="e">
        <f ca="1"/>
        <v>#N/A</v>
      </c>
      <c r="RQ538" s="22" t="e">
        <f ca="1"/>
        <v>#N/A</v>
      </c>
      <c r="RR538" s="22" t="e">
        <f ca="1"/>
        <v>#N/A</v>
      </c>
      <c r="RS538" s="22" t="e">
        <f ca="1"/>
        <v>#N/A</v>
      </c>
      <c r="RT538" s="22" t="e">
        <f ca="1"/>
        <v>#N/A</v>
      </c>
      <c r="RU538" s="22" t="e">
        <f ca="1"/>
        <v>#N/A</v>
      </c>
      <c r="RV538" s="22" t="e">
        <f ca="1"/>
        <v>#N/A</v>
      </c>
      <c r="RW538" s="22" t="e">
        <f ca="1"/>
        <v>#N/A</v>
      </c>
      <c r="RX538" s="22" t="e">
        <f ca="1"/>
        <v>#N/A</v>
      </c>
      <c r="RY538" s="22" t="e">
        <f ca="1"/>
        <v>#N/A</v>
      </c>
      <c r="RZ538" s="22" t="e">
        <f ca="1"/>
        <v>#N/A</v>
      </c>
      <c r="SA538" s="22" t="e">
        <f ca="1"/>
        <v>#N/A</v>
      </c>
      <c r="SB538" s="22" t="e">
        <f ca="1"/>
        <v>#N/A</v>
      </c>
      <c r="SC538" s="22" t="e">
        <f ca="1"/>
        <v>#N/A</v>
      </c>
      <c r="SD538" s="22" t="e">
        <f ca="1"/>
        <v>#N/A</v>
      </c>
      <c r="SE538" s="22" t="e">
        <f ca="1"/>
        <v>#N/A</v>
      </c>
      <c r="SF538" s="22" t="e">
        <f ca="1"/>
        <v>#N/A</v>
      </c>
      <c r="SG538" s="22" t="e">
        <f ca="1"/>
        <v>#N/A</v>
      </c>
      <c r="SH538" s="22" t="e">
        <f ca="1"/>
        <v>#N/A</v>
      </c>
      <c r="SI538" s="22" t="e">
        <f ca="1"/>
        <v>#N/A</v>
      </c>
      <c r="SJ538" s="22" t="e">
        <f ca="1"/>
        <v>#N/A</v>
      </c>
      <c r="SK538" s="22" t="e">
        <f ca="1"/>
        <v>#N/A</v>
      </c>
      <c r="SL538" s="22" t="e">
        <f ca="1"/>
        <v>#N/A</v>
      </c>
      <c r="SM538" s="22" t="e">
        <f ca="1"/>
        <v>#N/A</v>
      </c>
      <c r="SN538" s="22" t="e">
        <f ca="1"/>
        <v>#N/A</v>
      </c>
      <c r="SO538" s="22" t="e">
        <f ca="1"/>
        <v>#N/A</v>
      </c>
      <c r="SP538" s="22" t="e">
        <f ca="1"/>
        <v>#N/A</v>
      </c>
      <c r="SQ538" s="22" t="e">
        <f ca="1"/>
        <v>#N/A</v>
      </c>
      <c r="SR538" s="22" t="e">
        <f ca="1"/>
        <v>#N/A</v>
      </c>
      <c r="SS538" s="22" t="e">
        <f ca="1"/>
        <v>#N/A</v>
      </c>
      <c r="ST538" s="22" t="e">
        <f ca="1"/>
        <v>#N/A</v>
      </c>
      <c r="SU538" s="22" t="e">
        <f ca="1"/>
        <v>#N/A</v>
      </c>
      <c r="SV538" s="22" t="e">
        <f ca="1"/>
        <v>#N/A</v>
      </c>
      <c r="SW538" s="22" t="e">
        <f ca="1"/>
        <v>#N/A</v>
      </c>
      <c r="SX538" s="22" t="e">
        <f ca="1"/>
        <v>#N/A</v>
      </c>
      <c r="SY538" s="22" t="e">
        <f ca="1"/>
        <v>#N/A</v>
      </c>
      <c r="SZ538" s="22" t="e">
        <f ca="1"/>
        <v>#N/A</v>
      </c>
      <c r="TA538" s="22" t="e">
        <f ca="1"/>
        <v>#N/A</v>
      </c>
      <c r="TB538" s="22" t="e">
        <f ca="1"/>
        <v>#N/A</v>
      </c>
      <c r="TC538" s="22" t="e">
        <f ca="1"/>
        <v>#N/A</v>
      </c>
      <c r="TD538" s="22" t="e">
        <f ca="1"/>
        <v>#N/A</v>
      </c>
      <c r="TE538" s="22" t="e">
        <f ca="1"/>
        <v>#N/A</v>
      </c>
      <c r="TF538" s="22" t="e">
        <f ca="1"/>
        <v>#N/A</v>
      </c>
      <c r="TG538" s="22" t="e">
        <f ca="1"/>
        <v>#N/A</v>
      </c>
      <c r="TH538" s="22" t="e">
        <f ca="1"/>
        <v>#N/A</v>
      </c>
      <c r="TI538" s="22" t="e">
        <f ca="1"/>
        <v>#N/A</v>
      </c>
      <c r="TJ538" s="22" t="e">
        <f ca="1"/>
        <v>#N/A</v>
      </c>
      <c r="TK538" s="22" t="e">
        <f ca="1"/>
        <v>#N/A</v>
      </c>
      <c r="TL538" s="22" t="e">
        <f ca="1"/>
        <v>#N/A</v>
      </c>
      <c r="TM538" s="22" t="e">
        <f ca="1"/>
        <v>#N/A</v>
      </c>
      <c r="TN538" s="22" t="e">
        <f ca="1"/>
        <v>#N/A</v>
      </c>
      <c r="TO538" s="22" t="e">
        <f ca="1"/>
        <v>#N/A</v>
      </c>
      <c r="TP538" s="22" t="e">
        <f ca="1"/>
        <v>#N/A</v>
      </c>
      <c r="TQ538" s="22" t="e">
        <f ca="1"/>
        <v>#N/A</v>
      </c>
      <c r="TR538" s="22" t="e">
        <f ca="1"/>
        <v>#N/A</v>
      </c>
      <c r="TS538" s="22" t="e">
        <f ca="1"/>
        <v>#N/A</v>
      </c>
      <c r="TT538" s="22" t="e">
        <f ca="1"/>
        <v>#N/A</v>
      </c>
      <c r="TU538" s="22" t="e">
        <f ca="1"/>
        <v>#N/A</v>
      </c>
      <c r="TV538" s="22" t="e">
        <f ca="1"/>
        <v>#N/A</v>
      </c>
      <c r="TW538" s="22" t="e">
        <f ca="1"/>
        <v>#N/A</v>
      </c>
      <c r="TX538" s="22" t="e">
        <f ca="1"/>
        <v>#N/A</v>
      </c>
      <c r="TY538" s="22" t="e">
        <f ca="1"/>
        <v>#N/A</v>
      </c>
      <c r="TZ538" s="22" t="e">
        <f ca="1"/>
        <v>#N/A</v>
      </c>
      <c r="UA538" s="22" t="e">
        <f ca="1"/>
        <v>#N/A</v>
      </c>
      <c r="UB538" s="22" t="e">
        <f ca="1"/>
        <v>#N/A</v>
      </c>
      <c r="UC538" s="22" t="e">
        <f ca="1"/>
        <v>#N/A</v>
      </c>
      <c r="UD538" s="22" t="e">
        <f ca="1"/>
        <v>#N/A</v>
      </c>
      <c r="UE538" s="22" t="e">
        <f ca="1"/>
        <v>#N/A</v>
      </c>
      <c r="UF538" s="22" t="e">
        <f ca="1"/>
        <v>#N/A</v>
      </c>
      <c r="UG538" s="22" t="e">
        <f ca="1"/>
        <v>#N/A</v>
      </c>
      <c r="UH538" s="22" t="e">
        <f ca="1"/>
        <v>#N/A</v>
      </c>
      <c r="UI538" s="22" t="e">
        <f ca="1"/>
        <v>#N/A</v>
      </c>
      <c r="UJ538" s="22" t="e">
        <f ca="1"/>
        <v>#N/A</v>
      </c>
      <c r="UK538" s="22" t="e">
        <f ca="1"/>
        <v>#N/A</v>
      </c>
      <c r="UL538" s="22" t="e">
        <f ca="1"/>
        <v>#N/A</v>
      </c>
      <c r="UM538" s="22" t="e">
        <f ca="1"/>
        <v>#N/A</v>
      </c>
      <c r="UN538" s="22" t="e">
        <f ca="1"/>
        <v>#N/A</v>
      </c>
      <c r="UO538" s="22" t="e">
        <f ca="1"/>
        <v>#N/A</v>
      </c>
      <c r="UP538" s="22" t="e">
        <f ca="1"/>
        <v>#N/A</v>
      </c>
      <c r="UQ538" s="22" t="e">
        <f ca="1"/>
        <v>#N/A</v>
      </c>
      <c r="UR538" s="22" t="e">
        <f ca="1"/>
        <v>#N/A</v>
      </c>
      <c r="US538" s="22" t="e">
        <f ca="1"/>
        <v>#N/A</v>
      </c>
      <c r="UT538" s="22" t="e">
        <f ca="1"/>
        <v>#N/A</v>
      </c>
      <c r="UU538" s="22" t="e">
        <f ca="1"/>
        <v>#N/A</v>
      </c>
      <c r="UV538" s="22" t="e">
        <f ca="1"/>
        <v>#N/A</v>
      </c>
      <c r="UW538" s="22" t="e">
        <f ca="1"/>
        <v>#N/A</v>
      </c>
      <c r="UX538" s="22" t="e">
        <f ca="1"/>
        <v>#N/A</v>
      </c>
      <c r="UY538" s="22" t="e">
        <f ca="1"/>
        <v>#N/A</v>
      </c>
      <c r="UZ538" s="22" t="e">
        <f ca="1"/>
        <v>#N/A</v>
      </c>
      <c r="VA538" s="22" t="e">
        <f ca="1"/>
        <v>#N/A</v>
      </c>
      <c r="VB538" s="22" t="e">
        <f ca="1"/>
        <v>#N/A</v>
      </c>
      <c r="VC538" s="22" t="e">
        <f ca="1"/>
        <v>#N/A</v>
      </c>
      <c r="VD538" s="22" t="e">
        <f ca="1"/>
        <v>#N/A</v>
      </c>
      <c r="VE538" s="22" t="e">
        <f ca="1"/>
        <v>#N/A</v>
      </c>
      <c r="VF538" s="22" t="e">
        <f ca="1"/>
        <v>#N/A</v>
      </c>
      <c r="VG538" s="22" t="e">
        <f ca="1"/>
        <v>#N/A</v>
      </c>
      <c r="VH538" s="22" t="e">
        <f ca="1"/>
        <v>#N/A</v>
      </c>
      <c r="VI538" s="22" t="e">
        <f ca="1"/>
        <v>#N/A</v>
      </c>
      <c r="VJ538" s="22" t="e">
        <f ca="1"/>
        <v>#N/A</v>
      </c>
      <c r="VK538" s="22" t="e">
        <f ca="1"/>
        <v>#N/A</v>
      </c>
      <c r="VL538" s="22" t="e">
        <f ca="1"/>
        <v>#N/A</v>
      </c>
      <c r="VM538" s="22" t="e">
        <f ca="1"/>
        <v>#N/A</v>
      </c>
      <c r="VN538" s="22" t="e">
        <f ca="1"/>
        <v>#N/A</v>
      </c>
      <c r="VO538" s="22" t="e">
        <f ca="1"/>
        <v>#N/A</v>
      </c>
      <c r="VP538" s="22" t="e">
        <f ca="1"/>
        <v>#N/A</v>
      </c>
      <c r="VQ538" s="22" t="e">
        <f ca="1"/>
        <v>#N/A</v>
      </c>
      <c r="VR538" s="22" t="e">
        <f ca="1"/>
        <v>#N/A</v>
      </c>
      <c r="VS538" s="22" t="e">
        <f ca="1"/>
        <v>#N/A</v>
      </c>
      <c r="VT538" s="22" t="e">
        <f ca="1"/>
        <v>#N/A</v>
      </c>
      <c r="VU538" s="22" t="e">
        <f ca="1"/>
        <v>#N/A</v>
      </c>
      <c r="VV538" s="22" t="e">
        <f ca="1"/>
        <v>#N/A</v>
      </c>
      <c r="VW538" s="22" t="e">
        <f ca="1"/>
        <v>#N/A</v>
      </c>
      <c r="VX538" s="22" t="e">
        <f ca="1"/>
        <v>#N/A</v>
      </c>
      <c r="VY538" s="22" t="e">
        <f ca="1"/>
        <v>#N/A</v>
      </c>
      <c r="VZ538" s="22" t="e">
        <f ca="1"/>
        <v>#N/A</v>
      </c>
      <c r="WA538" s="22" t="e">
        <f ca="1"/>
        <v>#N/A</v>
      </c>
      <c r="WB538" s="22" t="e">
        <f ca="1"/>
        <v>#N/A</v>
      </c>
      <c r="WC538" s="22" t="e">
        <f ca="1"/>
        <v>#N/A</v>
      </c>
      <c r="WD538" s="22" t="e">
        <f ca="1"/>
        <v>#N/A</v>
      </c>
      <c r="WE538" s="22" t="e">
        <f ca="1"/>
        <v>#N/A</v>
      </c>
      <c r="WF538" s="22" t="e">
        <f ca="1"/>
        <v>#N/A</v>
      </c>
      <c r="WG538" s="22" t="e">
        <f ca="1"/>
        <v>#N/A</v>
      </c>
      <c r="WH538" s="22" t="e">
        <f ca="1"/>
        <v>#N/A</v>
      </c>
      <c r="WI538" s="22" t="e">
        <f ca="1"/>
        <v>#N/A</v>
      </c>
      <c r="WJ538" s="22" t="e">
        <f ca="1"/>
        <v>#N/A</v>
      </c>
      <c r="WK538" s="22" t="e">
        <f ca="1"/>
        <v>#N/A</v>
      </c>
      <c r="WL538" s="22" t="e">
        <f ca="1"/>
        <v>#N/A</v>
      </c>
      <c r="WM538" s="22" t="e">
        <f ca="1"/>
        <v>#N/A</v>
      </c>
      <c r="WN538" s="22" t="e">
        <f ca="1"/>
        <v>#N/A</v>
      </c>
      <c r="WO538" s="22" t="e">
        <f ca="1"/>
        <v>#N/A</v>
      </c>
      <c r="WP538" s="22" t="e">
        <f ca="1"/>
        <v>#N/A</v>
      </c>
      <c r="WQ538" s="22" t="e">
        <f ca="1"/>
        <v>#N/A</v>
      </c>
      <c r="WR538" s="22" t="e">
        <f ca="1"/>
        <v>#N/A</v>
      </c>
      <c r="WS538" s="22" t="e">
        <f ca="1"/>
        <v>#N/A</v>
      </c>
      <c r="WT538" s="22" t="e">
        <f ca="1"/>
        <v>#N/A</v>
      </c>
      <c r="WU538" s="22" t="e">
        <f ca="1"/>
        <v>#N/A</v>
      </c>
      <c r="WV538" s="22" t="e">
        <f ca="1"/>
        <v>#N/A</v>
      </c>
      <c r="WW538" s="22" t="e">
        <f ca="1"/>
        <v>#N/A</v>
      </c>
      <c r="WX538" s="22" t="e">
        <f ca="1"/>
        <v>#N/A</v>
      </c>
      <c r="WY538" s="22" t="e">
        <f ca="1"/>
        <v>#N/A</v>
      </c>
      <c r="WZ538" s="22" t="e">
        <f ca="1"/>
        <v>#N/A</v>
      </c>
      <c r="XA538" s="22" t="e">
        <f ca="1"/>
        <v>#N/A</v>
      </c>
      <c r="XB538" s="22" t="e">
        <f ca="1"/>
        <v>#N/A</v>
      </c>
      <c r="XC538" s="22" t="e">
        <f ca="1"/>
        <v>#N/A</v>
      </c>
      <c r="XD538" s="22" t="e">
        <f ca="1"/>
        <v>#N/A</v>
      </c>
      <c r="XE538" s="22" t="e">
        <f ca="1"/>
        <v>#N/A</v>
      </c>
      <c r="XF538" s="22" t="e">
        <f ca="1"/>
        <v>#N/A</v>
      </c>
      <c r="XG538" s="22" t="e">
        <f ca="1"/>
        <v>#N/A</v>
      </c>
      <c r="XH538" s="22" t="e">
        <f ca="1"/>
        <v>#N/A</v>
      </c>
      <c r="XI538" s="22" t="e">
        <f ca="1"/>
        <v>#N/A</v>
      </c>
      <c r="XJ538" s="22" t="e">
        <f ca="1"/>
        <v>#N/A</v>
      </c>
      <c r="XK538" s="22" t="e">
        <f ca="1"/>
        <v>#N/A</v>
      </c>
      <c r="XL538" s="22" t="e">
        <f ca="1"/>
        <v>#N/A</v>
      </c>
      <c r="XM538" s="22" t="e">
        <f ca="1"/>
        <v>#N/A</v>
      </c>
      <c r="XN538" s="22" t="e">
        <f ca="1"/>
        <v>#N/A</v>
      </c>
      <c r="XO538" s="22" t="e">
        <f ca="1"/>
        <v>#N/A</v>
      </c>
      <c r="XP538" s="22" t="e">
        <f ca="1"/>
        <v>#N/A</v>
      </c>
      <c r="XQ538" s="22" t="e">
        <f ca="1"/>
        <v>#N/A</v>
      </c>
      <c r="XR538" s="22" t="e">
        <f ca="1"/>
        <v>#N/A</v>
      </c>
      <c r="XS538" s="22" t="e">
        <f ca="1"/>
        <v>#N/A</v>
      </c>
      <c r="XT538" s="22" t="e">
        <f ca="1"/>
        <v>#N/A</v>
      </c>
      <c r="XU538" s="22" t="e">
        <f ca="1"/>
        <v>#N/A</v>
      </c>
      <c r="XV538" s="22" t="e">
        <f ca="1"/>
        <v>#N/A</v>
      </c>
      <c r="XW538" s="22" t="e">
        <f ca="1"/>
        <v>#N/A</v>
      </c>
      <c r="XX538" s="22" t="e">
        <f ca="1"/>
        <v>#N/A</v>
      </c>
      <c r="XY538" s="22" t="e">
        <f ca="1"/>
        <v>#N/A</v>
      </c>
      <c r="XZ538" s="22" t="e">
        <f ca="1"/>
        <v>#N/A</v>
      </c>
      <c r="YA538" s="22" t="e">
        <f ca="1"/>
        <v>#N/A</v>
      </c>
      <c r="YB538" s="22" t="e">
        <f ca="1"/>
        <v>#N/A</v>
      </c>
      <c r="YC538" s="22" t="e">
        <f ca="1"/>
        <v>#N/A</v>
      </c>
      <c r="YD538" s="22" t="e">
        <f ca="1"/>
        <v>#N/A</v>
      </c>
      <c r="YE538" s="22" t="e">
        <f ca="1"/>
        <v>#N/A</v>
      </c>
      <c r="YF538" s="22" t="e">
        <f ca="1"/>
        <v>#N/A</v>
      </c>
      <c r="YG538" s="22" t="e">
        <f ca="1"/>
        <v>#N/A</v>
      </c>
      <c r="YH538" s="22" t="e">
        <f ca="1"/>
        <v>#N/A</v>
      </c>
      <c r="YI538" s="22" t="e">
        <f ca="1"/>
        <v>#N/A</v>
      </c>
      <c r="YJ538" s="22" t="e">
        <f ca="1"/>
        <v>#N/A</v>
      </c>
      <c r="YK538" s="22" t="e">
        <f ca="1"/>
        <v>#N/A</v>
      </c>
      <c r="YL538" s="22" t="e">
        <f ca="1"/>
        <v>#N/A</v>
      </c>
      <c r="YM538" s="22" t="e">
        <f ca="1"/>
        <v>#N/A</v>
      </c>
      <c r="YN538" s="22" t="e">
        <f ca="1"/>
        <v>#N/A</v>
      </c>
      <c r="YO538" s="22" t="e">
        <f ca="1"/>
        <v>#N/A</v>
      </c>
      <c r="YP538" s="22" t="e">
        <f ca="1"/>
        <v>#N/A</v>
      </c>
      <c r="YQ538" s="22" t="e">
        <f ca="1"/>
        <v>#N/A</v>
      </c>
      <c r="YR538" s="22" t="e">
        <f ca="1"/>
        <v>#N/A</v>
      </c>
      <c r="YS538" s="22" t="e">
        <f ca="1"/>
        <v>#N/A</v>
      </c>
      <c r="YT538" s="22" t="e">
        <f ca="1"/>
        <v>#N/A</v>
      </c>
      <c r="YU538" s="22" t="e">
        <f ca="1"/>
        <v>#N/A</v>
      </c>
      <c r="YV538" s="22" t="e">
        <f ca="1"/>
        <v>#N/A</v>
      </c>
      <c r="YW538" s="22" t="e">
        <f ca="1"/>
        <v>#N/A</v>
      </c>
      <c r="YX538" s="22" t="e">
        <f ca="1"/>
        <v>#N/A</v>
      </c>
      <c r="YY538" s="22" t="e">
        <f ca="1"/>
        <v>#N/A</v>
      </c>
      <c r="YZ538" s="22" t="e">
        <f ca="1"/>
        <v>#N/A</v>
      </c>
      <c r="ZA538" s="22" t="e">
        <f ca="1"/>
        <v>#N/A</v>
      </c>
      <c r="ZB538" s="22" t="e">
        <f ca="1"/>
        <v>#N/A</v>
      </c>
      <c r="ZC538" s="22" t="e">
        <f ca="1"/>
        <v>#N/A</v>
      </c>
      <c r="ZD538" s="22" t="e">
        <f ca="1"/>
        <v>#N/A</v>
      </c>
      <c r="ZE538" s="22" t="e">
        <f ca="1"/>
        <v>#N/A</v>
      </c>
      <c r="ZF538" s="22" t="e">
        <f ca="1"/>
        <v>#N/A</v>
      </c>
      <c r="ZG538" s="22" t="e">
        <f ca="1"/>
        <v>#N/A</v>
      </c>
      <c r="ZH538" s="22" t="e">
        <f ca="1"/>
        <v>#N/A</v>
      </c>
      <c r="ZI538" s="22" t="e">
        <f ca="1"/>
        <v>#N/A</v>
      </c>
      <c r="ZJ538" s="22" t="e">
        <f ca="1"/>
        <v>#N/A</v>
      </c>
      <c r="ZK538" s="22" t="e">
        <f ca="1"/>
        <v>#N/A</v>
      </c>
      <c r="ZL538" s="22" t="e">
        <f ca="1"/>
        <v>#N/A</v>
      </c>
      <c r="ZM538" s="22" t="e">
        <f ca="1"/>
        <v>#N/A</v>
      </c>
      <c r="ZN538" s="22" t="e">
        <f ca="1"/>
        <v>#N/A</v>
      </c>
      <c r="ZO538" s="22" t="e">
        <f ca="1"/>
        <v>#N/A</v>
      </c>
      <c r="ZP538" s="22" t="e">
        <f ca="1"/>
        <v>#N/A</v>
      </c>
      <c r="ZQ538" s="22" t="e">
        <f ca="1"/>
        <v>#N/A</v>
      </c>
      <c r="ZR538" s="22" t="e">
        <f ca="1"/>
        <v>#N/A</v>
      </c>
      <c r="ZS538" s="22" t="e">
        <f ca="1"/>
        <v>#N/A</v>
      </c>
      <c r="ZT538" s="22" t="e">
        <f ca="1"/>
        <v>#N/A</v>
      </c>
      <c r="ZU538" s="22" t="e">
        <f ca="1"/>
        <v>#N/A</v>
      </c>
      <c r="ZV538" s="22" t="e">
        <f ca="1"/>
        <v>#N/A</v>
      </c>
      <c r="ZW538" s="22" t="e">
        <f ca="1"/>
        <v>#N/A</v>
      </c>
      <c r="ZX538" s="22" t="e">
        <f ca="1"/>
        <v>#N/A</v>
      </c>
      <c r="ZY538" s="22" t="e">
        <f ca="1"/>
        <v>#N/A</v>
      </c>
      <c r="ZZ538" s="22" t="e">
        <f ca="1"/>
        <v>#N/A</v>
      </c>
      <c r="AAA538" s="22" t="e">
        <f ca="1"/>
        <v>#N/A</v>
      </c>
      <c r="AAB538" s="22" t="e">
        <f ca="1"/>
        <v>#N/A</v>
      </c>
      <c r="AAC538" s="22" t="e">
        <f ca="1"/>
        <v>#N/A</v>
      </c>
      <c r="AAD538" s="22" t="e">
        <f ca="1"/>
        <v>#N/A</v>
      </c>
      <c r="AAE538" s="22" t="e">
        <f ca="1"/>
        <v>#N/A</v>
      </c>
      <c r="AAF538" s="22" t="e">
        <f ca="1"/>
        <v>#N/A</v>
      </c>
      <c r="AAG538" s="22" t="e">
        <f ca="1"/>
        <v>#N/A</v>
      </c>
      <c r="AAH538" s="22" t="e">
        <f ca="1"/>
        <v>#N/A</v>
      </c>
      <c r="AAI538" s="22" t="e">
        <f ca="1"/>
        <v>#N/A</v>
      </c>
      <c r="AAJ538" s="22" t="e">
        <f ca="1"/>
        <v>#N/A</v>
      </c>
      <c r="AAK538" s="22" t="e">
        <f ca="1"/>
        <v>#N/A</v>
      </c>
      <c r="AAL538" s="22" t="e">
        <f ca="1"/>
        <v>#N/A</v>
      </c>
      <c r="AAM538" s="22" t="e">
        <f ca="1"/>
        <v>#N/A</v>
      </c>
      <c r="AAN538" s="22" t="e">
        <f ca="1"/>
        <v>#N/A</v>
      </c>
      <c r="AAO538" s="22" t="e">
        <f ca="1"/>
        <v>#N/A</v>
      </c>
      <c r="AAP538" s="22" t="e">
        <f ca="1"/>
        <v>#N/A</v>
      </c>
      <c r="AAQ538" s="22" t="e">
        <f ca="1"/>
        <v>#N/A</v>
      </c>
      <c r="AAR538" s="22" t="e">
        <f ca="1"/>
        <v>#N/A</v>
      </c>
      <c r="AAS538" s="22" t="e">
        <f ca="1"/>
        <v>#N/A</v>
      </c>
      <c r="AAT538" s="22" t="e">
        <f ca="1"/>
        <v>#N/A</v>
      </c>
      <c r="AAU538" s="22" t="e">
        <f ca="1"/>
        <v>#N/A</v>
      </c>
      <c r="AAV538" s="22" t="e">
        <f ca="1"/>
        <v>#N/A</v>
      </c>
      <c r="AAW538" s="22" t="e">
        <f ca="1"/>
        <v>#N/A</v>
      </c>
      <c r="AAX538" s="22" t="e">
        <f ca="1"/>
        <v>#N/A</v>
      </c>
      <c r="AAY538" s="22" t="e">
        <f ca="1"/>
        <v>#N/A</v>
      </c>
      <c r="AAZ538" s="22" t="e">
        <f ca="1"/>
        <v>#N/A</v>
      </c>
      <c r="ABA538" s="22" t="e">
        <f ca="1"/>
        <v>#N/A</v>
      </c>
      <c r="ABB538" s="22" t="e">
        <f ca="1"/>
        <v>#N/A</v>
      </c>
      <c r="ABC538" s="22" t="e">
        <f ca="1"/>
        <v>#N/A</v>
      </c>
      <c r="ABD538" s="22" t="e">
        <f ca="1"/>
        <v>#N/A</v>
      </c>
      <c r="ABE538" s="22" t="e">
        <f ca="1"/>
        <v>#N/A</v>
      </c>
      <c r="ABF538" s="22" t="e">
        <f ca="1"/>
        <v>#N/A</v>
      </c>
      <c r="ABG538" s="22" t="e">
        <f ca="1"/>
        <v>#N/A</v>
      </c>
      <c r="ABH538" s="22" t="e">
        <f ca="1"/>
        <v>#N/A</v>
      </c>
      <c r="ABI538" s="22" t="e">
        <f ca="1"/>
        <v>#N/A</v>
      </c>
      <c r="ABJ538" s="22" t="e">
        <f ca="1"/>
        <v>#N/A</v>
      </c>
      <c r="ABK538" s="22" t="e">
        <f ca="1"/>
        <v>#N/A</v>
      </c>
      <c r="ABL538" s="22" t="e">
        <f ca="1"/>
        <v>#N/A</v>
      </c>
      <c r="ABM538" s="22" t="e">
        <f ca="1"/>
        <v>#N/A</v>
      </c>
      <c r="ABN538" s="22" t="e">
        <f ca="1"/>
        <v>#N/A</v>
      </c>
      <c r="ABO538" s="22" t="e">
        <f ca="1"/>
        <v>#N/A</v>
      </c>
      <c r="ABP538" s="22" t="e">
        <f ca="1"/>
        <v>#N/A</v>
      </c>
      <c r="ABQ538" s="22" t="e">
        <f ca="1"/>
        <v>#N/A</v>
      </c>
      <c r="ABR538" s="22" t="e">
        <f ca="1"/>
        <v>#N/A</v>
      </c>
      <c r="ABS538" s="22" t="e">
        <f ca="1"/>
        <v>#N/A</v>
      </c>
      <c r="ABT538" s="22" t="e">
        <f ca="1"/>
        <v>#N/A</v>
      </c>
      <c r="ABU538" s="22" t="e">
        <f ca="1"/>
        <v>#N/A</v>
      </c>
      <c r="ABV538" s="22" t="e">
        <f ca="1"/>
        <v>#N/A</v>
      </c>
      <c r="ABW538" s="22" t="e">
        <f ca="1"/>
        <v>#N/A</v>
      </c>
      <c r="ABX538" s="22" t="e">
        <f ca="1"/>
        <v>#N/A</v>
      </c>
      <c r="ABY538" s="22" t="e">
        <f ca="1"/>
        <v>#N/A</v>
      </c>
      <c r="ABZ538" s="22" t="e">
        <f ca="1"/>
        <v>#N/A</v>
      </c>
      <c r="ACA538" s="22" t="e">
        <f ca="1"/>
        <v>#N/A</v>
      </c>
      <c r="ACB538" s="22" t="e">
        <f ca="1"/>
        <v>#N/A</v>
      </c>
      <c r="ACC538" s="22" t="e">
        <f ca="1"/>
        <v>#N/A</v>
      </c>
      <c r="ACD538" s="22" t="e">
        <f ca="1"/>
        <v>#N/A</v>
      </c>
      <c r="ACE538" s="22" t="e">
        <f ca="1"/>
        <v>#N/A</v>
      </c>
      <c r="ACF538" s="22" t="e">
        <f ca="1"/>
        <v>#N/A</v>
      </c>
      <c r="ACG538" s="22" t="e">
        <f ca="1"/>
        <v>#N/A</v>
      </c>
      <c r="ACH538" s="22" t="e">
        <f ca="1"/>
        <v>#N/A</v>
      </c>
      <c r="ACI538" s="22" t="e">
        <f ca="1"/>
        <v>#N/A</v>
      </c>
      <c r="ACJ538" s="22" t="e">
        <f ca="1"/>
        <v>#N/A</v>
      </c>
      <c r="ACK538" s="22" t="e">
        <f ca="1"/>
        <v>#N/A</v>
      </c>
      <c r="ACL538" s="22" t="e">
        <f ca="1"/>
        <v>#N/A</v>
      </c>
      <c r="ACM538" s="22" t="e">
        <f ca="1"/>
        <v>#N/A</v>
      </c>
      <c r="ACN538" s="22" t="e">
        <f ca="1"/>
        <v>#N/A</v>
      </c>
      <c r="ACO538" s="22" t="e">
        <f ca="1"/>
        <v>#N/A</v>
      </c>
      <c r="ACP538" s="22" t="e">
        <f ca="1"/>
        <v>#N/A</v>
      </c>
      <c r="ACQ538" s="22" t="e">
        <f ca="1"/>
        <v>#N/A</v>
      </c>
      <c r="ACR538" s="22" t="e">
        <f ca="1"/>
        <v>#N/A</v>
      </c>
      <c r="ACS538" s="22" t="e">
        <f ca="1"/>
        <v>#N/A</v>
      </c>
      <c r="ACT538" s="22" t="e">
        <f ca="1"/>
        <v>#N/A</v>
      </c>
      <c r="ACU538" s="22" t="e">
        <f ca="1"/>
        <v>#N/A</v>
      </c>
      <c r="ACV538" s="22" t="e">
        <f ca="1"/>
        <v>#N/A</v>
      </c>
      <c r="ACW538" s="22" t="e">
        <f ca="1"/>
        <v>#N/A</v>
      </c>
      <c r="ACX538" s="22" t="e">
        <f ca="1"/>
        <v>#N/A</v>
      </c>
      <c r="ACY538" s="22" t="e">
        <f ca="1"/>
        <v>#N/A</v>
      </c>
      <c r="ACZ538" s="22" t="e">
        <f ca="1"/>
        <v>#N/A</v>
      </c>
      <c r="ADA538" s="22" t="e">
        <f ca="1"/>
        <v>#N/A</v>
      </c>
      <c r="ADB538" s="22" t="e">
        <f ca="1"/>
        <v>#N/A</v>
      </c>
      <c r="ADC538" s="22" t="e">
        <f ca="1"/>
        <v>#N/A</v>
      </c>
      <c r="ADD538" s="22" t="e">
        <f ca="1"/>
        <v>#N/A</v>
      </c>
      <c r="ADE538" s="22" t="e">
        <f ca="1"/>
        <v>#N/A</v>
      </c>
      <c r="ADF538" s="22" t="e">
        <f ca="1"/>
        <v>#N/A</v>
      </c>
      <c r="ADG538" s="22" t="e">
        <f ca="1"/>
        <v>#N/A</v>
      </c>
      <c r="ADH538" s="22" t="e">
        <f ca="1"/>
        <v>#N/A</v>
      </c>
      <c r="ADI538" s="22" t="e">
        <f ca="1"/>
        <v>#N/A</v>
      </c>
      <c r="ADJ538" s="22" t="e">
        <f ca="1"/>
        <v>#N/A</v>
      </c>
      <c r="ADK538" s="22" t="e">
        <f ca="1"/>
        <v>#N/A</v>
      </c>
      <c r="ADL538" s="22" t="e">
        <f ca="1"/>
        <v>#N/A</v>
      </c>
      <c r="ADM538" s="22" t="e">
        <f ca="1"/>
        <v>#N/A</v>
      </c>
      <c r="ADN538" s="22" t="e">
        <f ca="1"/>
        <v>#N/A</v>
      </c>
      <c r="ADO538" s="22" t="e">
        <f ca="1"/>
        <v>#N/A</v>
      </c>
      <c r="ADP538" s="22" t="e">
        <f ca="1"/>
        <v>#N/A</v>
      </c>
      <c r="ADQ538" s="22" t="e">
        <f ca="1"/>
        <v>#N/A</v>
      </c>
      <c r="ADR538" s="22" t="e">
        <f ca="1"/>
        <v>#N/A</v>
      </c>
      <c r="ADS538" s="22" t="e">
        <f ca="1"/>
        <v>#N/A</v>
      </c>
      <c r="ADT538" s="22" t="e">
        <f ca="1"/>
        <v>#N/A</v>
      </c>
      <c r="ADU538" s="22" t="e">
        <f ca="1"/>
        <v>#N/A</v>
      </c>
      <c r="ADV538" s="22" t="e">
        <f ca="1"/>
        <v>#N/A</v>
      </c>
      <c r="ADW538" s="22" t="e">
        <f ca="1"/>
        <v>#N/A</v>
      </c>
      <c r="ADX538" s="22" t="e">
        <f ca="1"/>
        <v>#N/A</v>
      </c>
      <c r="ADY538" s="22" t="e">
        <f ca="1"/>
        <v>#N/A</v>
      </c>
      <c r="ADZ538" s="22" t="e">
        <f ca="1"/>
        <v>#N/A</v>
      </c>
      <c r="AEA538" s="22" t="e">
        <f ca="1"/>
        <v>#N/A</v>
      </c>
      <c r="AEB538" s="22" t="e">
        <f ca="1"/>
        <v>#N/A</v>
      </c>
      <c r="AEC538" s="22" t="e">
        <f ca="1"/>
        <v>#N/A</v>
      </c>
      <c r="AED538" s="22" t="e">
        <f ca="1"/>
        <v>#N/A</v>
      </c>
      <c r="AEE538" s="22" t="e">
        <f ca="1"/>
        <v>#N/A</v>
      </c>
      <c r="AEF538" s="22" t="e">
        <f ca="1"/>
        <v>#N/A</v>
      </c>
      <c r="AEG538" s="22" t="e">
        <f ca="1"/>
        <v>#N/A</v>
      </c>
      <c r="AEH538" s="22" t="e">
        <f ca="1"/>
        <v>#N/A</v>
      </c>
      <c r="AEI538" s="22" t="e">
        <f ca="1"/>
        <v>#N/A</v>
      </c>
      <c r="AEJ538" s="22" t="e">
        <f ca="1"/>
        <v>#N/A</v>
      </c>
      <c r="AEK538" s="22" t="e">
        <f ca="1"/>
        <v>#N/A</v>
      </c>
      <c r="AEL538" s="22" t="e">
        <f ca="1"/>
        <v>#N/A</v>
      </c>
      <c r="AEM538" s="22" t="e">
        <f ca="1"/>
        <v>#N/A</v>
      </c>
      <c r="AEN538" s="22" t="e">
        <f ca="1"/>
        <v>#N/A</v>
      </c>
      <c r="AEO538" s="22" t="e">
        <f ca="1"/>
        <v>#N/A</v>
      </c>
      <c r="AEP538" s="22" t="e">
        <f ca="1"/>
        <v>#N/A</v>
      </c>
      <c r="AEQ538" s="22" t="e">
        <f ca="1"/>
        <v>#N/A</v>
      </c>
      <c r="AER538" s="22" t="e">
        <f ca="1"/>
        <v>#N/A</v>
      </c>
      <c r="AES538" s="22" t="e">
        <f ca="1"/>
        <v>#N/A</v>
      </c>
      <c r="AET538" s="22" t="e">
        <f ca="1"/>
        <v>#N/A</v>
      </c>
      <c r="AEU538" s="22" t="e">
        <f ca="1"/>
        <v>#N/A</v>
      </c>
      <c r="AEV538" s="22" t="e">
        <f ca="1"/>
        <v>#N/A</v>
      </c>
      <c r="AEW538" s="22" t="e">
        <f ca="1"/>
        <v>#N/A</v>
      </c>
      <c r="AEX538" s="22" t="e">
        <f ca="1"/>
        <v>#N/A</v>
      </c>
      <c r="AEY538" s="22" t="e">
        <f ca="1"/>
        <v>#N/A</v>
      </c>
      <c r="AEZ538" s="22" t="e">
        <f ca="1"/>
        <v>#N/A</v>
      </c>
      <c r="AFA538" s="22" t="e">
        <f ca="1"/>
        <v>#N/A</v>
      </c>
      <c r="AFB538" s="22" t="e">
        <f ca="1"/>
        <v>#N/A</v>
      </c>
      <c r="AFC538" s="22" t="e">
        <f ca="1"/>
        <v>#N/A</v>
      </c>
      <c r="AFD538" s="22" t="e">
        <f ca="1"/>
        <v>#N/A</v>
      </c>
      <c r="AFE538" s="22" t="e">
        <f ca="1"/>
        <v>#N/A</v>
      </c>
      <c r="AFF538" s="22" t="e">
        <f ca="1"/>
        <v>#N/A</v>
      </c>
      <c r="AFG538" s="22" t="e">
        <f ca="1"/>
        <v>#N/A</v>
      </c>
      <c r="AFH538" s="22" t="e">
        <f ca="1"/>
        <v>#N/A</v>
      </c>
      <c r="AFI538" s="22" t="e">
        <f ca="1"/>
        <v>#N/A</v>
      </c>
      <c r="AFJ538" s="22" t="e">
        <f ca="1"/>
        <v>#N/A</v>
      </c>
      <c r="AFK538" s="22" t="e">
        <f ca="1"/>
        <v>#N/A</v>
      </c>
      <c r="AFL538" s="22" t="e">
        <f ca="1"/>
        <v>#N/A</v>
      </c>
      <c r="AFM538" s="22" t="e">
        <f ca="1"/>
        <v>#N/A</v>
      </c>
      <c r="AFN538" s="22" t="e">
        <f ca="1"/>
        <v>#N/A</v>
      </c>
      <c r="AFO538" s="22" t="e">
        <f ca="1"/>
        <v>#N/A</v>
      </c>
      <c r="AFP538" s="22" t="e">
        <f ca="1"/>
        <v>#N/A</v>
      </c>
      <c r="AFQ538" s="22" t="e">
        <f ca="1"/>
        <v>#N/A</v>
      </c>
      <c r="AFR538" s="22" t="e">
        <f ca="1"/>
        <v>#N/A</v>
      </c>
      <c r="AFS538" s="22" t="e">
        <f ca="1"/>
        <v>#N/A</v>
      </c>
      <c r="AFT538" s="22" t="e">
        <f ca="1"/>
        <v>#N/A</v>
      </c>
      <c r="AFU538" s="22" t="e">
        <f ca="1"/>
        <v>#N/A</v>
      </c>
      <c r="AFV538" s="22" t="e">
        <f ca="1"/>
        <v>#N/A</v>
      </c>
      <c r="AFW538" s="22" t="e">
        <f ca="1"/>
        <v>#N/A</v>
      </c>
      <c r="AFX538" s="22" t="e">
        <f ca="1"/>
        <v>#N/A</v>
      </c>
      <c r="AFY538" s="22" t="e">
        <f ca="1"/>
        <v>#N/A</v>
      </c>
      <c r="AFZ538" s="22" t="e">
        <f ca="1"/>
        <v>#N/A</v>
      </c>
      <c r="AGA538" s="22" t="e">
        <f ca="1"/>
        <v>#N/A</v>
      </c>
      <c r="AGB538" s="22" t="e">
        <f ca="1"/>
        <v>#N/A</v>
      </c>
      <c r="AGC538" s="22" t="e">
        <f ca="1"/>
        <v>#N/A</v>
      </c>
      <c r="AGD538" s="22" t="e">
        <f ca="1"/>
        <v>#N/A</v>
      </c>
      <c r="AGE538" s="22" t="e">
        <f ca="1"/>
        <v>#N/A</v>
      </c>
      <c r="AGF538" s="22" t="e">
        <f ca="1"/>
        <v>#N/A</v>
      </c>
      <c r="AGG538" s="22" t="e">
        <f ca="1"/>
        <v>#N/A</v>
      </c>
      <c r="AGH538" s="22" t="e">
        <f ca="1"/>
        <v>#N/A</v>
      </c>
      <c r="AGI538" s="22" t="e">
        <f ca="1"/>
        <v>#N/A</v>
      </c>
      <c r="AGJ538" s="22" t="e">
        <f ca="1"/>
        <v>#N/A</v>
      </c>
      <c r="AGK538" s="22" t="e">
        <f ca="1"/>
        <v>#N/A</v>
      </c>
      <c r="AGL538" s="22" t="e">
        <f ca="1"/>
        <v>#N/A</v>
      </c>
      <c r="AGM538" s="22" t="e">
        <f ca="1"/>
        <v>#N/A</v>
      </c>
      <c r="AGN538" s="22" t="e">
        <f ca="1"/>
        <v>#N/A</v>
      </c>
      <c r="AGO538" s="22" t="e">
        <f ca="1"/>
        <v>#N/A</v>
      </c>
      <c r="AGP538" s="22" t="e">
        <f ca="1"/>
        <v>#N/A</v>
      </c>
      <c r="AGQ538" s="22" t="e">
        <f ca="1"/>
        <v>#N/A</v>
      </c>
      <c r="AGR538" s="22" t="e">
        <f ca="1"/>
        <v>#N/A</v>
      </c>
      <c r="AGS538" s="22" t="e">
        <f ca="1"/>
        <v>#N/A</v>
      </c>
      <c r="AGT538" s="22" t="e">
        <f ca="1"/>
        <v>#N/A</v>
      </c>
      <c r="AGU538" s="22" t="e">
        <f ca="1"/>
        <v>#N/A</v>
      </c>
      <c r="AGV538" s="22" t="e">
        <f ca="1"/>
        <v>#N/A</v>
      </c>
      <c r="AGW538" s="22" t="e">
        <f ca="1"/>
        <v>#N/A</v>
      </c>
      <c r="AGX538" s="22" t="e">
        <f ca="1"/>
        <v>#N/A</v>
      </c>
      <c r="AGY538" s="22" t="e">
        <f ca="1"/>
        <v>#N/A</v>
      </c>
      <c r="AGZ538" s="22" t="e">
        <f ca="1"/>
        <v>#N/A</v>
      </c>
      <c r="AHA538" s="22" t="e">
        <f ca="1"/>
        <v>#N/A</v>
      </c>
      <c r="AHB538" s="22" t="e">
        <f ca="1"/>
        <v>#N/A</v>
      </c>
      <c r="AHC538" s="22" t="e">
        <f ca="1"/>
        <v>#N/A</v>
      </c>
      <c r="AHD538" s="22" t="e">
        <f ca="1"/>
        <v>#N/A</v>
      </c>
      <c r="AHE538" s="22" t="e">
        <f ca="1"/>
        <v>#N/A</v>
      </c>
      <c r="AHF538" s="22" t="e">
        <f ca="1"/>
        <v>#N/A</v>
      </c>
      <c r="AHG538" s="22" t="e">
        <f ca="1"/>
        <v>#N/A</v>
      </c>
      <c r="AHH538" s="22" t="e">
        <f ca="1"/>
        <v>#N/A</v>
      </c>
      <c r="AHI538" s="22" t="e">
        <f ca="1"/>
        <v>#N/A</v>
      </c>
      <c r="AHJ538" s="22" t="e">
        <f ca="1"/>
        <v>#N/A</v>
      </c>
      <c r="AHK538" s="22" t="e">
        <f ca="1"/>
        <v>#N/A</v>
      </c>
      <c r="AHL538" s="22" t="e">
        <f ca="1"/>
        <v>#N/A</v>
      </c>
      <c r="AHM538" s="22" t="e">
        <f ca="1"/>
        <v>#N/A</v>
      </c>
      <c r="AHN538" s="22" t="e">
        <f ca="1"/>
        <v>#N/A</v>
      </c>
      <c r="AHO538" s="22" t="e">
        <f ca="1"/>
        <v>#N/A</v>
      </c>
      <c r="AHP538" s="22" t="e">
        <f ca="1"/>
        <v>#N/A</v>
      </c>
      <c r="AHQ538" s="22" t="e">
        <f ca="1"/>
        <v>#N/A</v>
      </c>
      <c r="AHR538" s="22" t="e">
        <f ca="1"/>
        <v>#N/A</v>
      </c>
      <c r="AHS538" s="22" t="e">
        <f ca="1"/>
        <v>#N/A</v>
      </c>
      <c r="AHT538" s="22" t="e">
        <f ca="1"/>
        <v>#N/A</v>
      </c>
      <c r="AHU538" s="22" t="e">
        <f ca="1"/>
        <v>#N/A</v>
      </c>
      <c r="AHV538" s="22" t="e">
        <f ca="1"/>
        <v>#N/A</v>
      </c>
      <c r="AHW538" s="22" t="e">
        <f ca="1"/>
        <v>#N/A</v>
      </c>
      <c r="AHX538" s="22" t="e">
        <f ca="1"/>
        <v>#N/A</v>
      </c>
      <c r="AHY538" s="22" t="e">
        <f ca="1"/>
        <v>#N/A</v>
      </c>
      <c r="AHZ538" s="22" t="e">
        <f ca="1"/>
        <v>#N/A</v>
      </c>
      <c r="AIA538" s="22" t="e">
        <f ca="1"/>
        <v>#N/A</v>
      </c>
      <c r="AIB538" s="22" t="e">
        <f ca="1"/>
        <v>#N/A</v>
      </c>
      <c r="AIC538" s="22" t="e">
        <f ca="1"/>
        <v>#N/A</v>
      </c>
      <c r="AID538" s="22" t="e">
        <f ca="1"/>
        <v>#N/A</v>
      </c>
      <c r="AIE538" s="22" t="e">
        <f ca="1"/>
        <v>#N/A</v>
      </c>
      <c r="AIF538" s="22" t="e">
        <f ca="1"/>
        <v>#N/A</v>
      </c>
      <c r="AIG538" s="22" t="e">
        <f ca="1"/>
        <v>#N/A</v>
      </c>
      <c r="AIH538" s="22" t="e">
        <f ca="1"/>
        <v>#N/A</v>
      </c>
      <c r="AII538" s="22" t="e">
        <f ca="1"/>
        <v>#N/A</v>
      </c>
      <c r="AIJ538" s="22" t="e">
        <f ca="1"/>
        <v>#N/A</v>
      </c>
      <c r="AIK538" s="22" t="e">
        <f ca="1"/>
        <v>#N/A</v>
      </c>
      <c r="AIL538" s="22" t="e">
        <f ca="1"/>
        <v>#N/A</v>
      </c>
      <c r="AIM538" s="22" t="e">
        <f ca="1"/>
        <v>#N/A</v>
      </c>
      <c r="AIN538" s="22" t="e">
        <f ca="1"/>
        <v>#N/A</v>
      </c>
      <c r="AIO538" s="22" t="e">
        <f ca="1"/>
        <v>#N/A</v>
      </c>
      <c r="AIP538" s="22" t="e">
        <f ca="1"/>
        <v>#N/A</v>
      </c>
      <c r="AIQ538" s="22" t="e">
        <f ca="1"/>
        <v>#N/A</v>
      </c>
      <c r="AIR538" s="22" t="e">
        <f ca="1"/>
        <v>#N/A</v>
      </c>
      <c r="AIS538" s="22" t="e">
        <f ca="1"/>
        <v>#N/A</v>
      </c>
      <c r="AIT538" s="22" t="e">
        <f ca="1"/>
        <v>#N/A</v>
      </c>
      <c r="AIU538" s="22" t="e">
        <f ca="1"/>
        <v>#N/A</v>
      </c>
      <c r="AIV538" s="22" t="e">
        <f ca="1"/>
        <v>#N/A</v>
      </c>
      <c r="AIW538" s="22" t="e">
        <f ca="1"/>
        <v>#N/A</v>
      </c>
      <c r="AIX538" s="22" t="e">
        <f ca="1"/>
        <v>#N/A</v>
      </c>
      <c r="AIY538" s="22" t="e">
        <f ca="1"/>
        <v>#N/A</v>
      </c>
      <c r="AIZ538" s="22" t="e">
        <f ca="1"/>
        <v>#N/A</v>
      </c>
      <c r="AJA538" s="22" t="e">
        <f ca="1"/>
        <v>#N/A</v>
      </c>
      <c r="AJB538" s="22" t="e">
        <f ca="1"/>
        <v>#N/A</v>
      </c>
      <c r="AJC538" s="22" t="e">
        <f ca="1"/>
        <v>#N/A</v>
      </c>
      <c r="AJD538" s="22" t="e">
        <f ca="1"/>
        <v>#N/A</v>
      </c>
      <c r="AJE538" s="22" t="e">
        <f ca="1"/>
        <v>#N/A</v>
      </c>
      <c r="AJF538" s="22" t="e">
        <f ca="1"/>
        <v>#N/A</v>
      </c>
      <c r="AJG538" s="22" t="e">
        <f ca="1"/>
        <v>#N/A</v>
      </c>
      <c r="AJH538" s="22" t="e">
        <f ca="1"/>
        <v>#N/A</v>
      </c>
      <c r="AJI538" s="22" t="e">
        <f ca="1"/>
        <v>#N/A</v>
      </c>
      <c r="AJJ538" s="22" t="e">
        <f ca="1"/>
        <v>#N/A</v>
      </c>
      <c r="AJK538" s="22" t="e">
        <f ca="1"/>
        <v>#N/A</v>
      </c>
      <c r="AJL538" s="22" t="e">
        <f ca="1"/>
        <v>#N/A</v>
      </c>
      <c r="AJM538" s="22" t="e">
        <f ca="1"/>
        <v>#N/A</v>
      </c>
      <c r="AJN538" s="22" t="e">
        <f ca="1"/>
        <v>#N/A</v>
      </c>
      <c r="AJO538" s="22" t="e">
        <f ca="1"/>
        <v>#N/A</v>
      </c>
      <c r="AJP538" s="22" t="e">
        <f ca="1"/>
        <v>#N/A</v>
      </c>
      <c r="AJQ538" s="22" t="e">
        <f ca="1"/>
        <v>#N/A</v>
      </c>
      <c r="AJR538" s="22" t="e">
        <f ca="1"/>
        <v>#N/A</v>
      </c>
      <c r="AJS538" s="22" t="e">
        <f ca="1"/>
        <v>#N/A</v>
      </c>
      <c r="AJT538" s="22" t="e">
        <f ca="1"/>
        <v>#N/A</v>
      </c>
      <c r="AJU538" s="22" t="e">
        <f ca="1"/>
        <v>#N/A</v>
      </c>
      <c r="AJV538" s="22" t="e">
        <f ca="1"/>
        <v>#N/A</v>
      </c>
      <c r="AJW538" s="22" t="e">
        <f ca="1"/>
        <v>#N/A</v>
      </c>
      <c r="AJX538" s="22" t="e">
        <f ca="1"/>
        <v>#N/A</v>
      </c>
      <c r="AJY538" s="22" t="e">
        <f ca="1"/>
        <v>#N/A</v>
      </c>
      <c r="AJZ538" s="22" t="e">
        <f ca="1"/>
        <v>#N/A</v>
      </c>
      <c r="AKA538" s="22" t="e">
        <f ca="1"/>
        <v>#N/A</v>
      </c>
      <c r="AKB538" s="22" t="e">
        <f ca="1"/>
        <v>#N/A</v>
      </c>
      <c r="AKC538" s="22" t="e">
        <f ca="1"/>
        <v>#N/A</v>
      </c>
      <c r="AKD538" s="22" t="e">
        <f ca="1"/>
        <v>#N/A</v>
      </c>
      <c r="AKE538" s="22" t="e">
        <f ca="1"/>
        <v>#N/A</v>
      </c>
      <c r="AKF538" s="22" t="e">
        <f ca="1"/>
        <v>#N/A</v>
      </c>
      <c r="AKG538" s="22" t="e">
        <f ca="1"/>
        <v>#N/A</v>
      </c>
      <c r="AKH538" s="22" t="e">
        <f ca="1"/>
        <v>#N/A</v>
      </c>
      <c r="AKI538" s="22" t="e">
        <f ca="1"/>
        <v>#N/A</v>
      </c>
      <c r="AKJ538" s="22" t="e">
        <f ca="1"/>
        <v>#N/A</v>
      </c>
      <c r="AKK538" s="22" t="e">
        <f ca="1"/>
        <v>#N/A</v>
      </c>
      <c r="AKL538" s="22" t="e">
        <f ca="1"/>
        <v>#N/A</v>
      </c>
      <c r="AKM538" s="22" t="e">
        <f ca="1"/>
        <v>#N/A</v>
      </c>
      <c r="AKN538" s="22" t="e">
        <f ca="1"/>
        <v>#N/A</v>
      </c>
      <c r="AKO538" s="22" t="e">
        <f ca="1"/>
        <v>#N/A</v>
      </c>
      <c r="AKP538" s="22" t="e">
        <f ca="1"/>
        <v>#N/A</v>
      </c>
      <c r="AKQ538" s="22" t="e">
        <f ca="1"/>
        <v>#N/A</v>
      </c>
      <c r="AKR538" s="22" t="e">
        <f ca="1"/>
        <v>#N/A</v>
      </c>
      <c r="AKS538" s="22" t="e">
        <f ca="1"/>
        <v>#N/A</v>
      </c>
      <c r="AKT538" s="22" t="e">
        <f ca="1"/>
        <v>#N/A</v>
      </c>
      <c r="AKU538" s="22" t="e">
        <f ca="1"/>
        <v>#N/A</v>
      </c>
      <c r="AKV538" s="22" t="e">
        <f ca="1"/>
        <v>#N/A</v>
      </c>
      <c r="AKW538" s="22" t="e">
        <f ca="1"/>
        <v>#N/A</v>
      </c>
      <c r="AKX538" s="22" t="e">
        <f ca="1"/>
        <v>#N/A</v>
      </c>
      <c r="AKY538" s="22" t="e">
        <f ca="1"/>
        <v>#N/A</v>
      </c>
      <c r="AKZ538" s="22" t="e">
        <f ca="1"/>
        <v>#N/A</v>
      </c>
      <c r="ALA538" s="22" t="e">
        <f ca="1"/>
        <v>#N/A</v>
      </c>
      <c r="ALB538" s="22" t="e">
        <f ca="1"/>
        <v>#N/A</v>
      </c>
      <c r="ALC538" s="22" t="e">
        <f ca="1"/>
        <v>#N/A</v>
      </c>
      <c r="ALD538" s="22" t="e">
        <f ca="1"/>
        <v>#N/A</v>
      </c>
      <c r="ALE538" s="22" t="e">
        <f ca="1"/>
        <v>#N/A</v>
      </c>
      <c r="ALF538" s="22" t="e">
        <f ca="1"/>
        <v>#N/A</v>
      </c>
      <c r="ALG538" s="22" t="e">
        <f ca="1"/>
        <v>#N/A</v>
      </c>
      <c r="ALH538" s="22" t="e">
        <f ca="1"/>
        <v>#N/A</v>
      </c>
      <c r="ALI538" s="22" t="e">
        <f ca="1"/>
        <v>#N/A</v>
      </c>
      <c r="ALJ538" s="22" t="e">
        <f ca="1"/>
        <v>#N/A</v>
      </c>
      <c r="ALK538" s="22" t="e">
        <f ca="1"/>
        <v>#N/A</v>
      </c>
      <c r="ALL538" s="22" t="e">
        <f ca="1"/>
        <v>#N/A</v>
      </c>
      <c r="ALM538" s="22" t="e">
        <f ca="1"/>
        <v>#N/A</v>
      </c>
      <c r="ALN538" s="22" t="e">
        <f ca="1"/>
        <v>#N/A</v>
      </c>
      <c r="ALO538" s="22" t="e">
        <f ca="1"/>
        <v>#N/A</v>
      </c>
      <c r="ALP538" s="22" t="e">
        <f ca="1"/>
        <v>#N/A</v>
      </c>
      <c r="ALQ538" s="22" t="e">
        <f ca="1"/>
        <v>#N/A</v>
      </c>
      <c r="ALR538" s="22" t="e">
        <f ca="1"/>
        <v>#N/A</v>
      </c>
      <c r="ALS538" s="22" t="e">
        <f ca="1"/>
        <v>#N/A</v>
      </c>
      <c r="ALT538" s="22" t="e">
        <f ca="1"/>
        <v>#N/A</v>
      </c>
      <c r="ALU538" s="22" t="e">
        <f ca="1"/>
        <v>#N/A</v>
      </c>
      <c r="ALV538" s="22" t="e">
        <f ca="1"/>
        <v>#N/A</v>
      </c>
      <c r="ALW538" s="22" t="e">
        <f ca="1"/>
        <v>#N/A</v>
      </c>
      <c r="ALX538" s="22" t="e">
        <f ca="1"/>
        <v>#N/A</v>
      </c>
      <c r="ALY538" s="22" t="e">
        <f ca="1"/>
        <v>#N/A</v>
      </c>
      <c r="ALZ538" s="22" t="e">
        <f ca="1"/>
        <v>#N/A</v>
      </c>
      <c r="AMA538" s="22" t="e">
        <f ca="1"/>
        <v>#N/A</v>
      </c>
      <c r="AMB538" s="22" t="e">
        <f ca="1"/>
        <v>#N/A</v>
      </c>
      <c r="AMC538" s="22" t="e">
        <f ca="1"/>
        <v>#N/A</v>
      </c>
      <c r="AMD538" s="22" t="e">
        <f ca="1"/>
        <v>#N/A</v>
      </c>
      <c r="AME538" s="22" t="e">
        <f ca="1"/>
        <v>#N/A</v>
      </c>
      <c r="AMF538" s="22" t="e">
        <f ca="1"/>
        <v>#N/A</v>
      </c>
      <c r="AMG538" s="22" t="e">
        <f ca="1"/>
        <v>#N/A</v>
      </c>
      <c r="AMH538" s="22" t="e">
        <f ca="1"/>
        <v>#N/A</v>
      </c>
      <c r="AMI538" s="22" t="e">
        <f ca="1"/>
        <v>#N/A</v>
      </c>
      <c r="AMJ538" s="22" t="e">
        <f ca="1"/>
        <v>#N/A</v>
      </c>
      <c r="AMK538" s="22" t="e">
        <f ca="1"/>
        <v>#N/A</v>
      </c>
      <c r="AML538" s="22" t="e">
        <f ca="1"/>
        <v>#N/A</v>
      </c>
      <c r="AMM538" s="22" t="e">
        <f ca="1"/>
        <v>#N/A</v>
      </c>
      <c r="AMN538" s="22" t="e">
        <f ca="1"/>
        <v>#N/A</v>
      </c>
      <c r="AMO538" s="22" t="e">
        <f ca="1"/>
        <v>#N/A</v>
      </c>
      <c r="AMP538" s="22" t="e">
        <f ca="1"/>
        <v>#N/A</v>
      </c>
      <c r="AMQ538" s="22" t="e">
        <f ca="1"/>
        <v>#N/A</v>
      </c>
      <c r="AMR538" s="22" t="e">
        <f ca="1"/>
        <v>#N/A</v>
      </c>
      <c r="AMS538" s="22" t="e">
        <f ca="1"/>
        <v>#N/A</v>
      </c>
      <c r="AMT538" s="22" t="e">
        <f ca="1"/>
        <v>#N/A</v>
      </c>
      <c r="AMU538" s="22" t="e">
        <f ca="1"/>
        <v>#N/A</v>
      </c>
      <c r="AMV538" s="22" t="e">
        <f ca="1"/>
        <v>#N/A</v>
      </c>
      <c r="AMW538" s="22" t="e">
        <f ca="1"/>
        <v>#N/A</v>
      </c>
      <c r="AMX538" s="22" t="e">
        <f ca="1"/>
        <v>#N/A</v>
      </c>
      <c r="AMY538" s="22" t="e">
        <f ca="1"/>
        <v>#N/A</v>
      </c>
      <c r="AMZ538" s="22" t="e">
        <f ca="1"/>
        <v>#N/A</v>
      </c>
      <c r="ANA538" s="22" t="e">
        <f ca="1"/>
        <v>#N/A</v>
      </c>
      <c r="ANB538" s="22" t="e">
        <f ca="1"/>
        <v>#N/A</v>
      </c>
      <c r="ANC538" s="22" t="e">
        <f ca="1"/>
        <v>#N/A</v>
      </c>
      <c r="AND538" s="22" t="e">
        <f ca="1"/>
        <v>#N/A</v>
      </c>
      <c r="ANE538" s="22" t="e">
        <f ca="1"/>
        <v>#N/A</v>
      </c>
      <c r="ANF538" s="22" t="e">
        <f ca="1"/>
        <v>#N/A</v>
      </c>
      <c r="ANG538" s="22" t="e">
        <f ca="1"/>
        <v>#N/A</v>
      </c>
      <c r="ANH538" s="22" t="e">
        <f ca="1"/>
        <v>#N/A</v>
      </c>
      <c r="ANI538" s="22" t="e">
        <f ca="1"/>
        <v>#N/A</v>
      </c>
      <c r="ANJ538" s="22" t="e">
        <f ca="1"/>
        <v>#N/A</v>
      </c>
      <c r="ANK538" s="22" t="e">
        <f ca="1"/>
        <v>#N/A</v>
      </c>
      <c r="ANL538" s="22" t="e">
        <f ca="1"/>
        <v>#N/A</v>
      </c>
      <c r="ANM538" s="22" t="e">
        <f ca="1"/>
        <v>#N/A</v>
      </c>
      <c r="ANN538" s="22" t="e">
        <f ca="1"/>
        <v>#N/A</v>
      </c>
      <c r="ANO538" s="22" t="e">
        <f ca="1"/>
        <v>#N/A</v>
      </c>
      <c r="ANP538" s="22" t="e">
        <f ca="1"/>
        <v>#N/A</v>
      </c>
      <c r="ANQ538" s="22" t="e">
        <f ca="1"/>
        <v>#N/A</v>
      </c>
      <c r="ANR538" s="22" t="e">
        <f ca="1"/>
        <v>#N/A</v>
      </c>
      <c r="ANS538" s="22" t="e">
        <f ca="1"/>
        <v>#N/A</v>
      </c>
      <c r="ANT538" s="22" t="e">
        <f ca="1"/>
        <v>#N/A</v>
      </c>
      <c r="ANU538" s="22" t="e">
        <f ca="1"/>
        <v>#N/A</v>
      </c>
      <c r="ANV538" s="22" t="e">
        <f ca="1"/>
        <v>#N/A</v>
      </c>
      <c r="ANW538" s="22" t="e">
        <f ca="1"/>
        <v>#N/A</v>
      </c>
      <c r="ANX538" s="22" t="e">
        <f ca="1"/>
        <v>#N/A</v>
      </c>
      <c r="ANY538" s="22" t="e">
        <f ca="1"/>
        <v>#N/A</v>
      </c>
      <c r="ANZ538" s="22" t="e">
        <f ca="1"/>
        <v>#N/A</v>
      </c>
      <c r="AOA538" s="22" t="e">
        <f ca="1"/>
        <v>#N/A</v>
      </c>
      <c r="AOB538" s="22" t="e">
        <f ca="1"/>
        <v>#N/A</v>
      </c>
      <c r="AOC538" s="22" t="e">
        <f ca="1"/>
        <v>#N/A</v>
      </c>
      <c r="AOD538" s="22" t="e">
        <f ca="1"/>
        <v>#N/A</v>
      </c>
      <c r="AOE538" s="22" t="e">
        <f ca="1"/>
        <v>#N/A</v>
      </c>
      <c r="AOF538" s="22" t="e">
        <f ca="1"/>
        <v>#N/A</v>
      </c>
      <c r="AOG538" s="22" t="e">
        <f ca="1"/>
        <v>#N/A</v>
      </c>
      <c r="AOH538" s="22" t="e">
        <f ca="1"/>
        <v>#N/A</v>
      </c>
      <c r="AOI538" s="22" t="e">
        <f ca="1"/>
        <v>#N/A</v>
      </c>
      <c r="AOJ538" s="22" t="e">
        <f ca="1"/>
        <v>#N/A</v>
      </c>
      <c r="AOK538" s="22" t="e">
        <f ca="1"/>
        <v>#N/A</v>
      </c>
      <c r="AOL538" s="22" t="e">
        <f ca="1"/>
        <v>#N/A</v>
      </c>
      <c r="AOM538" s="22" t="e">
        <f ca="1"/>
        <v>#N/A</v>
      </c>
      <c r="AON538" s="22" t="e">
        <f ca="1"/>
        <v>#N/A</v>
      </c>
      <c r="AOO538" s="22" t="e">
        <f ca="1"/>
        <v>#N/A</v>
      </c>
      <c r="AOP538" s="22" t="e">
        <f ca="1"/>
        <v>#N/A</v>
      </c>
      <c r="AOQ538" s="22" t="e">
        <f ca="1"/>
        <v>#N/A</v>
      </c>
      <c r="AOR538" s="22" t="e">
        <f ca="1"/>
        <v>#N/A</v>
      </c>
      <c r="AOS538" s="22" t="e">
        <f ca="1"/>
        <v>#N/A</v>
      </c>
      <c r="AOT538" s="22" t="e">
        <f ca="1"/>
        <v>#N/A</v>
      </c>
      <c r="AOU538" s="22" t="e">
        <f ca="1"/>
        <v>#N/A</v>
      </c>
      <c r="AOV538" s="22" t="e">
        <f ca="1"/>
        <v>#N/A</v>
      </c>
      <c r="AOW538" s="22" t="e">
        <f ca="1"/>
        <v>#N/A</v>
      </c>
      <c r="AOX538" s="22" t="e">
        <f ca="1"/>
        <v>#N/A</v>
      </c>
      <c r="AOY538" s="22" t="e">
        <f ca="1"/>
        <v>#N/A</v>
      </c>
      <c r="AOZ538" s="22" t="e">
        <f ca="1"/>
        <v>#N/A</v>
      </c>
      <c r="APA538" s="22" t="e">
        <f ca="1"/>
        <v>#N/A</v>
      </c>
      <c r="APB538" s="22" t="e">
        <f ca="1"/>
        <v>#N/A</v>
      </c>
      <c r="APC538" s="22" t="e">
        <f ca="1"/>
        <v>#N/A</v>
      </c>
      <c r="APD538" s="22" t="e">
        <f ca="1"/>
        <v>#N/A</v>
      </c>
      <c r="APE538" s="22" t="e">
        <f ca="1"/>
        <v>#N/A</v>
      </c>
      <c r="APF538" s="22" t="e">
        <f ca="1"/>
        <v>#N/A</v>
      </c>
      <c r="APG538" s="22" t="e">
        <f ca="1"/>
        <v>#N/A</v>
      </c>
      <c r="APH538" s="22" t="e">
        <f ca="1"/>
        <v>#N/A</v>
      </c>
      <c r="API538" s="22" t="e">
        <f ca="1"/>
        <v>#N/A</v>
      </c>
      <c r="APJ538" s="22" t="e">
        <f ca="1"/>
        <v>#N/A</v>
      </c>
      <c r="APK538" s="22" t="e">
        <f ca="1"/>
        <v>#N/A</v>
      </c>
      <c r="APL538" s="22" t="e">
        <f ca="1"/>
        <v>#N/A</v>
      </c>
      <c r="APM538" s="22" t="e">
        <f ca="1"/>
        <v>#N/A</v>
      </c>
      <c r="APN538" s="22" t="e">
        <f ca="1"/>
        <v>#N/A</v>
      </c>
      <c r="APO538" s="22" t="e">
        <f ca="1"/>
        <v>#N/A</v>
      </c>
      <c r="APP538" s="22" t="e">
        <f ca="1"/>
        <v>#N/A</v>
      </c>
      <c r="APQ538" s="22" t="e">
        <f ca="1"/>
        <v>#N/A</v>
      </c>
      <c r="APR538" s="22" t="e">
        <f ca="1"/>
        <v>#N/A</v>
      </c>
      <c r="APS538" s="22" t="e">
        <f ca="1"/>
        <v>#N/A</v>
      </c>
      <c r="APT538" s="22" t="e">
        <f ca="1"/>
        <v>#N/A</v>
      </c>
      <c r="APU538" s="22" t="e">
        <f ca="1"/>
        <v>#N/A</v>
      </c>
      <c r="APV538" s="22" t="e">
        <f ca="1"/>
        <v>#N/A</v>
      </c>
      <c r="APW538" s="22" t="e">
        <f ca="1"/>
        <v>#N/A</v>
      </c>
      <c r="APX538" s="22" t="e">
        <f ca="1"/>
        <v>#N/A</v>
      </c>
      <c r="APY538" s="22" t="e">
        <f ca="1"/>
        <v>#N/A</v>
      </c>
      <c r="APZ538" s="22" t="e">
        <f ca="1"/>
        <v>#N/A</v>
      </c>
      <c r="AQA538" s="22" t="e">
        <f ca="1"/>
        <v>#N/A</v>
      </c>
      <c r="AQB538" s="22" t="e">
        <f ca="1"/>
        <v>#N/A</v>
      </c>
      <c r="AQC538" s="22" t="e">
        <f ca="1"/>
        <v>#N/A</v>
      </c>
      <c r="AQD538" s="22" t="e">
        <f ca="1"/>
        <v>#N/A</v>
      </c>
      <c r="AQE538" s="22" t="e">
        <f ca="1"/>
        <v>#N/A</v>
      </c>
      <c r="AQF538" s="22" t="e">
        <f ca="1"/>
        <v>#N/A</v>
      </c>
      <c r="AQG538" s="22" t="e">
        <f ca="1"/>
        <v>#N/A</v>
      </c>
      <c r="AQH538" s="22" t="e">
        <f ca="1"/>
        <v>#N/A</v>
      </c>
      <c r="AQI538" s="22" t="e">
        <f ca="1"/>
        <v>#N/A</v>
      </c>
      <c r="AQJ538" s="22" t="e">
        <f ca="1"/>
        <v>#N/A</v>
      </c>
      <c r="AQK538" s="22" t="e">
        <f ca="1"/>
        <v>#N/A</v>
      </c>
      <c r="AQL538" s="22" t="e">
        <f ca="1"/>
        <v>#N/A</v>
      </c>
      <c r="AQM538" s="22" t="e">
        <f ca="1"/>
        <v>#N/A</v>
      </c>
      <c r="AQN538" s="22" t="e">
        <f ca="1"/>
        <v>#N/A</v>
      </c>
      <c r="AQO538" s="22" t="e">
        <f ca="1"/>
        <v>#N/A</v>
      </c>
      <c r="AQP538" s="22" t="e">
        <f ca="1"/>
        <v>#N/A</v>
      </c>
      <c r="AQQ538" s="22" t="e">
        <f ca="1"/>
        <v>#N/A</v>
      </c>
      <c r="AQR538" s="22" t="e">
        <f ca="1"/>
        <v>#N/A</v>
      </c>
      <c r="AQS538" s="22" t="e">
        <f ca="1"/>
        <v>#N/A</v>
      </c>
      <c r="AQT538" s="22" t="e">
        <f ca="1"/>
        <v>#N/A</v>
      </c>
      <c r="AQU538" s="22" t="e">
        <f ca="1"/>
        <v>#N/A</v>
      </c>
      <c r="AQV538" s="22" t="e">
        <f ca="1"/>
        <v>#N/A</v>
      </c>
      <c r="AQW538" s="22" t="e">
        <f ca="1"/>
        <v>#N/A</v>
      </c>
      <c r="AQX538" s="22" t="e">
        <f ca="1"/>
        <v>#N/A</v>
      </c>
      <c r="AQY538" s="22" t="e">
        <f ca="1"/>
        <v>#N/A</v>
      </c>
      <c r="AQZ538" s="22" t="e">
        <f ca="1"/>
        <v>#N/A</v>
      </c>
      <c r="ARA538" s="22" t="e">
        <f ca="1"/>
        <v>#N/A</v>
      </c>
      <c r="ARB538" s="22" t="e">
        <f ca="1"/>
        <v>#N/A</v>
      </c>
      <c r="ARC538" s="22" t="e">
        <f ca="1"/>
        <v>#N/A</v>
      </c>
      <c r="ARD538" s="22" t="e">
        <f ca="1"/>
        <v>#N/A</v>
      </c>
      <c r="ARE538" s="22" t="e">
        <f ca="1"/>
        <v>#N/A</v>
      </c>
      <c r="ARF538" s="22" t="e">
        <f ca="1"/>
        <v>#N/A</v>
      </c>
      <c r="ARG538" s="22" t="e">
        <f ca="1"/>
        <v>#N/A</v>
      </c>
      <c r="ARH538" s="22" t="e">
        <f ca="1"/>
        <v>#N/A</v>
      </c>
      <c r="ARI538" s="22" t="e">
        <f ca="1"/>
        <v>#N/A</v>
      </c>
      <c r="ARJ538" s="22" t="e">
        <f ca="1"/>
        <v>#N/A</v>
      </c>
      <c r="ARK538" s="22" t="e">
        <f ca="1"/>
        <v>#N/A</v>
      </c>
      <c r="ARL538" s="22" t="e">
        <f ca="1"/>
        <v>#N/A</v>
      </c>
      <c r="ARM538" s="22" t="e">
        <f ca="1"/>
        <v>#N/A</v>
      </c>
      <c r="ARN538" s="22" t="e">
        <f ca="1"/>
        <v>#N/A</v>
      </c>
      <c r="ARO538" s="22" t="e">
        <f ca="1"/>
        <v>#N/A</v>
      </c>
      <c r="ARP538" s="22" t="e">
        <f ca="1"/>
        <v>#N/A</v>
      </c>
      <c r="ARQ538" s="22" t="e">
        <f ca="1"/>
        <v>#N/A</v>
      </c>
      <c r="ARR538" s="22" t="e">
        <f ca="1"/>
        <v>#N/A</v>
      </c>
      <c r="ARS538" s="22" t="e">
        <f ca="1"/>
        <v>#N/A</v>
      </c>
      <c r="ART538" s="22" t="e">
        <f ca="1"/>
        <v>#N/A</v>
      </c>
      <c r="ARU538" s="22" t="e">
        <f ca="1"/>
        <v>#N/A</v>
      </c>
      <c r="ARV538" s="22" t="e">
        <f ca="1"/>
        <v>#N/A</v>
      </c>
      <c r="ARW538" s="22" t="e">
        <f ca="1"/>
        <v>#N/A</v>
      </c>
      <c r="ARX538" s="22" t="e">
        <f ca="1"/>
        <v>#N/A</v>
      </c>
      <c r="ARY538" s="22" t="e">
        <f ca="1"/>
        <v>#N/A</v>
      </c>
      <c r="ARZ538" s="22" t="e">
        <f ca="1"/>
        <v>#N/A</v>
      </c>
      <c r="ASA538" s="22" t="e">
        <f ca="1"/>
        <v>#N/A</v>
      </c>
      <c r="ASB538" s="22" t="e">
        <f ca="1"/>
        <v>#N/A</v>
      </c>
      <c r="ASC538" s="22" t="e">
        <f ca="1"/>
        <v>#N/A</v>
      </c>
      <c r="ASD538" s="22" t="e">
        <f ca="1"/>
        <v>#N/A</v>
      </c>
      <c r="ASE538" s="22" t="e">
        <f ca="1"/>
        <v>#N/A</v>
      </c>
      <c r="ASF538" s="22" t="e">
        <f ca="1"/>
        <v>#N/A</v>
      </c>
      <c r="ASG538" s="22" t="e">
        <f ca="1"/>
        <v>#N/A</v>
      </c>
      <c r="ASH538" s="22" t="e">
        <f ca="1"/>
        <v>#N/A</v>
      </c>
      <c r="ASI538" s="22" t="e">
        <f ca="1"/>
        <v>#N/A</v>
      </c>
      <c r="ASJ538" s="22" t="e">
        <f ca="1"/>
        <v>#N/A</v>
      </c>
      <c r="ASK538" s="22" t="e">
        <f ca="1"/>
        <v>#N/A</v>
      </c>
      <c r="ASL538" s="22" t="e">
        <f ca="1"/>
        <v>#N/A</v>
      </c>
      <c r="ASM538" s="22" t="e">
        <f ca="1"/>
        <v>#N/A</v>
      </c>
      <c r="ASN538" s="22" t="e">
        <f ca="1"/>
        <v>#N/A</v>
      </c>
      <c r="ASO538" s="22" t="e">
        <f ca="1"/>
        <v>#N/A</v>
      </c>
      <c r="ASP538" s="22" t="e">
        <f ca="1"/>
        <v>#N/A</v>
      </c>
      <c r="ASQ538" s="22" t="e">
        <f ca="1"/>
        <v>#N/A</v>
      </c>
      <c r="ASR538" s="22" t="e">
        <f ca="1"/>
        <v>#N/A</v>
      </c>
      <c r="ASS538" s="22" t="e">
        <f ca="1"/>
        <v>#N/A</v>
      </c>
      <c r="AST538" s="22" t="e">
        <f ca="1"/>
        <v>#N/A</v>
      </c>
      <c r="ASU538" s="22" t="e">
        <f ca="1"/>
        <v>#N/A</v>
      </c>
      <c r="ASV538" s="22" t="e">
        <f ca="1"/>
        <v>#N/A</v>
      </c>
      <c r="ASW538" s="22" t="e">
        <f ca="1"/>
        <v>#N/A</v>
      </c>
      <c r="ASX538" s="22" t="e">
        <f ca="1"/>
        <v>#N/A</v>
      </c>
      <c r="ASY538" s="22" t="e">
        <f ca="1"/>
        <v>#N/A</v>
      </c>
      <c r="ASZ538" s="22" t="e">
        <f ca="1"/>
        <v>#N/A</v>
      </c>
      <c r="ATA538" s="22" t="e">
        <f ca="1"/>
        <v>#N/A</v>
      </c>
      <c r="ATB538" s="22" t="e">
        <f ca="1"/>
        <v>#N/A</v>
      </c>
      <c r="ATC538" s="22" t="e">
        <f ca="1"/>
        <v>#N/A</v>
      </c>
      <c r="ATD538" s="22" t="e">
        <f ca="1"/>
        <v>#N/A</v>
      </c>
      <c r="ATE538" s="22" t="e">
        <f ca="1"/>
        <v>#N/A</v>
      </c>
      <c r="ATF538" s="22" t="e">
        <f ca="1"/>
        <v>#N/A</v>
      </c>
      <c r="ATG538" s="22" t="e">
        <f ca="1"/>
        <v>#N/A</v>
      </c>
      <c r="ATH538" s="22" t="e">
        <f ca="1"/>
        <v>#N/A</v>
      </c>
      <c r="ATI538" s="22" t="e">
        <f ca="1"/>
        <v>#N/A</v>
      </c>
      <c r="ATJ538" s="22" t="e">
        <f ca="1"/>
        <v>#N/A</v>
      </c>
      <c r="ATK538" s="22" t="e">
        <f ca="1"/>
        <v>#N/A</v>
      </c>
      <c r="ATL538" s="22" t="e">
        <f ca="1"/>
        <v>#N/A</v>
      </c>
      <c r="ATM538" s="22" t="e">
        <f ca="1"/>
        <v>#N/A</v>
      </c>
      <c r="ATN538" s="22" t="e">
        <f ca="1"/>
        <v>#N/A</v>
      </c>
      <c r="ATO538" s="22" t="e">
        <f ca="1"/>
        <v>#N/A</v>
      </c>
      <c r="ATP538" s="22" t="e">
        <f ca="1"/>
        <v>#N/A</v>
      </c>
      <c r="ATQ538" s="22" t="e">
        <f ca="1"/>
        <v>#N/A</v>
      </c>
      <c r="ATR538" s="22" t="e">
        <f ca="1"/>
        <v>#N/A</v>
      </c>
      <c r="ATS538" s="22" t="e">
        <f ca="1"/>
        <v>#N/A</v>
      </c>
      <c r="ATT538" s="22" t="e">
        <f ca="1"/>
        <v>#N/A</v>
      </c>
      <c r="ATU538" s="22" t="e">
        <f ca="1"/>
        <v>#N/A</v>
      </c>
      <c r="ATV538" s="22" t="e">
        <f ca="1"/>
        <v>#N/A</v>
      </c>
      <c r="ATW538" s="22" t="e">
        <f ca="1"/>
        <v>#N/A</v>
      </c>
      <c r="ATX538" s="22" t="e">
        <f ca="1"/>
        <v>#N/A</v>
      </c>
      <c r="ATY538" s="22" t="e">
        <f ca="1"/>
        <v>#N/A</v>
      </c>
      <c r="ATZ538" s="22" t="e">
        <f ca="1"/>
        <v>#N/A</v>
      </c>
      <c r="AUA538" s="22" t="e">
        <f ca="1"/>
        <v>#N/A</v>
      </c>
      <c r="AUB538" s="22" t="e">
        <f ca="1"/>
        <v>#N/A</v>
      </c>
      <c r="AUC538" s="22" t="e">
        <f ca="1"/>
        <v>#N/A</v>
      </c>
      <c r="AUD538" s="22" t="e">
        <f ca="1"/>
        <v>#N/A</v>
      </c>
      <c r="AUE538" s="22" t="e">
        <f ca="1"/>
        <v>#N/A</v>
      </c>
      <c r="AUF538" s="22" t="e">
        <f ca="1"/>
        <v>#N/A</v>
      </c>
      <c r="AUG538" s="22" t="e">
        <f ca="1"/>
        <v>#N/A</v>
      </c>
      <c r="AUH538" s="22" t="e">
        <f ca="1"/>
        <v>#N/A</v>
      </c>
      <c r="AUI538" s="22" t="e">
        <f ca="1"/>
        <v>#N/A</v>
      </c>
      <c r="AUJ538" s="22" t="e">
        <f ca="1"/>
        <v>#N/A</v>
      </c>
      <c r="AUK538" s="22" t="e">
        <f ca="1"/>
        <v>#N/A</v>
      </c>
      <c r="AUL538" s="22" t="e">
        <f ca="1"/>
        <v>#N/A</v>
      </c>
      <c r="AUM538" s="22" t="e">
        <f ca="1"/>
        <v>#N/A</v>
      </c>
      <c r="AUN538" s="22" t="e">
        <f ca="1"/>
        <v>#N/A</v>
      </c>
      <c r="AUO538" s="22" t="e">
        <f ca="1"/>
        <v>#N/A</v>
      </c>
      <c r="AUP538" s="22" t="e">
        <f ca="1"/>
        <v>#N/A</v>
      </c>
      <c r="AUQ538" s="22" t="e">
        <f ca="1"/>
        <v>#N/A</v>
      </c>
      <c r="AUR538" s="22" t="e">
        <f ca="1"/>
        <v>#N/A</v>
      </c>
      <c r="AUS538" s="22" t="e">
        <f ca="1"/>
        <v>#N/A</v>
      </c>
      <c r="AUT538" s="22" t="e">
        <f ca="1"/>
        <v>#N/A</v>
      </c>
      <c r="AUU538" s="22" t="e">
        <f ca="1"/>
        <v>#N/A</v>
      </c>
      <c r="AUV538" s="22" t="e">
        <f ca="1"/>
        <v>#N/A</v>
      </c>
      <c r="AUW538" s="22" t="e">
        <f ca="1"/>
        <v>#N/A</v>
      </c>
      <c r="AUX538" s="22" t="e">
        <f ca="1"/>
        <v>#N/A</v>
      </c>
      <c r="AUY538" s="22" t="e">
        <f ca="1"/>
        <v>#N/A</v>
      </c>
      <c r="AUZ538" s="22" t="e">
        <f ca="1"/>
        <v>#N/A</v>
      </c>
      <c r="AVA538" s="22" t="e">
        <f ca="1"/>
        <v>#N/A</v>
      </c>
      <c r="AVB538" s="22" t="e">
        <f ca="1"/>
        <v>#N/A</v>
      </c>
      <c r="AVC538" s="22" t="e">
        <f ca="1"/>
        <v>#N/A</v>
      </c>
      <c r="AVD538" s="22" t="e">
        <f ca="1"/>
        <v>#N/A</v>
      </c>
      <c r="AVE538" s="22" t="e">
        <f ca="1"/>
        <v>#N/A</v>
      </c>
      <c r="AVF538" s="22" t="e">
        <f ca="1"/>
        <v>#N/A</v>
      </c>
      <c r="AVG538" s="22" t="e">
        <f ca="1"/>
        <v>#N/A</v>
      </c>
      <c r="AVH538" s="22" t="e">
        <f ca="1"/>
        <v>#N/A</v>
      </c>
      <c r="AVI538" s="22" t="e">
        <f ca="1"/>
        <v>#N/A</v>
      </c>
      <c r="AVJ538" s="22" t="e">
        <f ca="1"/>
        <v>#N/A</v>
      </c>
      <c r="AVK538" s="22" t="e">
        <f ca="1"/>
        <v>#N/A</v>
      </c>
      <c r="AVL538" s="22" t="e">
        <f ca="1"/>
        <v>#N/A</v>
      </c>
      <c r="AVM538" s="22" t="e">
        <f ca="1"/>
        <v>#N/A</v>
      </c>
      <c r="AVN538" s="22" t="e">
        <f ca="1"/>
        <v>#N/A</v>
      </c>
      <c r="AVO538" s="22" t="e">
        <f ca="1"/>
        <v>#N/A</v>
      </c>
      <c r="AVP538" s="22" t="e">
        <f ca="1"/>
        <v>#N/A</v>
      </c>
      <c r="AVQ538" s="22" t="e">
        <f ca="1"/>
        <v>#N/A</v>
      </c>
      <c r="AVR538" s="22" t="e">
        <f ca="1"/>
        <v>#N/A</v>
      </c>
      <c r="AVS538" s="22" t="e">
        <f ca="1"/>
        <v>#N/A</v>
      </c>
      <c r="AVT538" s="22" t="e">
        <f ca="1"/>
        <v>#N/A</v>
      </c>
      <c r="AVU538" s="22" t="e">
        <f ca="1"/>
        <v>#N/A</v>
      </c>
      <c r="AVV538" s="22" t="e">
        <f ca="1"/>
        <v>#N/A</v>
      </c>
      <c r="AVW538" s="22" t="e">
        <f ca="1"/>
        <v>#N/A</v>
      </c>
      <c r="AVX538" s="22" t="e">
        <f ca="1"/>
        <v>#N/A</v>
      </c>
      <c r="AVY538" s="22" t="e">
        <f ca="1"/>
        <v>#N/A</v>
      </c>
      <c r="AVZ538" s="22" t="e">
        <f ca="1"/>
        <v>#N/A</v>
      </c>
      <c r="AWA538" s="22" t="e">
        <f ca="1"/>
        <v>#N/A</v>
      </c>
      <c r="AWB538" s="22" t="e">
        <f ca="1"/>
        <v>#N/A</v>
      </c>
      <c r="AWC538" s="22" t="e">
        <f ca="1"/>
        <v>#N/A</v>
      </c>
      <c r="AWD538" s="22" t="e">
        <f ca="1"/>
        <v>#N/A</v>
      </c>
      <c r="AWE538" s="22" t="e">
        <f ca="1"/>
        <v>#N/A</v>
      </c>
      <c r="AWF538" s="22" t="e">
        <f ca="1"/>
        <v>#N/A</v>
      </c>
      <c r="AWG538" s="22" t="e">
        <f ca="1"/>
        <v>#N/A</v>
      </c>
      <c r="AWH538" s="22" t="e">
        <f ca="1"/>
        <v>#N/A</v>
      </c>
      <c r="AWI538" s="22" t="e">
        <f ca="1"/>
        <v>#N/A</v>
      </c>
      <c r="AWJ538" s="22" t="e">
        <f ca="1"/>
        <v>#N/A</v>
      </c>
      <c r="AWK538" s="22" t="e">
        <f ca="1"/>
        <v>#N/A</v>
      </c>
      <c r="AWL538" s="22" t="e">
        <f ca="1"/>
        <v>#N/A</v>
      </c>
      <c r="AWM538" s="22" t="e">
        <f ca="1"/>
        <v>#N/A</v>
      </c>
      <c r="AWN538" s="22" t="e">
        <f ca="1"/>
        <v>#N/A</v>
      </c>
      <c r="AWO538" s="22" t="e">
        <f ca="1"/>
        <v>#N/A</v>
      </c>
      <c r="AWP538" s="22" t="e">
        <f ca="1"/>
        <v>#N/A</v>
      </c>
      <c r="AWQ538" s="22" t="e">
        <f ca="1"/>
        <v>#N/A</v>
      </c>
      <c r="AWR538" s="22" t="e">
        <f ca="1"/>
        <v>#N/A</v>
      </c>
      <c r="AWS538" s="22" t="e">
        <f ca="1"/>
        <v>#N/A</v>
      </c>
      <c r="AWT538" s="22" t="e">
        <f ca="1"/>
        <v>#N/A</v>
      </c>
      <c r="AWU538" s="22" t="e">
        <f ca="1"/>
        <v>#N/A</v>
      </c>
      <c r="AWV538" s="22" t="e">
        <f ca="1"/>
        <v>#N/A</v>
      </c>
      <c r="AWW538" s="22" t="e">
        <f ca="1"/>
        <v>#N/A</v>
      </c>
      <c r="AWX538" s="22" t="e">
        <f ca="1"/>
        <v>#N/A</v>
      </c>
      <c r="AWY538" s="22" t="e">
        <f ca="1"/>
        <v>#N/A</v>
      </c>
      <c r="AWZ538" s="22" t="e">
        <f ca="1"/>
        <v>#N/A</v>
      </c>
      <c r="AXA538" s="22" t="e">
        <f ca="1"/>
        <v>#N/A</v>
      </c>
      <c r="AXB538" s="22" t="e">
        <f ca="1"/>
        <v>#N/A</v>
      </c>
      <c r="AXC538" s="22" t="e">
        <f ca="1"/>
        <v>#N/A</v>
      </c>
      <c r="AXD538" s="22" t="e">
        <f ca="1"/>
        <v>#N/A</v>
      </c>
      <c r="AXE538" s="22" t="e">
        <f ca="1"/>
        <v>#N/A</v>
      </c>
      <c r="AXF538" s="22" t="e">
        <f ca="1"/>
        <v>#N/A</v>
      </c>
      <c r="AXG538" s="22" t="e">
        <f ca="1"/>
        <v>#N/A</v>
      </c>
      <c r="AXH538" s="22" t="e">
        <f ca="1"/>
        <v>#N/A</v>
      </c>
      <c r="AXI538" s="22" t="e">
        <f ca="1"/>
        <v>#N/A</v>
      </c>
      <c r="AXJ538" s="22" t="e">
        <f ca="1"/>
        <v>#N/A</v>
      </c>
      <c r="AXK538" s="22" t="e">
        <f ca="1"/>
        <v>#N/A</v>
      </c>
      <c r="AXL538" s="22" t="e">
        <f ca="1"/>
        <v>#N/A</v>
      </c>
      <c r="AXM538" s="22" t="e">
        <f ca="1"/>
        <v>#N/A</v>
      </c>
      <c r="AXN538" s="22" t="e">
        <f ca="1"/>
        <v>#N/A</v>
      </c>
      <c r="AXO538" s="22" t="e">
        <f ca="1"/>
        <v>#N/A</v>
      </c>
      <c r="AXP538" s="22" t="e">
        <f ca="1"/>
        <v>#N/A</v>
      </c>
      <c r="AXQ538" s="22" t="e">
        <f ca="1"/>
        <v>#N/A</v>
      </c>
      <c r="AXR538" s="22" t="e">
        <f ca="1"/>
        <v>#N/A</v>
      </c>
      <c r="AXS538" s="22" t="e">
        <f ca="1"/>
        <v>#N/A</v>
      </c>
      <c r="AXT538" s="22" t="e">
        <f ca="1"/>
        <v>#N/A</v>
      </c>
      <c r="AXU538" s="22" t="e">
        <f ca="1"/>
        <v>#N/A</v>
      </c>
      <c r="AXV538" s="22" t="e">
        <f ca="1"/>
        <v>#N/A</v>
      </c>
      <c r="AXW538" s="22" t="e">
        <f ca="1"/>
        <v>#N/A</v>
      </c>
      <c r="AXX538" s="22" t="e">
        <f ca="1"/>
        <v>#N/A</v>
      </c>
      <c r="AXY538" s="22" t="e">
        <f ca="1"/>
        <v>#N/A</v>
      </c>
      <c r="AXZ538" s="22" t="e">
        <f ca="1"/>
        <v>#N/A</v>
      </c>
      <c r="AYA538" s="22" t="e">
        <f ca="1"/>
        <v>#N/A</v>
      </c>
      <c r="AYB538" s="22" t="e">
        <f ca="1"/>
        <v>#N/A</v>
      </c>
      <c r="AYC538" s="22" t="e">
        <f ca="1"/>
        <v>#N/A</v>
      </c>
      <c r="AYD538" s="22" t="e">
        <f ca="1"/>
        <v>#N/A</v>
      </c>
      <c r="AYE538" s="22" t="e">
        <f ca="1"/>
        <v>#N/A</v>
      </c>
      <c r="AYF538" s="22" t="e">
        <f ca="1"/>
        <v>#N/A</v>
      </c>
      <c r="AYG538" s="22" t="e">
        <f ca="1"/>
        <v>#N/A</v>
      </c>
      <c r="AYH538" s="22" t="e">
        <f ca="1"/>
        <v>#N/A</v>
      </c>
      <c r="AYI538" s="22" t="e">
        <f ca="1"/>
        <v>#N/A</v>
      </c>
      <c r="AYJ538" s="22" t="e">
        <f ca="1"/>
        <v>#N/A</v>
      </c>
      <c r="AYK538" s="22" t="e">
        <f ca="1"/>
        <v>#N/A</v>
      </c>
      <c r="AYL538" s="22" t="e">
        <f ca="1"/>
        <v>#N/A</v>
      </c>
      <c r="AYM538" s="22" t="e">
        <f ca="1"/>
        <v>#N/A</v>
      </c>
      <c r="AYN538" s="22" t="e">
        <f ca="1"/>
        <v>#N/A</v>
      </c>
      <c r="AYO538" s="22" t="e">
        <f ca="1"/>
        <v>#N/A</v>
      </c>
      <c r="AYP538" s="22" t="e">
        <f ca="1"/>
        <v>#N/A</v>
      </c>
      <c r="AYQ538" s="22" t="e">
        <f ca="1"/>
        <v>#N/A</v>
      </c>
      <c r="AYR538" s="22" t="e">
        <f ca="1"/>
        <v>#N/A</v>
      </c>
      <c r="AYS538" s="22" t="e">
        <f ca="1"/>
        <v>#N/A</v>
      </c>
      <c r="AYT538" s="22" t="e">
        <f ca="1"/>
        <v>#N/A</v>
      </c>
      <c r="AYU538" s="22" t="e">
        <f ca="1"/>
        <v>#N/A</v>
      </c>
      <c r="AYV538" s="22" t="e">
        <f ca="1"/>
        <v>#N/A</v>
      </c>
      <c r="AYW538" s="22" t="e">
        <f ca="1"/>
        <v>#N/A</v>
      </c>
      <c r="AYX538" s="22" t="e">
        <f ca="1"/>
        <v>#N/A</v>
      </c>
      <c r="AYY538" s="22" t="e">
        <f ca="1"/>
        <v>#N/A</v>
      </c>
      <c r="AYZ538" s="22" t="e">
        <f ca="1"/>
        <v>#N/A</v>
      </c>
      <c r="AZA538" s="22" t="e">
        <f ca="1"/>
        <v>#N/A</v>
      </c>
      <c r="AZB538" s="22" t="e">
        <f ca="1"/>
        <v>#N/A</v>
      </c>
      <c r="AZC538" s="22" t="e">
        <f ca="1"/>
        <v>#N/A</v>
      </c>
      <c r="AZD538" s="22" t="e">
        <f ca="1"/>
        <v>#N/A</v>
      </c>
      <c r="AZE538" s="22" t="e">
        <f ca="1"/>
        <v>#N/A</v>
      </c>
      <c r="AZF538" s="22" t="e">
        <f ca="1"/>
        <v>#N/A</v>
      </c>
      <c r="AZG538" s="22" t="e">
        <f ca="1"/>
        <v>#N/A</v>
      </c>
      <c r="AZH538" s="22" t="e">
        <f ca="1"/>
        <v>#N/A</v>
      </c>
      <c r="AZI538" s="22" t="e">
        <f ca="1"/>
        <v>#N/A</v>
      </c>
      <c r="AZJ538" s="22" t="e">
        <f ca="1"/>
        <v>#N/A</v>
      </c>
      <c r="AZK538" s="22" t="e">
        <f ca="1"/>
        <v>#N/A</v>
      </c>
      <c r="AZL538" s="22" t="e">
        <f ca="1"/>
        <v>#N/A</v>
      </c>
      <c r="AZM538" s="22" t="e">
        <f ca="1"/>
        <v>#N/A</v>
      </c>
      <c r="AZN538" s="22" t="e">
        <f ca="1"/>
        <v>#N/A</v>
      </c>
      <c r="AZO538" s="22" t="e">
        <f ca="1"/>
        <v>#N/A</v>
      </c>
      <c r="AZP538" s="22" t="e">
        <f ca="1"/>
        <v>#N/A</v>
      </c>
      <c r="AZQ538" s="22" t="e">
        <f ca="1"/>
        <v>#N/A</v>
      </c>
      <c r="AZR538" s="22" t="e">
        <f ca="1"/>
        <v>#N/A</v>
      </c>
      <c r="AZS538" s="22" t="e">
        <f ca="1"/>
        <v>#N/A</v>
      </c>
      <c r="AZT538" s="22" t="e">
        <f ca="1"/>
        <v>#N/A</v>
      </c>
      <c r="AZU538" s="22" t="e">
        <f ca="1"/>
        <v>#N/A</v>
      </c>
      <c r="AZV538" s="22" t="e">
        <f ca="1"/>
        <v>#N/A</v>
      </c>
      <c r="AZW538" s="22" t="e">
        <f ca="1"/>
        <v>#N/A</v>
      </c>
      <c r="AZX538" s="22" t="e">
        <f ca="1"/>
        <v>#N/A</v>
      </c>
      <c r="AZY538" s="22" t="e">
        <f ca="1"/>
        <v>#N/A</v>
      </c>
      <c r="AZZ538" s="22" t="e">
        <f ca="1"/>
        <v>#N/A</v>
      </c>
      <c r="BAA538" s="22" t="e">
        <f ca="1"/>
        <v>#N/A</v>
      </c>
      <c r="BAB538" s="22" t="e">
        <f ca="1"/>
        <v>#N/A</v>
      </c>
      <c r="BAC538" s="22" t="e">
        <f ca="1"/>
        <v>#N/A</v>
      </c>
      <c r="BAD538" s="22" t="e">
        <f ca="1"/>
        <v>#N/A</v>
      </c>
      <c r="BAE538" s="22" t="e">
        <f ca="1"/>
        <v>#N/A</v>
      </c>
      <c r="BAF538" s="22" t="e">
        <f ca="1"/>
        <v>#N/A</v>
      </c>
      <c r="BAG538" s="22" t="e">
        <f ca="1"/>
        <v>#N/A</v>
      </c>
      <c r="BAH538" s="22" t="e">
        <f ca="1"/>
        <v>#N/A</v>
      </c>
      <c r="BAI538" s="22" t="e">
        <f ca="1"/>
        <v>#N/A</v>
      </c>
      <c r="BAJ538" s="22" t="e">
        <f ca="1"/>
        <v>#N/A</v>
      </c>
      <c r="BAK538" s="22" t="e">
        <f ca="1"/>
        <v>#N/A</v>
      </c>
      <c r="BAL538" s="22" t="e">
        <f ca="1"/>
        <v>#N/A</v>
      </c>
      <c r="BAM538" s="22" t="e">
        <f ca="1"/>
        <v>#N/A</v>
      </c>
      <c r="BAN538" s="22" t="e">
        <f ca="1"/>
        <v>#N/A</v>
      </c>
      <c r="BAO538" s="22" t="e">
        <f ca="1"/>
        <v>#N/A</v>
      </c>
      <c r="BAP538" s="22" t="e">
        <f ca="1"/>
        <v>#N/A</v>
      </c>
      <c r="BAQ538" s="22" t="e">
        <f ca="1"/>
        <v>#N/A</v>
      </c>
      <c r="BAR538" s="22" t="e">
        <f ca="1"/>
        <v>#N/A</v>
      </c>
      <c r="BAS538" s="22" t="e">
        <f ca="1"/>
        <v>#N/A</v>
      </c>
      <c r="BAT538" s="22" t="e">
        <f ca="1"/>
        <v>#N/A</v>
      </c>
      <c r="BAU538" s="22" t="e">
        <f ca="1"/>
        <v>#N/A</v>
      </c>
      <c r="BAV538" s="22" t="e">
        <f ca="1"/>
        <v>#N/A</v>
      </c>
      <c r="BAW538" s="22" t="e">
        <f ca="1"/>
        <v>#N/A</v>
      </c>
      <c r="BAX538" s="22" t="e">
        <f ca="1"/>
        <v>#N/A</v>
      </c>
      <c r="BAY538" s="22" t="e">
        <f ca="1"/>
        <v>#N/A</v>
      </c>
      <c r="BAZ538" s="22" t="e">
        <f ca="1"/>
        <v>#N/A</v>
      </c>
      <c r="BBA538" s="22" t="e">
        <f ca="1"/>
        <v>#N/A</v>
      </c>
      <c r="BBB538" s="22" t="e">
        <f ca="1"/>
        <v>#N/A</v>
      </c>
      <c r="BBC538" s="22" t="e">
        <f ca="1"/>
        <v>#N/A</v>
      </c>
      <c r="BBD538" s="22" t="e">
        <f ca="1"/>
        <v>#N/A</v>
      </c>
      <c r="BBE538" s="22" t="e">
        <f ca="1"/>
        <v>#N/A</v>
      </c>
      <c r="BBF538" s="22" t="e">
        <f ca="1"/>
        <v>#N/A</v>
      </c>
      <c r="BBG538" s="22" t="e">
        <f ca="1"/>
        <v>#N/A</v>
      </c>
      <c r="BBH538" s="22" t="e">
        <f ca="1"/>
        <v>#N/A</v>
      </c>
      <c r="BBI538" s="22" t="e">
        <f ca="1"/>
        <v>#N/A</v>
      </c>
      <c r="BBJ538" s="22" t="e">
        <f ca="1"/>
        <v>#N/A</v>
      </c>
      <c r="BBK538" s="22" t="e">
        <f ca="1"/>
        <v>#N/A</v>
      </c>
      <c r="BBL538" s="22" t="e">
        <f ca="1"/>
        <v>#N/A</v>
      </c>
      <c r="BBM538" s="22" t="e">
        <f ca="1"/>
        <v>#N/A</v>
      </c>
      <c r="BBN538" s="22" t="e">
        <f ca="1"/>
        <v>#N/A</v>
      </c>
      <c r="BBO538" s="22" t="e">
        <f ca="1"/>
        <v>#N/A</v>
      </c>
      <c r="BBP538" s="22" t="e">
        <f ca="1"/>
        <v>#N/A</v>
      </c>
      <c r="BBQ538" s="22" t="e">
        <f ca="1"/>
        <v>#N/A</v>
      </c>
      <c r="BBR538" s="22" t="e">
        <f ca="1"/>
        <v>#N/A</v>
      </c>
      <c r="BBS538" s="22" t="e">
        <f ca="1"/>
        <v>#N/A</v>
      </c>
      <c r="BBT538" s="22" t="e">
        <f ca="1"/>
        <v>#N/A</v>
      </c>
      <c r="BBU538" s="22" t="e">
        <f ca="1"/>
        <v>#N/A</v>
      </c>
      <c r="BBV538" s="22" t="e">
        <f ca="1"/>
        <v>#N/A</v>
      </c>
      <c r="BBW538" s="22" t="e">
        <f ca="1"/>
        <v>#N/A</v>
      </c>
      <c r="BBX538" s="22" t="e">
        <f ca="1"/>
        <v>#N/A</v>
      </c>
      <c r="BBY538" s="22" t="e">
        <f ca="1"/>
        <v>#N/A</v>
      </c>
      <c r="BBZ538" s="22" t="e">
        <f ca="1"/>
        <v>#N/A</v>
      </c>
      <c r="BCA538" s="22" t="e">
        <f ca="1"/>
        <v>#N/A</v>
      </c>
      <c r="BCB538" s="22" t="e">
        <f ca="1"/>
        <v>#N/A</v>
      </c>
      <c r="BCC538" s="22" t="e">
        <f ca="1"/>
        <v>#N/A</v>
      </c>
      <c r="BCD538" s="22" t="e">
        <f ca="1"/>
        <v>#N/A</v>
      </c>
      <c r="BCE538" s="22" t="e">
        <f ca="1"/>
        <v>#N/A</v>
      </c>
      <c r="BCF538" s="22" t="e">
        <f ca="1"/>
        <v>#N/A</v>
      </c>
      <c r="BCG538" s="22" t="e">
        <f ca="1"/>
        <v>#N/A</v>
      </c>
      <c r="BCH538" s="22" t="e">
        <f ca="1"/>
        <v>#N/A</v>
      </c>
      <c r="BCI538" s="22" t="e">
        <f ca="1"/>
        <v>#N/A</v>
      </c>
      <c r="BCJ538" s="22" t="e">
        <f ca="1"/>
        <v>#N/A</v>
      </c>
      <c r="BCK538" s="22" t="e">
        <f ca="1"/>
        <v>#N/A</v>
      </c>
      <c r="BCL538" s="22" t="e">
        <f ca="1"/>
        <v>#N/A</v>
      </c>
      <c r="BCM538" s="22" t="e">
        <f ca="1"/>
        <v>#N/A</v>
      </c>
      <c r="BCN538" s="22" t="e">
        <f ca="1"/>
        <v>#N/A</v>
      </c>
      <c r="BCO538" s="22" t="e">
        <f ca="1"/>
        <v>#N/A</v>
      </c>
      <c r="BCP538" s="22" t="e">
        <f ca="1"/>
        <v>#N/A</v>
      </c>
      <c r="BCQ538" s="22" t="e">
        <f ca="1"/>
        <v>#N/A</v>
      </c>
      <c r="BCR538" s="22" t="e">
        <f ca="1"/>
        <v>#N/A</v>
      </c>
      <c r="BCS538" s="22" t="e">
        <f ca="1"/>
        <v>#N/A</v>
      </c>
      <c r="BCT538" s="22" t="e">
        <f ca="1"/>
        <v>#N/A</v>
      </c>
      <c r="BCU538" s="22" t="e">
        <f ca="1"/>
        <v>#N/A</v>
      </c>
      <c r="BCV538" s="22" t="e">
        <f ca="1"/>
        <v>#N/A</v>
      </c>
      <c r="BCW538" s="22" t="e">
        <f ca="1"/>
        <v>#N/A</v>
      </c>
      <c r="BCX538" s="22" t="e">
        <f ca="1"/>
        <v>#N/A</v>
      </c>
      <c r="BCY538" s="22" t="e">
        <f ca="1"/>
        <v>#N/A</v>
      </c>
      <c r="BCZ538" s="22" t="e">
        <f ca="1"/>
        <v>#N/A</v>
      </c>
      <c r="BDA538" s="22" t="e">
        <f ca="1"/>
        <v>#N/A</v>
      </c>
      <c r="BDB538" s="22" t="e">
        <f ca="1"/>
        <v>#N/A</v>
      </c>
      <c r="BDC538" s="22" t="e">
        <f ca="1"/>
        <v>#N/A</v>
      </c>
      <c r="BDD538" s="22" t="e">
        <f ca="1"/>
        <v>#N/A</v>
      </c>
      <c r="BDE538" s="22" t="e">
        <f ca="1"/>
        <v>#N/A</v>
      </c>
      <c r="BDF538" s="22" t="e">
        <f ca="1"/>
        <v>#N/A</v>
      </c>
      <c r="BDG538" s="22" t="e">
        <f ca="1"/>
        <v>#N/A</v>
      </c>
      <c r="BDH538" s="22" t="e">
        <f ca="1"/>
        <v>#N/A</v>
      </c>
      <c r="BDI538" s="22" t="e">
        <f ca="1"/>
        <v>#N/A</v>
      </c>
      <c r="BDJ538" s="22" t="e">
        <f ca="1"/>
        <v>#N/A</v>
      </c>
      <c r="BDK538" s="22" t="e">
        <f ca="1"/>
        <v>#N/A</v>
      </c>
      <c r="BDL538" s="22" t="e">
        <f ca="1"/>
        <v>#N/A</v>
      </c>
      <c r="BDM538" s="22" t="e">
        <f ca="1"/>
        <v>#N/A</v>
      </c>
      <c r="BDN538" s="22" t="e">
        <f ca="1"/>
        <v>#N/A</v>
      </c>
      <c r="BDO538" s="22" t="e">
        <f ca="1"/>
        <v>#N/A</v>
      </c>
      <c r="BDP538" s="22" t="e">
        <f ca="1"/>
        <v>#N/A</v>
      </c>
      <c r="BDQ538" s="22" t="e">
        <f ca="1"/>
        <v>#N/A</v>
      </c>
      <c r="BDR538" s="22" t="e">
        <f ca="1"/>
        <v>#N/A</v>
      </c>
      <c r="BDS538" s="22" t="e">
        <f ca="1"/>
        <v>#N/A</v>
      </c>
      <c r="BDT538" s="22" t="e">
        <f ca="1"/>
        <v>#N/A</v>
      </c>
      <c r="BDU538" s="22" t="e">
        <f ca="1"/>
        <v>#N/A</v>
      </c>
      <c r="BDV538" s="22" t="e">
        <f ca="1"/>
        <v>#N/A</v>
      </c>
      <c r="BDW538" s="22" t="e">
        <f ca="1"/>
        <v>#N/A</v>
      </c>
      <c r="BDX538" s="22" t="e">
        <f ca="1"/>
        <v>#N/A</v>
      </c>
      <c r="BDY538" s="22" t="e">
        <f ca="1"/>
        <v>#N/A</v>
      </c>
      <c r="BDZ538" s="22" t="e">
        <f ca="1"/>
        <v>#N/A</v>
      </c>
      <c r="BEA538" s="22" t="e">
        <f ca="1"/>
        <v>#N/A</v>
      </c>
      <c r="BEB538" s="22" t="e">
        <f ca="1"/>
        <v>#N/A</v>
      </c>
      <c r="BEC538" s="22" t="e">
        <f ca="1"/>
        <v>#N/A</v>
      </c>
      <c r="BED538" s="22" t="e">
        <f ca="1"/>
        <v>#N/A</v>
      </c>
      <c r="BEE538" s="22" t="e">
        <f ca="1"/>
        <v>#N/A</v>
      </c>
      <c r="BEF538" s="22" t="e">
        <f ca="1"/>
        <v>#N/A</v>
      </c>
      <c r="BEG538" s="22" t="e">
        <f ca="1"/>
        <v>#N/A</v>
      </c>
      <c r="BEH538" s="22" t="e">
        <f ca="1"/>
        <v>#N/A</v>
      </c>
      <c r="BEI538" s="22" t="e">
        <f ca="1"/>
        <v>#N/A</v>
      </c>
      <c r="BEJ538" s="22" t="e">
        <f ca="1"/>
        <v>#N/A</v>
      </c>
      <c r="BEK538" s="22" t="e">
        <f ca="1"/>
        <v>#N/A</v>
      </c>
      <c r="BEL538" s="22" t="e">
        <f ca="1"/>
        <v>#N/A</v>
      </c>
      <c r="BEM538" s="22" t="e">
        <f ca="1"/>
        <v>#N/A</v>
      </c>
      <c r="BEN538" s="22" t="e">
        <f ca="1"/>
        <v>#N/A</v>
      </c>
      <c r="BEO538" s="22" t="e">
        <f ca="1"/>
        <v>#N/A</v>
      </c>
      <c r="BEP538" s="22" t="e">
        <f ca="1"/>
        <v>#N/A</v>
      </c>
      <c r="BEQ538" s="22" t="e">
        <f ca="1"/>
        <v>#N/A</v>
      </c>
      <c r="BER538" s="22" t="e">
        <f ca="1"/>
        <v>#N/A</v>
      </c>
      <c r="BES538" s="22" t="e">
        <f ca="1"/>
        <v>#N/A</v>
      </c>
      <c r="BET538" s="22" t="e">
        <f ca="1"/>
        <v>#N/A</v>
      </c>
      <c r="BEU538" s="22" t="e">
        <f ca="1"/>
        <v>#N/A</v>
      </c>
      <c r="BEV538" s="22" t="e">
        <f ca="1"/>
        <v>#N/A</v>
      </c>
      <c r="BEW538" s="22" t="e">
        <f ca="1"/>
        <v>#N/A</v>
      </c>
      <c r="BEX538" s="22" t="e">
        <f ca="1"/>
        <v>#N/A</v>
      </c>
      <c r="BEY538" s="22" t="e">
        <f ca="1"/>
        <v>#N/A</v>
      </c>
      <c r="BEZ538" s="22" t="e">
        <f ca="1"/>
        <v>#N/A</v>
      </c>
      <c r="BFA538" s="22" t="e">
        <f ca="1"/>
        <v>#N/A</v>
      </c>
      <c r="BFB538" s="22" t="e">
        <f ca="1"/>
        <v>#N/A</v>
      </c>
      <c r="BFC538" s="22" t="e">
        <f ca="1"/>
        <v>#N/A</v>
      </c>
      <c r="BFD538" s="22" t="e">
        <f ca="1"/>
        <v>#N/A</v>
      </c>
      <c r="BFE538" s="22" t="e">
        <f ca="1"/>
        <v>#N/A</v>
      </c>
      <c r="BFF538" s="22" t="e">
        <f ca="1"/>
        <v>#N/A</v>
      </c>
      <c r="BFG538" s="22" t="e">
        <f ca="1"/>
        <v>#N/A</v>
      </c>
      <c r="BFH538" s="22" t="e">
        <f ca="1"/>
        <v>#N/A</v>
      </c>
      <c r="BFI538" s="22" t="e">
        <f ca="1"/>
        <v>#N/A</v>
      </c>
      <c r="BFJ538" s="22" t="e">
        <f ca="1"/>
        <v>#N/A</v>
      </c>
      <c r="BFK538" s="22" t="e">
        <f ca="1"/>
        <v>#N/A</v>
      </c>
      <c r="BFL538" s="22" t="e">
        <f ca="1"/>
        <v>#N/A</v>
      </c>
      <c r="BFM538" s="22" t="e">
        <f ca="1"/>
        <v>#N/A</v>
      </c>
      <c r="BFN538" s="22" t="e">
        <f ca="1"/>
        <v>#N/A</v>
      </c>
      <c r="BFO538" s="22" t="e">
        <f ca="1"/>
        <v>#N/A</v>
      </c>
      <c r="BFP538" s="22" t="e">
        <f ca="1"/>
        <v>#N/A</v>
      </c>
      <c r="BFQ538" s="22" t="e">
        <f ca="1"/>
        <v>#N/A</v>
      </c>
      <c r="BFR538" s="22" t="e">
        <f ca="1"/>
        <v>#N/A</v>
      </c>
      <c r="BFS538" s="22" t="e">
        <f ca="1"/>
        <v>#N/A</v>
      </c>
      <c r="BFT538" s="22" t="e">
        <f ca="1"/>
        <v>#N/A</v>
      </c>
      <c r="BFU538" s="22" t="e">
        <f ca="1"/>
        <v>#N/A</v>
      </c>
      <c r="BFV538" s="22" t="e">
        <f ca="1"/>
        <v>#N/A</v>
      </c>
      <c r="BFW538" s="22" t="e">
        <f ca="1"/>
        <v>#N/A</v>
      </c>
      <c r="BFX538" s="22" t="e">
        <f ca="1"/>
        <v>#N/A</v>
      </c>
      <c r="BFY538" s="22" t="e">
        <f ca="1"/>
        <v>#N/A</v>
      </c>
      <c r="BFZ538" s="22" t="e">
        <f ca="1"/>
        <v>#N/A</v>
      </c>
      <c r="BGA538" s="22" t="e">
        <f ca="1"/>
        <v>#N/A</v>
      </c>
      <c r="BGB538" s="22" t="e">
        <f ca="1"/>
        <v>#N/A</v>
      </c>
      <c r="BGC538" s="22" t="e">
        <f ca="1"/>
        <v>#N/A</v>
      </c>
      <c r="BGD538" s="22" t="e">
        <f ca="1"/>
        <v>#N/A</v>
      </c>
      <c r="BGE538" s="22" t="e">
        <f ca="1"/>
        <v>#N/A</v>
      </c>
      <c r="BGF538" s="22" t="e">
        <f ca="1"/>
        <v>#N/A</v>
      </c>
      <c r="BGG538" s="22" t="e">
        <f ca="1"/>
        <v>#N/A</v>
      </c>
      <c r="BGH538" s="22" t="e">
        <f ca="1"/>
        <v>#N/A</v>
      </c>
      <c r="BGI538" s="22" t="e">
        <f ca="1"/>
        <v>#N/A</v>
      </c>
      <c r="BGJ538" s="22" t="e">
        <f ca="1"/>
        <v>#N/A</v>
      </c>
      <c r="BGK538" s="22" t="e">
        <f ca="1"/>
        <v>#N/A</v>
      </c>
      <c r="BGL538" s="22" t="e">
        <f ca="1"/>
        <v>#N/A</v>
      </c>
      <c r="BGM538" s="22" t="e">
        <f ca="1"/>
        <v>#N/A</v>
      </c>
      <c r="BGN538" s="22" t="e">
        <f ca="1"/>
        <v>#N/A</v>
      </c>
      <c r="BGO538" s="22" t="e">
        <f ca="1"/>
        <v>#N/A</v>
      </c>
      <c r="BGP538" s="22" t="e">
        <f ca="1"/>
        <v>#N/A</v>
      </c>
      <c r="BGQ538" s="22" t="e">
        <f ca="1"/>
        <v>#N/A</v>
      </c>
      <c r="BGR538" s="22" t="e">
        <f ca="1"/>
        <v>#N/A</v>
      </c>
      <c r="BGS538" s="22" t="e">
        <f ca="1"/>
        <v>#N/A</v>
      </c>
      <c r="BGT538" s="22" t="e">
        <f ca="1"/>
        <v>#N/A</v>
      </c>
      <c r="BGU538" s="22" t="e">
        <f ca="1"/>
        <v>#N/A</v>
      </c>
      <c r="BGV538" s="22" t="e">
        <f ca="1"/>
        <v>#N/A</v>
      </c>
      <c r="BGW538" s="22" t="e">
        <f ca="1"/>
        <v>#N/A</v>
      </c>
      <c r="BGX538" s="22" t="e">
        <f ca="1"/>
        <v>#N/A</v>
      </c>
      <c r="BGY538" s="22" t="e">
        <f ca="1"/>
        <v>#N/A</v>
      </c>
      <c r="BGZ538" s="22" t="e">
        <f ca="1"/>
        <v>#N/A</v>
      </c>
      <c r="BHA538" s="22" t="e">
        <f ca="1"/>
        <v>#N/A</v>
      </c>
      <c r="BHB538" s="22" t="e">
        <f ca="1"/>
        <v>#N/A</v>
      </c>
      <c r="BHC538" s="22" t="e">
        <f ca="1"/>
        <v>#N/A</v>
      </c>
      <c r="BHD538" s="22" t="e">
        <f ca="1"/>
        <v>#N/A</v>
      </c>
      <c r="BHE538" s="22" t="e">
        <f ca="1"/>
        <v>#N/A</v>
      </c>
      <c r="BHF538" s="22" t="e">
        <f ca="1"/>
        <v>#N/A</v>
      </c>
      <c r="BHG538" s="22" t="e">
        <f ca="1"/>
        <v>#N/A</v>
      </c>
      <c r="BHH538" s="22" t="e">
        <f ca="1"/>
        <v>#N/A</v>
      </c>
      <c r="BHI538" s="22" t="e">
        <f ca="1"/>
        <v>#N/A</v>
      </c>
      <c r="BHJ538" s="22" t="e">
        <f ca="1"/>
        <v>#N/A</v>
      </c>
      <c r="BHK538" s="22" t="e">
        <f ca="1"/>
        <v>#N/A</v>
      </c>
      <c r="BHL538" s="22" t="e">
        <f ca="1"/>
        <v>#N/A</v>
      </c>
      <c r="BHM538" s="22" t="e">
        <f ca="1"/>
        <v>#N/A</v>
      </c>
      <c r="BHN538" s="22" t="e">
        <f ca="1"/>
        <v>#N/A</v>
      </c>
      <c r="BHO538" s="22" t="e">
        <f ca="1"/>
        <v>#N/A</v>
      </c>
      <c r="BHP538" s="22" t="e">
        <f ca="1"/>
        <v>#N/A</v>
      </c>
      <c r="BHQ538" s="22" t="e">
        <f ca="1"/>
        <v>#N/A</v>
      </c>
      <c r="BHR538" s="22" t="e">
        <f ca="1"/>
        <v>#N/A</v>
      </c>
      <c r="BHS538" s="22" t="e">
        <f ca="1"/>
        <v>#N/A</v>
      </c>
      <c r="BHT538" s="22" t="e">
        <f ca="1"/>
        <v>#N/A</v>
      </c>
      <c r="BHU538" s="22" t="e">
        <f ca="1"/>
        <v>#N/A</v>
      </c>
      <c r="BHV538" s="22" t="e">
        <f ca="1"/>
        <v>#N/A</v>
      </c>
      <c r="BHW538" s="22" t="e">
        <f ca="1"/>
        <v>#N/A</v>
      </c>
      <c r="BHX538" s="22" t="e">
        <f ca="1"/>
        <v>#N/A</v>
      </c>
      <c r="BHY538" s="22" t="e">
        <f ca="1"/>
        <v>#N/A</v>
      </c>
      <c r="BHZ538" s="22" t="e">
        <f ca="1"/>
        <v>#N/A</v>
      </c>
      <c r="BIA538" s="22" t="e">
        <f ca="1"/>
        <v>#N/A</v>
      </c>
      <c r="BIB538" s="22" t="e">
        <f ca="1"/>
        <v>#N/A</v>
      </c>
      <c r="BIC538" s="22" t="e">
        <f ca="1"/>
        <v>#N/A</v>
      </c>
      <c r="BID538" s="22" t="e">
        <f ca="1"/>
        <v>#N/A</v>
      </c>
      <c r="BIE538" s="22" t="e">
        <f ca="1"/>
        <v>#N/A</v>
      </c>
      <c r="BIF538" s="22" t="e">
        <f ca="1"/>
        <v>#N/A</v>
      </c>
      <c r="BIG538" s="22" t="e">
        <f ca="1"/>
        <v>#N/A</v>
      </c>
      <c r="BIH538" s="22" t="e">
        <f ca="1"/>
        <v>#N/A</v>
      </c>
      <c r="BII538" s="22" t="e">
        <f ca="1"/>
        <v>#N/A</v>
      </c>
      <c r="BIJ538" s="22" t="e">
        <f ca="1"/>
        <v>#N/A</v>
      </c>
      <c r="BIK538" s="22" t="e">
        <f ca="1"/>
        <v>#N/A</v>
      </c>
      <c r="BIL538" s="22" t="e">
        <f ca="1"/>
        <v>#N/A</v>
      </c>
      <c r="BIM538" s="22" t="e">
        <f ca="1"/>
        <v>#N/A</v>
      </c>
      <c r="BIN538" s="22" t="e">
        <f ca="1"/>
        <v>#N/A</v>
      </c>
      <c r="BIO538" s="22" t="e">
        <f ca="1"/>
        <v>#N/A</v>
      </c>
      <c r="BIP538" s="22" t="e">
        <f ca="1"/>
        <v>#N/A</v>
      </c>
      <c r="BIQ538" s="22" t="e">
        <f ca="1"/>
        <v>#N/A</v>
      </c>
      <c r="BIR538" s="22" t="e">
        <f ca="1"/>
        <v>#N/A</v>
      </c>
      <c r="BIS538" s="22" t="e">
        <f ca="1"/>
        <v>#N/A</v>
      </c>
      <c r="BIT538" s="22" t="e">
        <f ca="1"/>
        <v>#N/A</v>
      </c>
      <c r="BIU538" s="22" t="e">
        <f ca="1"/>
        <v>#N/A</v>
      </c>
      <c r="BIV538" s="22" t="e">
        <f ca="1"/>
        <v>#N/A</v>
      </c>
      <c r="BIW538" s="22" t="e">
        <f ca="1"/>
        <v>#N/A</v>
      </c>
      <c r="BIX538" s="22" t="e">
        <f ca="1"/>
        <v>#N/A</v>
      </c>
      <c r="BIY538" s="22" t="e">
        <f ca="1"/>
        <v>#N/A</v>
      </c>
      <c r="BIZ538" s="22" t="e">
        <f ca="1"/>
        <v>#N/A</v>
      </c>
      <c r="BJA538" s="22" t="e">
        <f ca="1"/>
        <v>#N/A</v>
      </c>
      <c r="BJB538" s="22" t="e">
        <f ca="1"/>
        <v>#N/A</v>
      </c>
      <c r="BJC538" s="22" t="e">
        <f ca="1"/>
        <v>#N/A</v>
      </c>
      <c r="BJD538" s="22" t="e">
        <f ca="1"/>
        <v>#N/A</v>
      </c>
      <c r="BJE538" s="22" t="e">
        <f ca="1"/>
        <v>#N/A</v>
      </c>
      <c r="BJF538" s="22" t="e">
        <f ca="1"/>
        <v>#N/A</v>
      </c>
      <c r="BJG538" s="22" t="e">
        <f ca="1"/>
        <v>#N/A</v>
      </c>
      <c r="BJH538" s="22" t="e">
        <f ca="1"/>
        <v>#N/A</v>
      </c>
      <c r="BJI538" s="22" t="e">
        <f ca="1"/>
        <v>#N/A</v>
      </c>
      <c r="BJJ538" s="22" t="e">
        <f ca="1"/>
        <v>#N/A</v>
      </c>
      <c r="BJK538" s="22" t="e">
        <f ca="1"/>
        <v>#N/A</v>
      </c>
      <c r="BJL538" s="22" t="e">
        <f ca="1"/>
        <v>#N/A</v>
      </c>
      <c r="BJM538" s="22" t="e">
        <f ca="1"/>
        <v>#N/A</v>
      </c>
      <c r="BJN538" s="22" t="e">
        <f ca="1"/>
        <v>#N/A</v>
      </c>
      <c r="BJO538" s="22" t="e">
        <f ca="1"/>
        <v>#N/A</v>
      </c>
      <c r="BJP538" s="22" t="e">
        <f ca="1"/>
        <v>#N/A</v>
      </c>
      <c r="BJQ538" s="22" t="e">
        <f ca="1"/>
        <v>#N/A</v>
      </c>
      <c r="BJR538" s="22" t="e">
        <f ca="1"/>
        <v>#N/A</v>
      </c>
      <c r="BJS538" s="22" t="e">
        <f ca="1"/>
        <v>#N/A</v>
      </c>
      <c r="BJT538" s="22" t="e">
        <f ca="1"/>
        <v>#N/A</v>
      </c>
      <c r="BJU538" s="22" t="e">
        <f ca="1"/>
        <v>#N/A</v>
      </c>
      <c r="BJV538" s="22" t="e">
        <f ca="1"/>
        <v>#N/A</v>
      </c>
      <c r="BJW538" s="22" t="e">
        <f ca="1"/>
        <v>#N/A</v>
      </c>
      <c r="BJX538" s="22" t="e">
        <f ca="1"/>
        <v>#N/A</v>
      </c>
      <c r="BJY538" s="22" t="e">
        <f ca="1"/>
        <v>#N/A</v>
      </c>
      <c r="BJZ538" s="22" t="e">
        <f ca="1"/>
        <v>#N/A</v>
      </c>
      <c r="BKA538" s="22" t="e">
        <f ca="1"/>
        <v>#N/A</v>
      </c>
      <c r="BKB538" s="22" t="e">
        <f ca="1"/>
        <v>#N/A</v>
      </c>
      <c r="BKC538" s="22" t="e">
        <f ca="1"/>
        <v>#N/A</v>
      </c>
      <c r="BKD538" s="22" t="e">
        <f ca="1"/>
        <v>#N/A</v>
      </c>
      <c r="BKE538" s="22" t="e">
        <f ca="1"/>
        <v>#N/A</v>
      </c>
      <c r="BKF538" s="22" t="e">
        <f ca="1"/>
        <v>#N/A</v>
      </c>
      <c r="BKG538" s="22" t="e">
        <f ca="1"/>
        <v>#N/A</v>
      </c>
      <c r="BKH538" s="22" t="e">
        <f ca="1"/>
        <v>#N/A</v>
      </c>
      <c r="BKI538" s="22" t="e">
        <f ca="1"/>
        <v>#N/A</v>
      </c>
      <c r="BKJ538" s="22" t="e">
        <f ca="1"/>
        <v>#N/A</v>
      </c>
      <c r="BKK538" s="22" t="e">
        <f ca="1"/>
        <v>#N/A</v>
      </c>
      <c r="BKL538" s="22" t="e">
        <f ca="1"/>
        <v>#N/A</v>
      </c>
      <c r="BKM538" s="22" t="e">
        <f ca="1"/>
        <v>#N/A</v>
      </c>
      <c r="BKN538" s="22" t="e">
        <f ca="1"/>
        <v>#N/A</v>
      </c>
      <c r="BKO538" s="22" t="e">
        <f ca="1"/>
        <v>#N/A</v>
      </c>
      <c r="BKP538" s="22" t="e">
        <f ca="1"/>
        <v>#N/A</v>
      </c>
      <c r="BKQ538" s="22" t="e">
        <f ca="1"/>
        <v>#N/A</v>
      </c>
      <c r="BKR538" s="22" t="e">
        <f ca="1"/>
        <v>#N/A</v>
      </c>
      <c r="BKS538" s="22" t="e">
        <f ca="1"/>
        <v>#N/A</v>
      </c>
      <c r="BKT538" s="22" t="e">
        <f ca="1"/>
        <v>#N/A</v>
      </c>
      <c r="BKU538" s="22" t="e">
        <f ca="1"/>
        <v>#N/A</v>
      </c>
      <c r="BKV538" s="22" t="e">
        <f ca="1"/>
        <v>#N/A</v>
      </c>
      <c r="BKW538" s="22" t="e">
        <f ca="1"/>
        <v>#N/A</v>
      </c>
      <c r="BKX538" s="22" t="e">
        <f ca="1"/>
        <v>#N/A</v>
      </c>
      <c r="BKY538" s="22" t="e">
        <f ca="1"/>
        <v>#N/A</v>
      </c>
      <c r="BKZ538" s="22" t="e">
        <f ca="1"/>
        <v>#N/A</v>
      </c>
      <c r="BLA538" s="22" t="e">
        <f ca="1"/>
        <v>#N/A</v>
      </c>
      <c r="BLB538" s="22" t="e">
        <f ca="1"/>
        <v>#N/A</v>
      </c>
      <c r="BLC538" s="22" t="e">
        <f ca="1"/>
        <v>#N/A</v>
      </c>
      <c r="BLD538" s="22" t="e">
        <f ca="1"/>
        <v>#N/A</v>
      </c>
      <c r="BLE538" s="22" t="e">
        <f ca="1"/>
        <v>#N/A</v>
      </c>
      <c r="BLF538" s="22" t="e">
        <f ca="1"/>
        <v>#N/A</v>
      </c>
      <c r="BLG538" s="22" t="e">
        <f ca="1"/>
        <v>#N/A</v>
      </c>
      <c r="BLH538" s="22" t="e">
        <f ca="1"/>
        <v>#N/A</v>
      </c>
      <c r="BLI538" s="22" t="e">
        <f ca="1"/>
        <v>#N/A</v>
      </c>
      <c r="BLJ538" s="22" t="e">
        <f ca="1"/>
        <v>#N/A</v>
      </c>
      <c r="BLK538" s="22" t="e">
        <f ca="1"/>
        <v>#N/A</v>
      </c>
      <c r="BLL538" s="22" t="e">
        <f ca="1"/>
        <v>#N/A</v>
      </c>
      <c r="BLM538" s="22" t="e">
        <f ca="1"/>
        <v>#N/A</v>
      </c>
      <c r="BLN538" s="22" t="e">
        <f ca="1"/>
        <v>#N/A</v>
      </c>
      <c r="BLO538" s="22" t="e">
        <f ca="1"/>
        <v>#N/A</v>
      </c>
      <c r="BLP538" s="22" t="e">
        <f ca="1"/>
        <v>#N/A</v>
      </c>
      <c r="BLQ538" s="22" t="e">
        <f ca="1"/>
        <v>#N/A</v>
      </c>
      <c r="BLR538" s="22" t="e">
        <f ca="1"/>
        <v>#N/A</v>
      </c>
      <c r="BLS538" s="22" t="e">
        <f ca="1"/>
        <v>#N/A</v>
      </c>
      <c r="BLT538" s="22" t="e">
        <f ca="1"/>
        <v>#N/A</v>
      </c>
      <c r="BLU538" s="22" t="e">
        <f ca="1"/>
        <v>#N/A</v>
      </c>
      <c r="BLV538" s="22" t="e">
        <f ca="1"/>
        <v>#N/A</v>
      </c>
      <c r="BLW538" s="22" t="e">
        <f ca="1"/>
        <v>#N/A</v>
      </c>
      <c r="BLX538" s="22" t="e">
        <f ca="1"/>
        <v>#N/A</v>
      </c>
      <c r="BLY538" s="22" t="e">
        <f ca="1"/>
        <v>#N/A</v>
      </c>
      <c r="BLZ538" s="22" t="e">
        <f ca="1"/>
        <v>#N/A</v>
      </c>
      <c r="BMA538" s="22" t="e">
        <f ca="1"/>
        <v>#N/A</v>
      </c>
      <c r="BMB538" s="22" t="e">
        <f ca="1"/>
        <v>#N/A</v>
      </c>
      <c r="BMC538" s="22" t="e">
        <f ca="1"/>
        <v>#N/A</v>
      </c>
      <c r="BMD538" s="22" t="e">
        <f ca="1"/>
        <v>#N/A</v>
      </c>
      <c r="BME538" s="22" t="e">
        <f ca="1"/>
        <v>#N/A</v>
      </c>
      <c r="BMF538" s="22" t="e">
        <f ca="1"/>
        <v>#N/A</v>
      </c>
      <c r="BMG538" s="22" t="e">
        <f ca="1"/>
        <v>#N/A</v>
      </c>
      <c r="BMH538" s="22" t="e">
        <f ca="1"/>
        <v>#N/A</v>
      </c>
      <c r="BMI538" s="22" t="e">
        <f ca="1"/>
        <v>#N/A</v>
      </c>
      <c r="BMJ538" s="22" t="e">
        <f ca="1"/>
        <v>#N/A</v>
      </c>
      <c r="BMK538" s="22" t="e">
        <f ca="1"/>
        <v>#N/A</v>
      </c>
      <c r="BML538" s="22" t="e">
        <f ca="1"/>
        <v>#N/A</v>
      </c>
      <c r="BMM538" s="22" t="e">
        <f ca="1"/>
        <v>#N/A</v>
      </c>
      <c r="BMN538" s="22" t="e">
        <f ca="1"/>
        <v>#N/A</v>
      </c>
      <c r="BMO538" s="22" t="e">
        <f ca="1"/>
        <v>#N/A</v>
      </c>
      <c r="BMP538" s="22" t="e">
        <f ca="1"/>
        <v>#N/A</v>
      </c>
      <c r="BMQ538" s="22" t="e">
        <f ca="1"/>
        <v>#N/A</v>
      </c>
      <c r="BMR538" s="22" t="e">
        <f ca="1"/>
        <v>#N/A</v>
      </c>
      <c r="BMS538" s="22" t="e">
        <f ca="1"/>
        <v>#N/A</v>
      </c>
      <c r="BMT538" s="22" t="e">
        <f ca="1"/>
        <v>#N/A</v>
      </c>
      <c r="BMU538" s="22" t="e">
        <f ca="1"/>
        <v>#N/A</v>
      </c>
      <c r="BMV538" s="22" t="e">
        <f ca="1"/>
        <v>#N/A</v>
      </c>
      <c r="BMW538" s="22" t="e">
        <f ca="1"/>
        <v>#N/A</v>
      </c>
      <c r="BMX538" s="22" t="e">
        <f ca="1"/>
        <v>#N/A</v>
      </c>
      <c r="BMY538" s="22" t="e">
        <f ca="1"/>
        <v>#N/A</v>
      </c>
      <c r="BMZ538" s="22" t="e">
        <f ca="1"/>
        <v>#N/A</v>
      </c>
      <c r="BNA538" s="22" t="e">
        <f ca="1"/>
        <v>#N/A</v>
      </c>
      <c r="BNB538" s="22" t="e">
        <f ca="1"/>
        <v>#N/A</v>
      </c>
      <c r="BNC538" s="22" t="e">
        <f ca="1"/>
        <v>#N/A</v>
      </c>
      <c r="BND538" s="22" t="e">
        <f ca="1"/>
        <v>#N/A</v>
      </c>
      <c r="BNE538" s="22" t="e">
        <f ca="1"/>
        <v>#N/A</v>
      </c>
      <c r="BNF538" s="22" t="e">
        <f ca="1"/>
        <v>#N/A</v>
      </c>
      <c r="BNG538" s="22" t="e">
        <f ca="1"/>
        <v>#N/A</v>
      </c>
      <c r="BNH538" s="22" t="e">
        <f ca="1"/>
        <v>#N/A</v>
      </c>
      <c r="BNI538" s="22" t="e">
        <f ca="1"/>
        <v>#N/A</v>
      </c>
      <c r="BNJ538" s="22" t="e">
        <f ca="1"/>
        <v>#N/A</v>
      </c>
      <c r="BNK538" s="22" t="e">
        <f ca="1"/>
        <v>#N/A</v>
      </c>
      <c r="BNL538" s="22" t="e">
        <f ca="1"/>
        <v>#N/A</v>
      </c>
      <c r="BNM538" s="22" t="e">
        <f ca="1"/>
        <v>#N/A</v>
      </c>
      <c r="BNN538" s="22" t="e">
        <f ca="1"/>
        <v>#N/A</v>
      </c>
      <c r="BNO538" s="22" t="e">
        <f ca="1"/>
        <v>#N/A</v>
      </c>
      <c r="BNP538" s="22" t="e">
        <f ca="1"/>
        <v>#N/A</v>
      </c>
      <c r="BNQ538" s="22" t="e">
        <f ca="1"/>
        <v>#N/A</v>
      </c>
      <c r="BNR538" s="22" t="e">
        <f ca="1"/>
        <v>#N/A</v>
      </c>
      <c r="BNS538" s="22" t="e">
        <f ca="1"/>
        <v>#N/A</v>
      </c>
      <c r="BNT538" s="22" t="e">
        <f ca="1"/>
        <v>#N/A</v>
      </c>
      <c r="BNU538" s="22" t="e">
        <f ca="1"/>
        <v>#N/A</v>
      </c>
      <c r="BNV538" s="22" t="e">
        <f ca="1"/>
        <v>#N/A</v>
      </c>
      <c r="BNW538" s="22" t="e">
        <f ca="1"/>
        <v>#N/A</v>
      </c>
      <c r="BNX538" s="22" t="e">
        <f ca="1"/>
        <v>#N/A</v>
      </c>
      <c r="BNY538" s="22" t="e">
        <f ca="1"/>
        <v>#N/A</v>
      </c>
      <c r="BNZ538" s="22" t="e">
        <f ca="1"/>
        <v>#N/A</v>
      </c>
      <c r="BOA538" s="22" t="e">
        <f ca="1"/>
        <v>#N/A</v>
      </c>
      <c r="BOB538" s="22" t="e">
        <f ca="1"/>
        <v>#N/A</v>
      </c>
      <c r="BOC538" s="22" t="e">
        <f ca="1"/>
        <v>#N/A</v>
      </c>
      <c r="BOD538" s="22" t="e">
        <f ca="1"/>
        <v>#N/A</v>
      </c>
      <c r="BOE538" s="22" t="e">
        <f ca="1"/>
        <v>#N/A</v>
      </c>
      <c r="BOF538" s="22" t="e">
        <f ca="1"/>
        <v>#N/A</v>
      </c>
      <c r="BOG538" s="22" t="e">
        <f ca="1"/>
        <v>#N/A</v>
      </c>
      <c r="BOH538" s="22" t="e">
        <f ca="1"/>
        <v>#N/A</v>
      </c>
      <c r="BOI538" s="22" t="e">
        <f ca="1"/>
        <v>#N/A</v>
      </c>
      <c r="BOJ538" s="22" t="e">
        <f ca="1"/>
        <v>#N/A</v>
      </c>
      <c r="BOK538" s="22" t="e">
        <f ca="1"/>
        <v>#N/A</v>
      </c>
      <c r="BOL538" s="22" t="e">
        <f ca="1"/>
        <v>#N/A</v>
      </c>
      <c r="BOM538" s="22" t="e">
        <f ca="1"/>
        <v>#N/A</v>
      </c>
      <c r="BON538" s="22" t="e">
        <f ca="1"/>
        <v>#N/A</v>
      </c>
      <c r="BOO538" s="22" t="e">
        <f ca="1"/>
        <v>#N/A</v>
      </c>
      <c r="BOP538" s="22" t="e">
        <f ca="1"/>
        <v>#N/A</v>
      </c>
      <c r="BOQ538" s="22" t="e">
        <f ca="1"/>
        <v>#N/A</v>
      </c>
      <c r="BOR538" s="22" t="e">
        <f ca="1"/>
        <v>#N/A</v>
      </c>
      <c r="BOS538" s="22" t="e">
        <f ca="1"/>
        <v>#N/A</v>
      </c>
      <c r="BOT538" s="22" t="e">
        <f ca="1"/>
        <v>#N/A</v>
      </c>
      <c r="BOU538" s="22" t="e">
        <f ca="1"/>
        <v>#N/A</v>
      </c>
      <c r="BOV538" s="22" t="e">
        <f ca="1"/>
        <v>#N/A</v>
      </c>
      <c r="BOW538" s="22" t="e">
        <f ca="1"/>
        <v>#N/A</v>
      </c>
      <c r="BOX538" s="22" t="e">
        <f ca="1"/>
        <v>#N/A</v>
      </c>
      <c r="BOY538" s="22" t="e">
        <f ca="1"/>
        <v>#N/A</v>
      </c>
      <c r="BOZ538" s="22" t="e">
        <f ca="1"/>
        <v>#N/A</v>
      </c>
      <c r="BPA538" s="22" t="e">
        <f ca="1"/>
        <v>#N/A</v>
      </c>
      <c r="BPB538" s="22" t="e">
        <f ca="1"/>
        <v>#N/A</v>
      </c>
      <c r="BPC538" s="22" t="e">
        <f ca="1"/>
        <v>#N/A</v>
      </c>
      <c r="BPD538" s="22" t="e">
        <f ca="1"/>
        <v>#N/A</v>
      </c>
      <c r="BPE538" s="22" t="e">
        <f ca="1"/>
        <v>#N/A</v>
      </c>
      <c r="BPF538" s="22" t="e">
        <f ca="1"/>
        <v>#N/A</v>
      </c>
      <c r="BPG538" s="22" t="e">
        <f ca="1"/>
        <v>#N/A</v>
      </c>
      <c r="BPH538" s="22" t="e">
        <f ca="1"/>
        <v>#N/A</v>
      </c>
      <c r="BPI538" s="22" t="e">
        <f ca="1"/>
        <v>#N/A</v>
      </c>
      <c r="BPJ538" s="22" t="e">
        <f ca="1"/>
        <v>#N/A</v>
      </c>
      <c r="BPK538" s="22" t="e">
        <f ca="1"/>
        <v>#N/A</v>
      </c>
      <c r="BPL538" s="22" t="e">
        <f ca="1"/>
        <v>#N/A</v>
      </c>
      <c r="BPM538" s="22" t="e">
        <f ca="1"/>
        <v>#N/A</v>
      </c>
      <c r="BPN538" s="22" t="e">
        <f ca="1"/>
        <v>#N/A</v>
      </c>
      <c r="BPO538" s="22" t="e">
        <f ca="1"/>
        <v>#N/A</v>
      </c>
      <c r="BPP538" s="22" t="e">
        <f ca="1"/>
        <v>#N/A</v>
      </c>
      <c r="BPQ538" s="22" t="e">
        <f ca="1"/>
        <v>#N/A</v>
      </c>
      <c r="BPR538" s="22" t="e">
        <f ca="1"/>
        <v>#N/A</v>
      </c>
      <c r="BPS538" s="22" t="e">
        <f ca="1"/>
        <v>#N/A</v>
      </c>
      <c r="BPT538" s="22" t="e">
        <f ca="1"/>
        <v>#N/A</v>
      </c>
      <c r="BPU538" s="22" t="e">
        <f ca="1"/>
        <v>#N/A</v>
      </c>
      <c r="BPV538" s="22" t="e">
        <f ca="1"/>
        <v>#N/A</v>
      </c>
      <c r="BPW538" s="22" t="e">
        <f ca="1"/>
        <v>#N/A</v>
      </c>
      <c r="BPX538" s="22" t="e">
        <f ca="1"/>
        <v>#N/A</v>
      </c>
      <c r="BPY538" s="22" t="e">
        <f ca="1"/>
        <v>#N/A</v>
      </c>
      <c r="BPZ538" s="22" t="e">
        <f ca="1"/>
        <v>#N/A</v>
      </c>
      <c r="BQA538" s="22" t="e">
        <f ca="1"/>
        <v>#N/A</v>
      </c>
      <c r="BQB538" s="22" t="e">
        <f ca="1"/>
        <v>#N/A</v>
      </c>
      <c r="BQC538" s="22" t="e">
        <f ca="1"/>
        <v>#N/A</v>
      </c>
      <c r="BQD538" s="22" t="e">
        <f ca="1"/>
        <v>#N/A</v>
      </c>
      <c r="BQE538" s="22" t="e">
        <f ca="1"/>
        <v>#N/A</v>
      </c>
      <c r="BQF538" s="22" t="e">
        <f ca="1"/>
        <v>#N/A</v>
      </c>
      <c r="BQG538" s="22" t="e">
        <f ca="1"/>
        <v>#N/A</v>
      </c>
      <c r="BQH538" s="22" t="e">
        <f ca="1"/>
        <v>#N/A</v>
      </c>
      <c r="BQI538" s="22" t="e">
        <f ca="1"/>
        <v>#N/A</v>
      </c>
      <c r="BQJ538" s="22" t="e">
        <f ca="1"/>
        <v>#N/A</v>
      </c>
      <c r="BQK538" s="22" t="e">
        <f ca="1"/>
        <v>#N/A</v>
      </c>
      <c r="BQL538" s="22" t="e">
        <f ca="1"/>
        <v>#N/A</v>
      </c>
      <c r="BQM538" s="22" t="e">
        <f ca="1"/>
        <v>#N/A</v>
      </c>
      <c r="BQN538" s="22" t="e">
        <f ca="1"/>
        <v>#N/A</v>
      </c>
      <c r="BQO538" s="22" t="e">
        <f ca="1"/>
        <v>#N/A</v>
      </c>
      <c r="BQP538" s="22" t="e">
        <f ca="1"/>
        <v>#N/A</v>
      </c>
      <c r="BQQ538" s="22" t="e">
        <f ca="1"/>
        <v>#N/A</v>
      </c>
      <c r="BQR538" s="22" t="e">
        <f ca="1"/>
        <v>#N/A</v>
      </c>
      <c r="BQS538" s="22" t="e">
        <f ca="1"/>
        <v>#N/A</v>
      </c>
      <c r="BQT538" s="22" t="e">
        <f ca="1"/>
        <v>#N/A</v>
      </c>
      <c r="BQU538" s="22" t="e">
        <f ca="1"/>
        <v>#N/A</v>
      </c>
      <c r="BQV538" s="22" t="e">
        <f ca="1"/>
        <v>#N/A</v>
      </c>
      <c r="BQW538" s="22" t="e">
        <f ca="1"/>
        <v>#N/A</v>
      </c>
      <c r="BQX538" s="22" t="e">
        <f ca="1"/>
        <v>#N/A</v>
      </c>
      <c r="BQY538" s="22" t="e">
        <f ca="1"/>
        <v>#N/A</v>
      </c>
      <c r="BQZ538" s="22" t="e">
        <f ca="1"/>
        <v>#N/A</v>
      </c>
      <c r="BRA538" s="22" t="e">
        <f ca="1"/>
        <v>#N/A</v>
      </c>
      <c r="BRB538" s="22" t="e">
        <f ca="1"/>
        <v>#N/A</v>
      </c>
      <c r="BRC538" s="22" t="e">
        <f ca="1"/>
        <v>#N/A</v>
      </c>
      <c r="BRD538" s="22" t="e">
        <f ca="1"/>
        <v>#N/A</v>
      </c>
      <c r="BRE538" s="22" t="e">
        <f ca="1"/>
        <v>#N/A</v>
      </c>
      <c r="BRF538" s="22" t="e">
        <f ca="1"/>
        <v>#N/A</v>
      </c>
      <c r="BRG538" s="22" t="e">
        <f ca="1"/>
        <v>#N/A</v>
      </c>
      <c r="BRH538" s="22" t="e">
        <f ca="1"/>
        <v>#N/A</v>
      </c>
      <c r="BRI538" s="22" t="e">
        <f ca="1"/>
        <v>#N/A</v>
      </c>
      <c r="BRJ538" s="22" t="e">
        <f ca="1"/>
        <v>#N/A</v>
      </c>
      <c r="BRK538" s="22" t="e">
        <f ca="1"/>
        <v>#N/A</v>
      </c>
      <c r="BRL538" s="22" t="e">
        <f ca="1"/>
        <v>#N/A</v>
      </c>
      <c r="BRM538" s="22" t="e">
        <f ca="1"/>
        <v>#N/A</v>
      </c>
      <c r="BRN538" s="22" t="e">
        <f ca="1"/>
        <v>#N/A</v>
      </c>
      <c r="BRO538" s="22" t="e">
        <f ca="1"/>
        <v>#N/A</v>
      </c>
      <c r="BRP538" s="22" t="e">
        <f ca="1"/>
        <v>#N/A</v>
      </c>
      <c r="BRQ538" s="22" t="e">
        <f ca="1"/>
        <v>#N/A</v>
      </c>
      <c r="BRR538" s="22" t="e">
        <f ca="1"/>
        <v>#N/A</v>
      </c>
      <c r="BRS538" s="22" t="e">
        <f ca="1"/>
        <v>#N/A</v>
      </c>
      <c r="BRT538" s="22" t="e">
        <f ca="1"/>
        <v>#N/A</v>
      </c>
      <c r="BRU538" s="22" t="e">
        <f ca="1"/>
        <v>#N/A</v>
      </c>
      <c r="BRV538" s="22" t="e">
        <f ca="1"/>
        <v>#N/A</v>
      </c>
      <c r="BRW538" s="22" t="e">
        <f ca="1"/>
        <v>#N/A</v>
      </c>
      <c r="BRX538" s="22" t="e">
        <f ca="1"/>
        <v>#N/A</v>
      </c>
      <c r="BRY538" s="22" t="e">
        <f ca="1"/>
        <v>#N/A</v>
      </c>
      <c r="BRZ538" s="22" t="e">
        <f ca="1"/>
        <v>#N/A</v>
      </c>
      <c r="BSA538" s="22" t="e">
        <f ca="1"/>
        <v>#N/A</v>
      </c>
      <c r="BSB538" s="22" t="e">
        <f ca="1"/>
        <v>#N/A</v>
      </c>
      <c r="BSC538" s="22" t="e">
        <f ca="1"/>
        <v>#N/A</v>
      </c>
      <c r="BSD538" s="22" t="e">
        <f ca="1"/>
        <v>#N/A</v>
      </c>
      <c r="BSE538" s="22" t="e">
        <f ca="1"/>
        <v>#N/A</v>
      </c>
      <c r="BSF538" s="22" t="e">
        <f ca="1"/>
        <v>#N/A</v>
      </c>
      <c r="BSG538" s="22" t="e">
        <f ca="1"/>
        <v>#N/A</v>
      </c>
      <c r="BSH538" s="22" t="e">
        <f ca="1"/>
        <v>#N/A</v>
      </c>
      <c r="BSI538" s="22" t="e">
        <f ca="1"/>
        <v>#N/A</v>
      </c>
      <c r="BSJ538" s="22" t="e">
        <f ca="1"/>
        <v>#N/A</v>
      </c>
      <c r="BSK538" s="22" t="e">
        <f ca="1"/>
        <v>#N/A</v>
      </c>
      <c r="BSL538" s="22" t="e">
        <f ca="1"/>
        <v>#N/A</v>
      </c>
      <c r="BSM538" s="22" t="e">
        <f ca="1"/>
        <v>#N/A</v>
      </c>
      <c r="BSN538" s="22" t="e">
        <f ca="1"/>
        <v>#N/A</v>
      </c>
      <c r="BSO538" s="22" t="e">
        <f ca="1"/>
        <v>#N/A</v>
      </c>
      <c r="BSP538" s="22" t="e">
        <f ca="1"/>
        <v>#N/A</v>
      </c>
      <c r="BSQ538" s="22" t="e">
        <f ca="1"/>
        <v>#N/A</v>
      </c>
      <c r="BSR538" s="22" t="e">
        <f ca="1"/>
        <v>#N/A</v>
      </c>
      <c r="BSS538" s="22" t="e">
        <f ca="1"/>
        <v>#N/A</v>
      </c>
      <c r="BST538" s="22" t="e">
        <f ca="1"/>
        <v>#N/A</v>
      </c>
      <c r="BSU538" s="22" t="e">
        <f ca="1"/>
        <v>#N/A</v>
      </c>
      <c r="BSV538" s="22" t="e">
        <f ca="1"/>
        <v>#N/A</v>
      </c>
      <c r="BSW538" s="22" t="e">
        <f ca="1"/>
        <v>#N/A</v>
      </c>
      <c r="BSX538" s="22" t="e">
        <f ca="1"/>
        <v>#N/A</v>
      </c>
      <c r="BSY538" s="22" t="e">
        <f ca="1"/>
        <v>#N/A</v>
      </c>
      <c r="BSZ538" s="22" t="e">
        <f ca="1"/>
        <v>#N/A</v>
      </c>
      <c r="BTA538" s="22" t="e">
        <f ca="1"/>
        <v>#N/A</v>
      </c>
      <c r="BTB538" s="22" t="e">
        <f ca="1"/>
        <v>#N/A</v>
      </c>
      <c r="BTC538" s="22" t="e">
        <f ca="1"/>
        <v>#N/A</v>
      </c>
      <c r="BTD538" s="22" t="e">
        <f ca="1"/>
        <v>#N/A</v>
      </c>
      <c r="BTE538" s="22" t="e">
        <f ca="1"/>
        <v>#N/A</v>
      </c>
      <c r="BTF538" s="22" t="e">
        <f ca="1"/>
        <v>#N/A</v>
      </c>
      <c r="BTG538" s="22" t="e">
        <f ca="1"/>
        <v>#N/A</v>
      </c>
      <c r="BTH538" s="22" t="e">
        <f ca="1"/>
        <v>#N/A</v>
      </c>
      <c r="BTI538" s="22" t="e">
        <f ca="1"/>
        <v>#N/A</v>
      </c>
      <c r="BTJ538" s="22" t="e">
        <f ca="1"/>
        <v>#N/A</v>
      </c>
      <c r="BTK538" s="22" t="e">
        <f ca="1"/>
        <v>#N/A</v>
      </c>
      <c r="BTL538" s="22" t="e">
        <f ca="1"/>
        <v>#N/A</v>
      </c>
      <c r="BTM538" s="22" t="e">
        <f ca="1"/>
        <v>#N/A</v>
      </c>
      <c r="BTN538" s="22" t="e">
        <f ca="1"/>
        <v>#N/A</v>
      </c>
      <c r="BTO538" s="22" t="e">
        <f ca="1"/>
        <v>#N/A</v>
      </c>
      <c r="BTP538" s="22" t="e">
        <f ca="1"/>
        <v>#N/A</v>
      </c>
      <c r="BTQ538" s="22" t="e">
        <f ca="1"/>
        <v>#N/A</v>
      </c>
      <c r="BTR538" s="22" t="e">
        <f ca="1"/>
        <v>#N/A</v>
      </c>
      <c r="BTS538" s="22" t="e">
        <f ca="1"/>
        <v>#N/A</v>
      </c>
      <c r="BTT538" s="22" t="e">
        <f ca="1"/>
        <v>#N/A</v>
      </c>
      <c r="BTU538" s="22" t="e">
        <f ca="1"/>
        <v>#N/A</v>
      </c>
      <c r="BTV538" s="22" t="e">
        <f ca="1"/>
        <v>#N/A</v>
      </c>
      <c r="BTW538" s="22" t="e">
        <f ca="1"/>
        <v>#N/A</v>
      </c>
      <c r="BTX538" s="22" t="e">
        <f ca="1"/>
        <v>#N/A</v>
      </c>
      <c r="BTY538" s="22" t="e">
        <f ca="1"/>
        <v>#N/A</v>
      </c>
      <c r="BTZ538" s="22" t="e">
        <f ca="1"/>
        <v>#N/A</v>
      </c>
      <c r="BUA538" s="22" t="e">
        <f ca="1"/>
        <v>#N/A</v>
      </c>
      <c r="BUB538" s="22" t="e">
        <f ca="1"/>
        <v>#N/A</v>
      </c>
      <c r="BUC538" s="22" t="e">
        <f ca="1"/>
        <v>#N/A</v>
      </c>
      <c r="BUD538" s="22" t="e">
        <f ca="1"/>
        <v>#N/A</v>
      </c>
      <c r="BUE538" s="22" t="e">
        <f ca="1"/>
        <v>#N/A</v>
      </c>
      <c r="BUF538" s="22" t="e">
        <f ca="1"/>
        <v>#N/A</v>
      </c>
      <c r="BUG538" s="22" t="e">
        <f ca="1"/>
        <v>#N/A</v>
      </c>
      <c r="BUH538" s="22" t="e">
        <f ca="1"/>
        <v>#N/A</v>
      </c>
      <c r="BUI538" s="22" t="e">
        <f ca="1"/>
        <v>#N/A</v>
      </c>
      <c r="BUJ538" s="22" t="e">
        <f ca="1"/>
        <v>#N/A</v>
      </c>
      <c r="BUK538" s="22" t="e">
        <f ca="1"/>
        <v>#N/A</v>
      </c>
      <c r="BUL538" s="22" t="e">
        <f ca="1"/>
        <v>#N/A</v>
      </c>
      <c r="BUM538" s="22" t="e">
        <f ca="1"/>
        <v>#N/A</v>
      </c>
      <c r="BUN538" s="22" t="e">
        <f ca="1"/>
        <v>#N/A</v>
      </c>
      <c r="BUO538" s="22" t="e">
        <f ca="1"/>
        <v>#N/A</v>
      </c>
      <c r="BUP538" s="22" t="e">
        <f ca="1"/>
        <v>#N/A</v>
      </c>
      <c r="BUQ538" s="22" t="e">
        <f ca="1"/>
        <v>#N/A</v>
      </c>
      <c r="BUR538" s="22" t="e">
        <f ca="1"/>
        <v>#N/A</v>
      </c>
      <c r="BUS538" s="22" t="e">
        <f ca="1"/>
        <v>#N/A</v>
      </c>
      <c r="BUT538" s="22" t="e">
        <f ca="1"/>
        <v>#N/A</v>
      </c>
      <c r="BUU538" s="22" t="e">
        <f ca="1"/>
        <v>#N/A</v>
      </c>
      <c r="BUV538" s="22" t="e">
        <f ca="1"/>
        <v>#N/A</v>
      </c>
      <c r="BUW538" s="22" t="e">
        <f ca="1"/>
        <v>#N/A</v>
      </c>
      <c r="BUX538" s="22" t="e">
        <f ca="1"/>
        <v>#N/A</v>
      </c>
      <c r="BUY538" s="22" t="e">
        <f ca="1"/>
        <v>#N/A</v>
      </c>
      <c r="BUZ538" s="22" t="e">
        <f ca="1"/>
        <v>#N/A</v>
      </c>
      <c r="BVA538" s="22" t="e">
        <f ca="1"/>
        <v>#N/A</v>
      </c>
      <c r="BVB538" s="22" t="e">
        <f ca="1"/>
        <v>#N/A</v>
      </c>
      <c r="BVC538" s="22" t="e">
        <f ca="1"/>
        <v>#N/A</v>
      </c>
      <c r="BVD538" s="22" t="e">
        <f ca="1"/>
        <v>#N/A</v>
      </c>
      <c r="BVE538" s="22" t="e">
        <f ca="1"/>
        <v>#N/A</v>
      </c>
      <c r="BVF538" s="22" t="e">
        <f ca="1"/>
        <v>#N/A</v>
      </c>
      <c r="BVG538" s="22" t="e">
        <f ca="1"/>
        <v>#N/A</v>
      </c>
      <c r="BVH538" s="22" t="e">
        <f ca="1"/>
        <v>#N/A</v>
      </c>
      <c r="BVI538" s="22" t="e">
        <f ca="1"/>
        <v>#N/A</v>
      </c>
      <c r="BVJ538" s="22" t="e">
        <f ca="1"/>
        <v>#N/A</v>
      </c>
      <c r="BVK538" s="22" t="e">
        <f ca="1"/>
        <v>#N/A</v>
      </c>
      <c r="BVL538" s="22" t="e">
        <f ca="1"/>
        <v>#N/A</v>
      </c>
      <c r="BVM538" s="22" t="e">
        <f ca="1"/>
        <v>#N/A</v>
      </c>
      <c r="BVN538" s="22" t="e">
        <f ca="1"/>
        <v>#N/A</v>
      </c>
      <c r="BVO538" s="22" t="e">
        <f ca="1"/>
        <v>#N/A</v>
      </c>
      <c r="BVP538" s="22" t="e">
        <f ca="1"/>
        <v>#N/A</v>
      </c>
      <c r="BVQ538" s="22" t="e">
        <f ca="1"/>
        <v>#N/A</v>
      </c>
      <c r="BVR538" s="22" t="e">
        <f ca="1"/>
        <v>#N/A</v>
      </c>
      <c r="BVS538" s="22" t="e">
        <f ca="1"/>
        <v>#N/A</v>
      </c>
      <c r="BVT538" s="22" t="e">
        <f ca="1"/>
        <v>#N/A</v>
      </c>
      <c r="BVU538" s="22" t="e">
        <f ca="1"/>
        <v>#N/A</v>
      </c>
      <c r="BVV538" s="22" t="e">
        <f ca="1"/>
        <v>#N/A</v>
      </c>
      <c r="BVW538" s="22" t="e">
        <f ca="1"/>
        <v>#N/A</v>
      </c>
      <c r="BVX538" s="22" t="e">
        <f ca="1"/>
        <v>#N/A</v>
      </c>
      <c r="BVY538" s="22" t="e">
        <f ca="1"/>
        <v>#N/A</v>
      </c>
      <c r="BVZ538" s="22" t="e">
        <f ca="1"/>
        <v>#N/A</v>
      </c>
      <c r="BWA538" s="22" t="e">
        <f ca="1"/>
        <v>#N/A</v>
      </c>
      <c r="BWB538" s="22" t="e">
        <f ca="1"/>
        <v>#N/A</v>
      </c>
      <c r="BWC538" s="22" t="e">
        <f ca="1"/>
        <v>#N/A</v>
      </c>
      <c r="BWD538" s="22" t="e">
        <f ca="1"/>
        <v>#N/A</v>
      </c>
      <c r="BWE538" s="22" t="e">
        <f ca="1"/>
        <v>#N/A</v>
      </c>
      <c r="BWF538" s="22" t="e">
        <f ca="1"/>
        <v>#N/A</v>
      </c>
      <c r="BWG538" s="22" t="e">
        <f ca="1"/>
        <v>#N/A</v>
      </c>
      <c r="BWH538" s="22" t="e">
        <f ca="1"/>
        <v>#N/A</v>
      </c>
      <c r="BWI538" s="22" t="e">
        <f ca="1"/>
        <v>#N/A</v>
      </c>
      <c r="BWJ538" s="22" t="e">
        <f ca="1"/>
        <v>#N/A</v>
      </c>
      <c r="BWK538" s="22" t="e">
        <f ca="1"/>
        <v>#N/A</v>
      </c>
      <c r="BWL538" s="22" t="e">
        <f ca="1"/>
        <v>#N/A</v>
      </c>
      <c r="BWM538" s="22" t="e">
        <f ca="1"/>
        <v>#N/A</v>
      </c>
      <c r="BWN538" s="22" t="e">
        <f ca="1"/>
        <v>#N/A</v>
      </c>
      <c r="BWO538" s="22" t="e">
        <f ca="1"/>
        <v>#N/A</v>
      </c>
      <c r="BWP538" s="22" t="e">
        <f ca="1"/>
        <v>#N/A</v>
      </c>
      <c r="BWQ538" s="22" t="e">
        <f ca="1"/>
        <v>#N/A</v>
      </c>
      <c r="BWR538" s="22" t="e">
        <f ca="1"/>
        <v>#N/A</v>
      </c>
      <c r="BWS538" s="22" t="e">
        <f ca="1"/>
        <v>#N/A</v>
      </c>
      <c r="BWT538" s="22" t="e">
        <f ca="1"/>
        <v>#N/A</v>
      </c>
      <c r="BWU538" s="22" t="e">
        <f ca="1"/>
        <v>#N/A</v>
      </c>
      <c r="BWV538" s="22" t="e">
        <f ca="1"/>
        <v>#N/A</v>
      </c>
      <c r="BWW538" s="22" t="e">
        <f ca="1"/>
        <v>#N/A</v>
      </c>
      <c r="BWX538" s="22" t="e">
        <f ca="1"/>
        <v>#N/A</v>
      </c>
      <c r="BWY538" s="22" t="e">
        <f ca="1"/>
        <v>#N/A</v>
      </c>
      <c r="BWZ538" s="22" t="e">
        <f ca="1"/>
        <v>#N/A</v>
      </c>
      <c r="BXA538" s="22" t="e">
        <f ca="1"/>
        <v>#N/A</v>
      </c>
      <c r="BXB538" s="22" t="e">
        <f ca="1"/>
        <v>#N/A</v>
      </c>
      <c r="BXC538" s="22" t="e">
        <f ca="1"/>
        <v>#N/A</v>
      </c>
      <c r="BXD538" s="22" t="e">
        <f ca="1"/>
        <v>#N/A</v>
      </c>
      <c r="BXE538" s="22" t="e">
        <f ca="1"/>
        <v>#N/A</v>
      </c>
      <c r="BXF538" s="22" t="e">
        <f ca="1"/>
        <v>#N/A</v>
      </c>
      <c r="BXG538" s="22" t="e">
        <f ca="1"/>
        <v>#N/A</v>
      </c>
      <c r="BXH538" s="22" t="e">
        <f ca="1"/>
        <v>#N/A</v>
      </c>
      <c r="BXI538" s="22" t="e">
        <f ca="1"/>
        <v>#N/A</v>
      </c>
      <c r="BXJ538" s="22" t="e">
        <f ca="1"/>
        <v>#N/A</v>
      </c>
      <c r="BXK538" s="22" t="e">
        <f ca="1"/>
        <v>#N/A</v>
      </c>
      <c r="BXL538" s="22" t="e">
        <f ca="1"/>
        <v>#N/A</v>
      </c>
      <c r="BXM538" s="22" t="e">
        <f ca="1"/>
        <v>#N/A</v>
      </c>
      <c r="BXN538" s="22" t="e">
        <f ca="1"/>
        <v>#N/A</v>
      </c>
      <c r="BXO538" s="22" t="e">
        <f ca="1"/>
        <v>#N/A</v>
      </c>
      <c r="BXP538" s="22" t="e">
        <f ca="1"/>
        <v>#N/A</v>
      </c>
      <c r="BXQ538" s="22" t="e">
        <f ca="1"/>
        <v>#N/A</v>
      </c>
      <c r="BXR538" s="22" t="e">
        <f ca="1"/>
        <v>#N/A</v>
      </c>
      <c r="BXS538" s="22" t="e">
        <f ca="1"/>
        <v>#N/A</v>
      </c>
      <c r="BXT538" s="22" t="e">
        <f ca="1"/>
        <v>#N/A</v>
      </c>
      <c r="BXU538" s="22" t="e">
        <f ca="1"/>
        <v>#N/A</v>
      </c>
      <c r="BXV538" s="22" t="e">
        <f ca="1"/>
        <v>#N/A</v>
      </c>
      <c r="BXW538" s="22" t="e">
        <f ca="1"/>
        <v>#N/A</v>
      </c>
      <c r="BXX538" s="22" t="e">
        <f ca="1"/>
        <v>#N/A</v>
      </c>
      <c r="BXY538" s="22" t="e">
        <f ca="1"/>
        <v>#N/A</v>
      </c>
      <c r="BXZ538" s="22" t="e">
        <f ca="1"/>
        <v>#N/A</v>
      </c>
      <c r="BYA538" s="22" t="e">
        <f ca="1"/>
        <v>#N/A</v>
      </c>
      <c r="BYB538" s="22" t="e">
        <f ca="1"/>
        <v>#N/A</v>
      </c>
      <c r="BYC538" s="22" t="e">
        <f ca="1"/>
        <v>#N/A</v>
      </c>
      <c r="BYD538" s="22" t="e">
        <f ca="1"/>
        <v>#N/A</v>
      </c>
      <c r="BYE538" s="22" t="e">
        <f ca="1"/>
        <v>#N/A</v>
      </c>
      <c r="BYF538" s="22" t="e">
        <f ca="1"/>
        <v>#N/A</v>
      </c>
      <c r="BYG538" s="22" t="e">
        <f ca="1"/>
        <v>#N/A</v>
      </c>
      <c r="BYH538" s="22" t="e">
        <f ca="1"/>
        <v>#N/A</v>
      </c>
      <c r="BYI538" s="22" t="e">
        <f ca="1"/>
        <v>#N/A</v>
      </c>
      <c r="BYJ538" s="22" t="e">
        <f ca="1"/>
        <v>#N/A</v>
      </c>
      <c r="BYK538" s="22" t="e">
        <f ca="1"/>
        <v>#N/A</v>
      </c>
      <c r="BYL538" s="22" t="e">
        <f ca="1"/>
        <v>#N/A</v>
      </c>
      <c r="BYM538" s="22" t="e">
        <f ca="1"/>
        <v>#N/A</v>
      </c>
      <c r="BYN538" s="22" t="e">
        <f ca="1"/>
        <v>#N/A</v>
      </c>
      <c r="BYO538" s="22" t="e">
        <f ca="1"/>
        <v>#N/A</v>
      </c>
      <c r="BYP538" s="22" t="e">
        <f ca="1"/>
        <v>#N/A</v>
      </c>
      <c r="BYQ538" s="22" t="e">
        <f ca="1"/>
        <v>#N/A</v>
      </c>
      <c r="BYR538" s="22" t="e">
        <f ca="1"/>
        <v>#N/A</v>
      </c>
      <c r="BYS538" s="22" t="e">
        <f ca="1"/>
        <v>#N/A</v>
      </c>
      <c r="BYT538" s="22" t="e">
        <f ca="1"/>
        <v>#N/A</v>
      </c>
      <c r="BYU538" s="22" t="e">
        <f ca="1"/>
        <v>#N/A</v>
      </c>
      <c r="BYV538" s="22" t="e">
        <f ca="1"/>
        <v>#N/A</v>
      </c>
      <c r="BYW538" s="22" t="e">
        <f ca="1"/>
        <v>#N/A</v>
      </c>
      <c r="BYX538" s="22" t="e">
        <f ca="1"/>
        <v>#N/A</v>
      </c>
      <c r="BYY538" s="22" t="e">
        <f ca="1"/>
        <v>#N/A</v>
      </c>
      <c r="BYZ538" s="22" t="e">
        <f ca="1"/>
        <v>#N/A</v>
      </c>
      <c r="BZA538" s="22" t="e">
        <f ca="1"/>
        <v>#N/A</v>
      </c>
      <c r="BZB538" s="22" t="e">
        <f ca="1"/>
        <v>#N/A</v>
      </c>
      <c r="BZC538" s="22" t="e">
        <f ca="1"/>
        <v>#N/A</v>
      </c>
      <c r="BZD538" s="22" t="e">
        <f ca="1"/>
        <v>#N/A</v>
      </c>
      <c r="BZE538" s="22" t="e">
        <f ca="1"/>
        <v>#N/A</v>
      </c>
      <c r="BZF538" s="22" t="e">
        <f ca="1"/>
        <v>#N/A</v>
      </c>
      <c r="BZG538" s="22" t="e">
        <f ca="1"/>
        <v>#N/A</v>
      </c>
      <c r="BZH538" s="22" t="e">
        <f ca="1"/>
        <v>#N/A</v>
      </c>
      <c r="BZI538" s="22" t="e">
        <f ca="1"/>
        <v>#N/A</v>
      </c>
      <c r="BZJ538" s="22" t="e">
        <f ca="1"/>
        <v>#N/A</v>
      </c>
      <c r="BZK538" s="22" t="e">
        <f ca="1"/>
        <v>#N/A</v>
      </c>
      <c r="BZL538" s="22" t="e">
        <f ca="1"/>
        <v>#N/A</v>
      </c>
      <c r="BZM538" s="22" t="e">
        <f ca="1"/>
        <v>#N/A</v>
      </c>
      <c r="BZN538" s="22" t="e">
        <f ca="1"/>
        <v>#N/A</v>
      </c>
      <c r="BZO538" s="22" t="e">
        <f ca="1"/>
        <v>#N/A</v>
      </c>
      <c r="BZP538" s="22" t="e">
        <f ca="1"/>
        <v>#N/A</v>
      </c>
      <c r="BZQ538" s="22" t="e">
        <f ca="1"/>
        <v>#N/A</v>
      </c>
      <c r="BZR538" s="22" t="e">
        <f ca="1"/>
        <v>#N/A</v>
      </c>
      <c r="BZS538" s="22" t="e">
        <f ca="1"/>
        <v>#N/A</v>
      </c>
      <c r="BZT538" s="22" t="e">
        <f ca="1"/>
        <v>#N/A</v>
      </c>
      <c r="BZU538" s="22" t="e">
        <f ca="1"/>
        <v>#N/A</v>
      </c>
      <c r="BZV538" s="22" t="e">
        <f ca="1"/>
        <v>#N/A</v>
      </c>
      <c r="BZW538" s="22" t="e">
        <f ca="1"/>
        <v>#N/A</v>
      </c>
      <c r="BZX538" s="22" t="e">
        <f ca="1"/>
        <v>#N/A</v>
      </c>
      <c r="BZY538" s="22" t="e">
        <f ca="1"/>
        <v>#N/A</v>
      </c>
      <c r="BZZ538" s="22" t="e">
        <f ca="1"/>
        <v>#N/A</v>
      </c>
      <c r="CAA538" s="22" t="e">
        <f ca="1"/>
        <v>#N/A</v>
      </c>
      <c r="CAB538" s="22" t="e">
        <f ca="1"/>
        <v>#N/A</v>
      </c>
      <c r="CAC538" s="22" t="e">
        <f ca="1"/>
        <v>#N/A</v>
      </c>
      <c r="CAD538" s="22" t="e">
        <f ca="1"/>
        <v>#N/A</v>
      </c>
      <c r="CAE538" s="22" t="e">
        <f ca="1"/>
        <v>#N/A</v>
      </c>
      <c r="CAF538" s="22" t="e">
        <f ca="1"/>
        <v>#N/A</v>
      </c>
      <c r="CAG538" s="22" t="e">
        <f ca="1"/>
        <v>#N/A</v>
      </c>
      <c r="CAH538" s="22" t="e">
        <f ca="1"/>
        <v>#N/A</v>
      </c>
      <c r="CAI538" s="22" t="e">
        <f ca="1"/>
        <v>#N/A</v>
      </c>
      <c r="CAJ538" s="22" t="e">
        <f ca="1"/>
        <v>#N/A</v>
      </c>
      <c r="CAK538" s="22" t="e">
        <f ca="1"/>
        <v>#N/A</v>
      </c>
      <c r="CAL538" s="22" t="e">
        <f ca="1"/>
        <v>#N/A</v>
      </c>
      <c r="CAM538" s="22" t="e">
        <f ca="1"/>
        <v>#N/A</v>
      </c>
      <c r="CAN538" s="22" t="e">
        <f ca="1"/>
        <v>#N/A</v>
      </c>
      <c r="CAO538" s="22" t="e">
        <f ca="1"/>
        <v>#N/A</v>
      </c>
      <c r="CAP538" s="22" t="e">
        <f ca="1"/>
        <v>#N/A</v>
      </c>
      <c r="CAQ538" s="22" t="e">
        <f ca="1"/>
        <v>#N/A</v>
      </c>
      <c r="CAR538" s="22" t="e">
        <f ca="1"/>
        <v>#N/A</v>
      </c>
      <c r="CAS538" s="22" t="e">
        <f ca="1"/>
        <v>#N/A</v>
      </c>
      <c r="CAT538" s="22" t="e">
        <f ca="1"/>
        <v>#N/A</v>
      </c>
      <c r="CAU538" s="22" t="e">
        <f ca="1"/>
        <v>#N/A</v>
      </c>
      <c r="CAV538" s="22" t="e">
        <f ca="1"/>
        <v>#N/A</v>
      </c>
      <c r="CAW538" s="22" t="e">
        <f ca="1"/>
        <v>#N/A</v>
      </c>
      <c r="CAX538" s="22" t="e">
        <f ca="1"/>
        <v>#N/A</v>
      </c>
      <c r="CAY538" s="22" t="e">
        <f ca="1"/>
        <v>#N/A</v>
      </c>
      <c r="CAZ538" s="22" t="e">
        <f ca="1"/>
        <v>#N/A</v>
      </c>
      <c r="CBA538" s="22" t="e">
        <f ca="1"/>
        <v>#N/A</v>
      </c>
      <c r="CBB538" s="22" t="e">
        <f ca="1"/>
        <v>#N/A</v>
      </c>
      <c r="CBC538" s="22" t="e">
        <f ca="1"/>
        <v>#N/A</v>
      </c>
      <c r="CBD538" s="22" t="e">
        <f ca="1"/>
        <v>#N/A</v>
      </c>
      <c r="CBE538" s="22" t="e">
        <f ca="1"/>
        <v>#N/A</v>
      </c>
      <c r="CBF538" s="22" t="e">
        <f ca="1"/>
        <v>#N/A</v>
      </c>
      <c r="CBG538" s="22" t="e">
        <f ca="1"/>
        <v>#N/A</v>
      </c>
      <c r="CBH538" s="22" t="e">
        <f ca="1"/>
        <v>#N/A</v>
      </c>
      <c r="CBI538" s="22" t="e">
        <f ca="1"/>
        <v>#N/A</v>
      </c>
      <c r="CBJ538" s="22" t="e">
        <f ca="1"/>
        <v>#N/A</v>
      </c>
      <c r="CBK538" s="22" t="e">
        <f ca="1"/>
        <v>#N/A</v>
      </c>
      <c r="CBL538" s="22" t="e">
        <f ca="1"/>
        <v>#N/A</v>
      </c>
      <c r="CBM538" s="22" t="e">
        <f ca="1"/>
        <v>#N/A</v>
      </c>
      <c r="CBN538" s="22" t="e">
        <f ca="1"/>
        <v>#N/A</v>
      </c>
      <c r="CBO538" s="22" t="e">
        <f ca="1"/>
        <v>#N/A</v>
      </c>
      <c r="CBP538" s="22" t="e">
        <f ca="1"/>
        <v>#N/A</v>
      </c>
      <c r="CBQ538" s="22" t="e">
        <f ca="1"/>
        <v>#N/A</v>
      </c>
      <c r="CBR538" s="22" t="e">
        <f ca="1"/>
        <v>#N/A</v>
      </c>
      <c r="CBS538" s="22" t="e">
        <f ca="1"/>
        <v>#N/A</v>
      </c>
      <c r="CBT538" s="22" t="e">
        <f ca="1"/>
        <v>#N/A</v>
      </c>
      <c r="CBU538" s="22" t="e">
        <f ca="1"/>
        <v>#N/A</v>
      </c>
      <c r="CBV538" s="22" t="e">
        <f ca="1"/>
        <v>#N/A</v>
      </c>
      <c r="CBW538" s="22" t="e">
        <f ca="1"/>
        <v>#N/A</v>
      </c>
      <c r="CBX538" s="22" t="e">
        <f ca="1"/>
        <v>#N/A</v>
      </c>
      <c r="CBY538" s="22" t="e">
        <f ca="1"/>
        <v>#N/A</v>
      </c>
      <c r="CBZ538" s="22" t="e">
        <f ca="1"/>
        <v>#N/A</v>
      </c>
      <c r="CCA538" s="22" t="e">
        <f ca="1"/>
        <v>#N/A</v>
      </c>
      <c r="CCB538" s="22" t="e">
        <f ca="1"/>
        <v>#N/A</v>
      </c>
      <c r="CCC538" s="22" t="e">
        <f ca="1"/>
        <v>#N/A</v>
      </c>
      <c r="CCD538" s="22" t="e">
        <f ca="1"/>
        <v>#N/A</v>
      </c>
      <c r="CCE538" s="22" t="e">
        <f ca="1"/>
        <v>#N/A</v>
      </c>
      <c r="CCF538" s="22" t="e">
        <f ca="1"/>
        <v>#N/A</v>
      </c>
      <c r="CCG538" s="22" t="e">
        <f ca="1"/>
        <v>#N/A</v>
      </c>
      <c r="CCH538" s="22" t="e">
        <f ca="1"/>
        <v>#N/A</v>
      </c>
      <c r="CCI538" s="22" t="e">
        <f ca="1"/>
        <v>#N/A</v>
      </c>
      <c r="CCJ538" s="22" t="e">
        <f ca="1"/>
        <v>#N/A</v>
      </c>
      <c r="CCK538" s="22" t="e">
        <f ca="1"/>
        <v>#N/A</v>
      </c>
      <c r="CCL538" s="22" t="e">
        <f ca="1"/>
        <v>#N/A</v>
      </c>
      <c r="CCM538" s="22" t="e">
        <f ca="1"/>
        <v>#N/A</v>
      </c>
      <c r="CCN538" s="22" t="e">
        <f ca="1"/>
        <v>#N/A</v>
      </c>
      <c r="CCO538" s="22" t="e">
        <f ca="1"/>
        <v>#N/A</v>
      </c>
      <c r="CCP538" s="22" t="e">
        <f ca="1"/>
        <v>#N/A</v>
      </c>
      <c r="CCQ538" s="22" t="e">
        <f ca="1"/>
        <v>#N/A</v>
      </c>
      <c r="CCR538" s="22" t="e">
        <f ca="1"/>
        <v>#N/A</v>
      </c>
      <c r="CCS538" s="22" t="e">
        <f ca="1"/>
        <v>#N/A</v>
      </c>
      <c r="CCT538" s="22" t="e">
        <f ca="1"/>
        <v>#N/A</v>
      </c>
      <c r="CCU538" s="22" t="e">
        <f ca="1"/>
        <v>#N/A</v>
      </c>
      <c r="CCV538" s="22" t="e">
        <f ca="1"/>
        <v>#N/A</v>
      </c>
      <c r="CCW538" s="22" t="e">
        <f ca="1"/>
        <v>#N/A</v>
      </c>
      <c r="CCX538" s="22" t="e">
        <f ca="1"/>
        <v>#N/A</v>
      </c>
      <c r="CCY538" s="22" t="e">
        <f ca="1"/>
        <v>#N/A</v>
      </c>
      <c r="CCZ538" s="22" t="e">
        <f ca="1"/>
        <v>#N/A</v>
      </c>
      <c r="CDA538" s="22" t="e">
        <f ca="1"/>
        <v>#N/A</v>
      </c>
      <c r="CDB538" s="22" t="e">
        <f ca="1"/>
        <v>#N/A</v>
      </c>
      <c r="CDC538" s="22" t="e">
        <f ca="1"/>
        <v>#N/A</v>
      </c>
      <c r="CDD538" s="22" t="e">
        <f ca="1"/>
        <v>#N/A</v>
      </c>
      <c r="CDE538" s="22" t="e">
        <f ca="1"/>
        <v>#N/A</v>
      </c>
      <c r="CDF538" s="22" t="e">
        <f ca="1"/>
        <v>#N/A</v>
      </c>
      <c r="CDG538" s="22" t="e">
        <f ca="1"/>
        <v>#N/A</v>
      </c>
      <c r="CDH538" s="22" t="e">
        <f ca="1"/>
        <v>#N/A</v>
      </c>
      <c r="CDI538" s="22" t="e">
        <f ca="1"/>
        <v>#N/A</v>
      </c>
      <c r="CDJ538" s="22" t="e">
        <f ca="1"/>
        <v>#N/A</v>
      </c>
      <c r="CDK538" s="22" t="e">
        <f ca="1"/>
        <v>#N/A</v>
      </c>
      <c r="CDL538" s="22" t="e">
        <f ca="1"/>
        <v>#N/A</v>
      </c>
      <c r="CDM538" s="22" t="e">
        <f ca="1"/>
        <v>#N/A</v>
      </c>
      <c r="CDN538" s="22" t="e">
        <f ca="1"/>
        <v>#N/A</v>
      </c>
      <c r="CDO538" s="22" t="e">
        <f ca="1"/>
        <v>#N/A</v>
      </c>
      <c r="CDP538" s="22" t="e">
        <f ca="1"/>
        <v>#N/A</v>
      </c>
      <c r="CDQ538" s="22" t="e">
        <f ca="1"/>
        <v>#N/A</v>
      </c>
      <c r="CDR538" s="22" t="e">
        <f ca="1"/>
        <v>#N/A</v>
      </c>
      <c r="CDS538" s="22" t="e">
        <f ca="1"/>
        <v>#N/A</v>
      </c>
      <c r="CDT538" s="22" t="e">
        <f ca="1"/>
        <v>#N/A</v>
      </c>
      <c r="CDU538" s="22" t="e">
        <f ca="1"/>
        <v>#N/A</v>
      </c>
      <c r="CDV538" s="22" t="e">
        <f ca="1"/>
        <v>#N/A</v>
      </c>
      <c r="CDW538" s="22" t="e">
        <f ca="1"/>
        <v>#N/A</v>
      </c>
      <c r="CDX538" s="22" t="e">
        <f ca="1"/>
        <v>#N/A</v>
      </c>
      <c r="CDY538" s="22" t="e">
        <f ca="1"/>
        <v>#N/A</v>
      </c>
      <c r="CDZ538" s="22" t="e">
        <f ca="1"/>
        <v>#N/A</v>
      </c>
      <c r="CEA538" s="22" t="e">
        <f ca="1"/>
        <v>#N/A</v>
      </c>
      <c r="CEB538" s="22" t="e">
        <f ca="1"/>
        <v>#N/A</v>
      </c>
      <c r="CEC538" s="22" t="e">
        <f ca="1"/>
        <v>#N/A</v>
      </c>
      <c r="CED538" s="22" t="e">
        <f ca="1"/>
        <v>#N/A</v>
      </c>
      <c r="CEE538" s="22" t="e">
        <f ca="1"/>
        <v>#N/A</v>
      </c>
      <c r="CEF538" s="22" t="e">
        <f ca="1"/>
        <v>#N/A</v>
      </c>
      <c r="CEG538" s="22" t="e">
        <f ca="1"/>
        <v>#N/A</v>
      </c>
      <c r="CEH538" s="22" t="e">
        <f ca="1"/>
        <v>#N/A</v>
      </c>
      <c r="CEI538" s="22" t="e">
        <f ca="1"/>
        <v>#N/A</v>
      </c>
      <c r="CEJ538" s="22" t="e">
        <f ca="1"/>
        <v>#N/A</v>
      </c>
      <c r="CEK538" s="22" t="e">
        <f ca="1"/>
        <v>#N/A</v>
      </c>
      <c r="CEL538" s="22" t="e">
        <f ca="1"/>
        <v>#N/A</v>
      </c>
      <c r="CEM538" s="22" t="e">
        <f ca="1"/>
        <v>#N/A</v>
      </c>
      <c r="CEN538" s="22" t="e">
        <f ca="1"/>
        <v>#N/A</v>
      </c>
      <c r="CEO538" s="22" t="e">
        <f ca="1"/>
        <v>#N/A</v>
      </c>
      <c r="CEP538" s="22" t="e">
        <f ca="1"/>
        <v>#N/A</v>
      </c>
      <c r="CEQ538" s="22" t="e">
        <f ca="1"/>
        <v>#N/A</v>
      </c>
      <c r="CER538" s="22" t="e">
        <f ca="1"/>
        <v>#N/A</v>
      </c>
      <c r="CES538" s="22" t="e">
        <f ca="1"/>
        <v>#N/A</v>
      </c>
      <c r="CET538" s="22" t="e">
        <f ca="1"/>
        <v>#N/A</v>
      </c>
      <c r="CEU538" s="22" t="e">
        <f ca="1"/>
        <v>#N/A</v>
      </c>
      <c r="CEV538" s="22" t="e">
        <f ca="1"/>
        <v>#N/A</v>
      </c>
      <c r="CEW538" s="22" t="e">
        <f ca="1"/>
        <v>#N/A</v>
      </c>
      <c r="CEX538" s="22" t="e">
        <f ca="1"/>
        <v>#N/A</v>
      </c>
      <c r="CEY538" s="22" t="e">
        <f ca="1"/>
        <v>#N/A</v>
      </c>
      <c r="CEZ538" s="22" t="e">
        <f ca="1"/>
        <v>#N/A</v>
      </c>
      <c r="CFA538" s="22" t="e">
        <f ca="1"/>
        <v>#N/A</v>
      </c>
      <c r="CFB538" s="22" t="e">
        <f ca="1"/>
        <v>#N/A</v>
      </c>
      <c r="CFC538" s="22" t="e">
        <f ca="1"/>
        <v>#N/A</v>
      </c>
      <c r="CFD538" s="22" t="e">
        <f ca="1"/>
        <v>#N/A</v>
      </c>
      <c r="CFE538" s="22" t="e">
        <f ca="1"/>
        <v>#N/A</v>
      </c>
      <c r="CFF538" s="22" t="e">
        <f ca="1"/>
        <v>#N/A</v>
      </c>
      <c r="CFG538" s="22" t="e">
        <f ca="1"/>
        <v>#N/A</v>
      </c>
      <c r="CFH538" s="22" t="e">
        <f ca="1"/>
        <v>#N/A</v>
      </c>
      <c r="CFI538" s="22" t="e">
        <f ca="1"/>
        <v>#N/A</v>
      </c>
      <c r="CFJ538" s="22" t="e">
        <f ca="1"/>
        <v>#N/A</v>
      </c>
      <c r="CFK538" s="22" t="e">
        <f ca="1"/>
        <v>#N/A</v>
      </c>
      <c r="CFL538" s="22" t="e">
        <f ca="1"/>
        <v>#N/A</v>
      </c>
      <c r="CFM538" s="22" t="e">
        <f ca="1"/>
        <v>#N/A</v>
      </c>
      <c r="CFN538" s="22" t="e">
        <f ca="1"/>
        <v>#N/A</v>
      </c>
      <c r="CFO538" s="22" t="e">
        <f ca="1"/>
        <v>#N/A</v>
      </c>
      <c r="CFP538" s="22" t="e">
        <f ca="1"/>
        <v>#N/A</v>
      </c>
      <c r="CFQ538" s="22" t="e">
        <f ca="1"/>
        <v>#N/A</v>
      </c>
      <c r="CFR538" s="22" t="e">
        <f ca="1"/>
        <v>#N/A</v>
      </c>
      <c r="CFS538" s="22" t="e">
        <f ca="1"/>
        <v>#N/A</v>
      </c>
      <c r="CFT538" s="22" t="e">
        <f ca="1"/>
        <v>#N/A</v>
      </c>
      <c r="CFU538" s="22" t="e">
        <f ca="1"/>
        <v>#N/A</v>
      </c>
      <c r="CFV538" s="22" t="e">
        <f ca="1"/>
        <v>#N/A</v>
      </c>
      <c r="CFW538" s="22" t="e">
        <f ca="1"/>
        <v>#N/A</v>
      </c>
      <c r="CFX538" s="22" t="e">
        <f ca="1"/>
        <v>#N/A</v>
      </c>
      <c r="CFY538" s="22" t="e">
        <f ca="1"/>
        <v>#N/A</v>
      </c>
      <c r="CFZ538" s="22" t="e">
        <f ca="1"/>
        <v>#N/A</v>
      </c>
      <c r="CGA538" s="22" t="e">
        <f ca="1"/>
        <v>#N/A</v>
      </c>
      <c r="CGB538" s="22" t="e">
        <f ca="1"/>
        <v>#N/A</v>
      </c>
      <c r="CGC538" s="22" t="e">
        <f ca="1"/>
        <v>#N/A</v>
      </c>
      <c r="CGD538" s="22" t="e">
        <f ca="1"/>
        <v>#N/A</v>
      </c>
      <c r="CGE538" s="22" t="e">
        <f ca="1"/>
        <v>#N/A</v>
      </c>
      <c r="CGF538" s="22" t="e">
        <f ca="1"/>
        <v>#N/A</v>
      </c>
      <c r="CGG538" s="22" t="e">
        <f ca="1"/>
        <v>#N/A</v>
      </c>
      <c r="CGH538" s="22" t="e">
        <f ca="1"/>
        <v>#N/A</v>
      </c>
      <c r="CGI538" s="22" t="e">
        <f ca="1"/>
        <v>#N/A</v>
      </c>
      <c r="CGJ538" s="22" t="e">
        <f ca="1"/>
        <v>#N/A</v>
      </c>
      <c r="CGK538" s="22" t="e">
        <f ca="1"/>
        <v>#N/A</v>
      </c>
      <c r="CGL538" s="22" t="e">
        <f ca="1"/>
        <v>#N/A</v>
      </c>
      <c r="CGM538" s="22" t="e">
        <f ca="1"/>
        <v>#N/A</v>
      </c>
      <c r="CGN538" s="22" t="e">
        <f ca="1"/>
        <v>#N/A</v>
      </c>
      <c r="CGO538" s="22" t="e">
        <f ca="1"/>
        <v>#N/A</v>
      </c>
      <c r="CGP538" s="22" t="e">
        <f ca="1"/>
        <v>#N/A</v>
      </c>
      <c r="CGQ538" s="22" t="e">
        <f ca="1"/>
        <v>#N/A</v>
      </c>
      <c r="CGR538" s="22" t="e">
        <f ca="1"/>
        <v>#N/A</v>
      </c>
      <c r="CGS538" s="22" t="e">
        <f ca="1"/>
        <v>#N/A</v>
      </c>
      <c r="CGT538" s="22" t="e">
        <f ca="1"/>
        <v>#N/A</v>
      </c>
      <c r="CGU538" s="22" t="e">
        <f ca="1"/>
        <v>#N/A</v>
      </c>
      <c r="CGV538" s="22" t="e">
        <f ca="1"/>
        <v>#N/A</v>
      </c>
      <c r="CGW538" s="22" t="e">
        <f ca="1"/>
        <v>#N/A</v>
      </c>
      <c r="CGX538" s="22" t="e">
        <f ca="1"/>
        <v>#N/A</v>
      </c>
      <c r="CGY538" s="22" t="e">
        <f ca="1"/>
        <v>#N/A</v>
      </c>
      <c r="CGZ538" s="22" t="e">
        <f ca="1"/>
        <v>#N/A</v>
      </c>
      <c r="CHA538" s="22" t="e">
        <f ca="1"/>
        <v>#N/A</v>
      </c>
      <c r="CHB538" s="22" t="e">
        <f ca="1"/>
        <v>#N/A</v>
      </c>
      <c r="CHC538" s="22" t="e">
        <f ca="1"/>
        <v>#N/A</v>
      </c>
      <c r="CHD538" s="22" t="e">
        <f ca="1"/>
        <v>#N/A</v>
      </c>
      <c r="CHE538" s="22" t="e">
        <f ca="1"/>
        <v>#N/A</v>
      </c>
      <c r="CHF538" s="22" t="e">
        <f ca="1"/>
        <v>#N/A</v>
      </c>
      <c r="CHG538" s="22" t="e">
        <f ca="1"/>
        <v>#N/A</v>
      </c>
      <c r="CHH538" s="22" t="e">
        <f ca="1"/>
        <v>#N/A</v>
      </c>
      <c r="CHI538" s="22" t="e">
        <f ca="1"/>
        <v>#N/A</v>
      </c>
      <c r="CHJ538" s="22" t="e">
        <f ca="1"/>
        <v>#N/A</v>
      </c>
      <c r="CHK538" s="22" t="e">
        <f ca="1"/>
        <v>#N/A</v>
      </c>
      <c r="CHL538" s="22" t="e">
        <f ca="1"/>
        <v>#N/A</v>
      </c>
      <c r="CHM538" s="22" t="e">
        <f ca="1"/>
        <v>#N/A</v>
      </c>
      <c r="CHN538" s="22" t="e">
        <f ca="1"/>
        <v>#N/A</v>
      </c>
      <c r="CHO538" s="22" t="e">
        <f ca="1"/>
        <v>#N/A</v>
      </c>
      <c r="CHP538" s="22" t="e">
        <f ca="1"/>
        <v>#N/A</v>
      </c>
      <c r="CHQ538" s="22" t="e">
        <f ca="1"/>
        <v>#N/A</v>
      </c>
      <c r="CHR538" s="22" t="e">
        <f ca="1"/>
        <v>#N/A</v>
      </c>
      <c r="CHS538" s="22" t="e">
        <f ca="1"/>
        <v>#N/A</v>
      </c>
      <c r="CHT538" s="22" t="e">
        <f ca="1"/>
        <v>#N/A</v>
      </c>
      <c r="CHU538" s="22" t="e">
        <f ca="1"/>
        <v>#N/A</v>
      </c>
      <c r="CHV538" s="22" t="e">
        <f ca="1"/>
        <v>#N/A</v>
      </c>
      <c r="CHW538" s="22" t="e">
        <f ca="1"/>
        <v>#N/A</v>
      </c>
      <c r="CHX538" s="22" t="e">
        <f ca="1"/>
        <v>#N/A</v>
      </c>
      <c r="CHY538" s="22" t="e">
        <f ca="1"/>
        <v>#N/A</v>
      </c>
      <c r="CHZ538" s="22" t="e">
        <f ca="1"/>
        <v>#N/A</v>
      </c>
      <c r="CIA538" s="22" t="e">
        <f ca="1"/>
        <v>#N/A</v>
      </c>
      <c r="CIB538" s="22" t="e">
        <f ca="1"/>
        <v>#N/A</v>
      </c>
      <c r="CIC538" s="22" t="e">
        <f ca="1"/>
        <v>#N/A</v>
      </c>
      <c r="CID538" s="22" t="e">
        <f ca="1"/>
        <v>#N/A</v>
      </c>
      <c r="CIE538" s="22" t="e">
        <f ca="1"/>
        <v>#N/A</v>
      </c>
      <c r="CIF538" s="22" t="e">
        <f ca="1"/>
        <v>#N/A</v>
      </c>
      <c r="CIG538" s="22" t="e">
        <f ca="1"/>
        <v>#N/A</v>
      </c>
      <c r="CIH538" s="22" t="e">
        <f ca="1"/>
        <v>#N/A</v>
      </c>
      <c r="CII538" s="22" t="e">
        <f ca="1"/>
        <v>#N/A</v>
      </c>
      <c r="CIJ538" s="22" t="e">
        <f ca="1"/>
        <v>#N/A</v>
      </c>
      <c r="CIK538" s="22" t="e">
        <f ca="1"/>
        <v>#N/A</v>
      </c>
      <c r="CIL538" s="22" t="e">
        <f ca="1"/>
        <v>#N/A</v>
      </c>
      <c r="CIM538" s="22" t="e">
        <f ca="1"/>
        <v>#N/A</v>
      </c>
      <c r="CIN538" s="22" t="e">
        <f ca="1"/>
        <v>#N/A</v>
      </c>
      <c r="CIO538" s="22" t="e">
        <f ca="1"/>
        <v>#N/A</v>
      </c>
      <c r="CIP538" s="22" t="e">
        <f ca="1"/>
        <v>#N/A</v>
      </c>
      <c r="CIQ538" s="22" t="e">
        <f ca="1"/>
        <v>#N/A</v>
      </c>
      <c r="CIR538" s="22" t="e">
        <f ca="1"/>
        <v>#N/A</v>
      </c>
      <c r="CIS538" s="22" t="e">
        <f ca="1"/>
        <v>#N/A</v>
      </c>
      <c r="CIT538" s="22" t="e">
        <f ca="1"/>
        <v>#N/A</v>
      </c>
      <c r="CIU538" s="22" t="e">
        <f ca="1"/>
        <v>#N/A</v>
      </c>
      <c r="CIV538" s="22" t="e">
        <f ca="1"/>
        <v>#N/A</v>
      </c>
      <c r="CIW538" s="22" t="e">
        <f ca="1"/>
        <v>#N/A</v>
      </c>
      <c r="CIX538" s="22" t="e">
        <f ca="1"/>
        <v>#N/A</v>
      </c>
      <c r="CIY538" s="22" t="e">
        <f ca="1"/>
        <v>#N/A</v>
      </c>
      <c r="CIZ538" s="22" t="e">
        <f ca="1"/>
        <v>#N/A</v>
      </c>
      <c r="CJA538" s="22" t="e">
        <f ca="1"/>
        <v>#N/A</v>
      </c>
      <c r="CJB538" s="22" t="e">
        <f ca="1"/>
        <v>#N/A</v>
      </c>
      <c r="CJC538" s="22" t="e">
        <f ca="1"/>
        <v>#N/A</v>
      </c>
      <c r="CJD538" s="22" t="e">
        <f ca="1"/>
        <v>#N/A</v>
      </c>
      <c r="CJE538" s="22" t="e">
        <f ca="1"/>
        <v>#N/A</v>
      </c>
      <c r="CJF538" s="22" t="e">
        <f ca="1"/>
        <v>#N/A</v>
      </c>
      <c r="CJG538" s="22" t="e">
        <f ca="1"/>
        <v>#N/A</v>
      </c>
      <c r="CJH538" s="22" t="e">
        <f ca="1"/>
        <v>#N/A</v>
      </c>
      <c r="CJI538" s="22" t="e">
        <f ca="1"/>
        <v>#N/A</v>
      </c>
      <c r="CJJ538" s="22" t="e">
        <f ca="1"/>
        <v>#N/A</v>
      </c>
      <c r="CJK538" s="22" t="e">
        <f ca="1"/>
        <v>#N/A</v>
      </c>
      <c r="CJL538" s="22" t="e">
        <f ca="1"/>
        <v>#N/A</v>
      </c>
      <c r="CJM538" s="22" t="e">
        <f ca="1"/>
        <v>#N/A</v>
      </c>
      <c r="CJN538" s="22" t="e">
        <f ca="1"/>
        <v>#N/A</v>
      </c>
      <c r="CJO538" s="22" t="e">
        <f ca="1"/>
        <v>#N/A</v>
      </c>
      <c r="CJP538" s="22" t="e">
        <f ca="1"/>
        <v>#N/A</v>
      </c>
      <c r="CJQ538" s="22" t="e">
        <f ca="1"/>
        <v>#N/A</v>
      </c>
      <c r="CJR538" s="22" t="e">
        <f ca="1"/>
        <v>#N/A</v>
      </c>
      <c r="CJS538" s="22" t="e">
        <f ca="1"/>
        <v>#N/A</v>
      </c>
      <c r="CJT538" s="22" t="e">
        <f ca="1"/>
        <v>#N/A</v>
      </c>
      <c r="CJU538" s="22" t="e">
        <f ca="1"/>
        <v>#N/A</v>
      </c>
      <c r="CJV538" s="22" t="e">
        <f ca="1"/>
        <v>#N/A</v>
      </c>
      <c r="CJW538" s="22" t="e">
        <f ca="1"/>
        <v>#N/A</v>
      </c>
      <c r="CJX538" s="22" t="e">
        <f ca="1"/>
        <v>#N/A</v>
      </c>
      <c r="CJY538" s="22" t="e">
        <f ca="1"/>
        <v>#N/A</v>
      </c>
      <c r="CJZ538" s="22" t="e">
        <f ca="1"/>
        <v>#N/A</v>
      </c>
      <c r="CKA538" s="22" t="e">
        <f ca="1"/>
        <v>#N/A</v>
      </c>
      <c r="CKB538" s="22" t="e">
        <f ca="1"/>
        <v>#N/A</v>
      </c>
      <c r="CKC538" s="22" t="e">
        <f ca="1"/>
        <v>#N/A</v>
      </c>
      <c r="CKD538" s="22" t="e">
        <f ca="1"/>
        <v>#N/A</v>
      </c>
      <c r="CKE538" s="22" t="e">
        <f ca="1"/>
        <v>#N/A</v>
      </c>
      <c r="CKF538" s="22" t="e">
        <f ca="1"/>
        <v>#N/A</v>
      </c>
      <c r="CKG538" s="22" t="e">
        <f ca="1"/>
        <v>#N/A</v>
      </c>
      <c r="CKH538" s="22" t="e">
        <f ca="1"/>
        <v>#N/A</v>
      </c>
      <c r="CKI538" s="22" t="e">
        <f ca="1"/>
        <v>#N/A</v>
      </c>
      <c r="CKJ538" s="22" t="e">
        <f ca="1"/>
        <v>#N/A</v>
      </c>
      <c r="CKK538" s="22" t="e">
        <f ca="1"/>
        <v>#N/A</v>
      </c>
      <c r="CKL538" s="22" t="e">
        <f ca="1"/>
        <v>#N/A</v>
      </c>
      <c r="CKM538" s="22" t="e">
        <f ca="1"/>
        <v>#N/A</v>
      </c>
      <c r="CKN538" s="22" t="e">
        <f ca="1"/>
        <v>#N/A</v>
      </c>
      <c r="CKO538" s="22" t="e">
        <f ca="1"/>
        <v>#N/A</v>
      </c>
      <c r="CKP538" s="22" t="e">
        <f ca="1"/>
        <v>#N/A</v>
      </c>
      <c r="CKQ538" s="22" t="e">
        <f ca="1"/>
        <v>#N/A</v>
      </c>
      <c r="CKR538" s="22" t="e">
        <f ca="1"/>
        <v>#N/A</v>
      </c>
      <c r="CKS538" s="22" t="e">
        <f ca="1"/>
        <v>#N/A</v>
      </c>
      <c r="CKT538" s="22" t="e">
        <f ca="1"/>
        <v>#N/A</v>
      </c>
      <c r="CKU538" s="22" t="e">
        <f ca="1"/>
        <v>#N/A</v>
      </c>
      <c r="CKV538" s="22" t="e">
        <f ca="1"/>
        <v>#N/A</v>
      </c>
      <c r="CKW538" s="22" t="e">
        <f ca="1"/>
        <v>#N/A</v>
      </c>
      <c r="CKX538" s="22" t="e">
        <f ca="1"/>
        <v>#N/A</v>
      </c>
      <c r="CKY538" s="22" t="e">
        <f ca="1"/>
        <v>#N/A</v>
      </c>
      <c r="CKZ538" s="22" t="e">
        <f ca="1"/>
        <v>#N/A</v>
      </c>
      <c r="CLA538" s="22" t="e">
        <f ca="1"/>
        <v>#N/A</v>
      </c>
      <c r="CLB538" s="22" t="e">
        <f ca="1"/>
        <v>#N/A</v>
      </c>
      <c r="CLC538" s="22" t="e">
        <f ca="1"/>
        <v>#N/A</v>
      </c>
      <c r="CLD538" s="22" t="e">
        <f ca="1"/>
        <v>#N/A</v>
      </c>
      <c r="CLE538" s="22" t="e">
        <f ca="1"/>
        <v>#N/A</v>
      </c>
      <c r="CLF538" s="22" t="e">
        <f ca="1"/>
        <v>#N/A</v>
      </c>
      <c r="CLG538" s="22" t="e">
        <f ca="1"/>
        <v>#N/A</v>
      </c>
      <c r="CLH538" s="22" t="e">
        <f ca="1"/>
        <v>#N/A</v>
      </c>
      <c r="CLI538" s="22" t="e">
        <f ca="1"/>
        <v>#N/A</v>
      </c>
      <c r="CLJ538" s="22" t="e">
        <f ca="1"/>
        <v>#N/A</v>
      </c>
      <c r="CLK538" s="22" t="e">
        <f ca="1"/>
        <v>#N/A</v>
      </c>
      <c r="CLL538" s="22" t="e">
        <f ca="1"/>
        <v>#N/A</v>
      </c>
      <c r="CLM538" s="22" t="e">
        <f ca="1"/>
        <v>#N/A</v>
      </c>
      <c r="CLN538" s="22" t="e">
        <f ca="1"/>
        <v>#N/A</v>
      </c>
      <c r="CLO538" s="22" t="e">
        <f ca="1"/>
        <v>#N/A</v>
      </c>
      <c r="CLP538" s="22" t="e">
        <f ca="1"/>
        <v>#N/A</v>
      </c>
      <c r="CLQ538" s="22" t="e">
        <f ca="1"/>
        <v>#N/A</v>
      </c>
      <c r="CLR538" s="22" t="e">
        <f ca="1"/>
        <v>#N/A</v>
      </c>
      <c r="CLS538" s="22" t="e">
        <f ca="1"/>
        <v>#N/A</v>
      </c>
      <c r="CLT538" s="22" t="e">
        <f ca="1"/>
        <v>#N/A</v>
      </c>
      <c r="CLU538" s="22" t="e">
        <f ca="1"/>
        <v>#N/A</v>
      </c>
      <c r="CLV538" s="22" t="e">
        <f ca="1"/>
        <v>#N/A</v>
      </c>
      <c r="CLW538" s="22" t="e">
        <f ca="1"/>
        <v>#N/A</v>
      </c>
      <c r="CLX538" s="22" t="e">
        <f ca="1"/>
        <v>#N/A</v>
      </c>
      <c r="CLY538" s="22" t="e">
        <f ca="1"/>
        <v>#N/A</v>
      </c>
      <c r="CLZ538" s="22" t="e">
        <f ca="1"/>
        <v>#N/A</v>
      </c>
      <c r="CMA538" s="22" t="e">
        <f ca="1"/>
        <v>#N/A</v>
      </c>
      <c r="CMB538" s="22" t="e">
        <f ca="1"/>
        <v>#N/A</v>
      </c>
      <c r="CMC538" s="22" t="e">
        <f ca="1"/>
        <v>#N/A</v>
      </c>
      <c r="CMD538" s="22" t="e">
        <f ca="1"/>
        <v>#N/A</v>
      </c>
      <c r="CME538" s="22" t="e">
        <f ca="1"/>
        <v>#N/A</v>
      </c>
      <c r="CMF538" s="22" t="e">
        <f ca="1"/>
        <v>#N/A</v>
      </c>
      <c r="CMG538" s="22" t="e">
        <f ca="1"/>
        <v>#N/A</v>
      </c>
      <c r="CMH538" s="22" t="e">
        <f ca="1"/>
        <v>#N/A</v>
      </c>
      <c r="CMI538" s="22" t="e">
        <f ca="1"/>
        <v>#N/A</v>
      </c>
      <c r="CMJ538" s="22" t="e">
        <f ca="1"/>
        <v>#N/A</v>
      </c>
      <c r="CMK538" s="22" t="e">
        <f ca="1"/>
        <v>#N/A</v>
      </c>
      <c r="CML538" s="22" t="e">
        <f ca="1"/>
        <v>#N/A</v>
      </c>
      <c r="CMM538" s="22" t="e">
        <f ca="1"/>
        <v>#N/A</v>
      </c>
      <c r="CMN538" s="22" t="e">
        <f ca="1"/>
        <v>#N/A</v>
      </c>
      <c r="CMO538" s="22" t="e">
        <f ca="1"/>
        <v>#N/A</v>
      </c>
      <c r="CMP538" s="22" t="e">
        <f ca="1"/>
        <v>#N/A</v>
      </c>
      <c r="CMQ538" s="22" t="e">
        <f ca="1"/>
        <v>#N/A</v>
      </c>
      <c r="CMR538" s="22" t="e">
        <f ca="1"/>
        <v>#N/A</v>
      </c>
      <c r="CMS538" s="22" t="e">
        <f ca="1"/>
        <v>#N/A</v>
      </c>
      <c r="CMT538" s="22" t="e">
        <f ca="1"/>
        <v>#N/A</v>
      </c>
      <c r="CMU538" s="22" t="e">
        <f ca="1"/>
        <v>#N/A</v>
      </c>
      <c r="CMV538" s="22" t="e">
        <f ca="1"/>
        <v>#N/A</v>
      </c>
      <c r="CMW538" s="22" t="e">
        <f ca="1"/>
        <v>#N/A</v>
      </c>
      <c r="CMX538" s="22" t="e">
        <f ca="1"/>
        <v>#N/A</v>
      </c>
      <c r="CMY538" s="22" t="e">
        <f ca="1"/>
        <v>#N/A</v>
      </c>
      <c r="CMZ538" s="22" t="e">
        <f ca="1"/>
        <v>#N/A</v>
      </c>
      <c r="CNA538" s="22" t="e">
        <f ca="1"/>
        <v>#N/A</v>
      </c>
      <c r="CNB538" s="22" t="e">
        <f ca="1"/>
        <v>#N/A</v>
      </c>
      <c r="CNC538" s="22" t="e">
        <f ca="1"/>
        <v>#N/A</v>
      </c>
      <c r="CND538" s="22" t="e">
        <f ca="1"/>
        <v>#N/A</v>
      </c>
      <c r="CNE538" s="22" t="e">
        <f ca="1"/>
        <v>#N/A</v>
      </c>
      <c r="CNF538" s="22" t="e">
        <f ca="1"/>
        <v>#N/A</v>
      </c>
      <c r="CNG538" s="22" t="e">
        <f ca="1"/>
        <v>#N/A</v>
      </c>
      <c r="CNH538" s="22" t="e">
        <f ca="1"/>
        <v>#N/A</v>
      </c>
      <c r="CNI538" s="22" t="e">
        <f ca="1"/>
        <v>#N/A</v>
      </c>
      <c r="CNJ538" s="22" t="e">
        <f ca="1"/>
        <v>#N/A</v>
      </c>
      <c r="CNK538" s="22" t="e">
        <f ca="1"/>
        <v>#N/A</v>
      </c>
      <c r="CNL538" s="22" t="e">
        <f ca="1"/>
        <v>#N/A</v>
      </c>
      <c r="CNM538" s="22" t="e">
        <f ca="1"/>
        <v>#N/A</v>
      </c>
      <c r="CNN538" s="22" t="e">
        <f ca="1"/>
        <v>#N/A</v>
      </c>
      <c r="CNO538" s="22" t="e">
        <f ca="1"/>
        <v>#N/A</v>
      </c>
      <c r="CNP538" s="22" t="e">
        <f ca="1"/>
        <v>#N/A</v>
      </c>
      <c r="CNQ538" s="22" t="e">
        <f ca="1"/>
        <v>#N/A</v>
      </c>
      <c r="CNR538" s="22" t="e">
        <f ca="1"/>
        <v>#N/A</v>
      </c>
      <c r="CNS538" s="22" t="e">
        <f ca="1"/>
        <v>#N/A</v>
      </c>
      <c r="CNT538" s="22" t="e">
        <f ca="1"/>
        <v>#N/A</v>
      </c>
      <c r="CNU538" s="22" t="e">
        <f ca="1"/>
        <v>#N/A</v>
      </c>
      <c r="CNV538" s="22" t="e">
        <f ca="1"/>
        <v>#N/A</v>
      </c>
      <c r="CNW538" s="22" t="e">
        <f ca="1"/>
        <v>#N/A</v>
      </c>
      <c r="CNX538" s="22" t="e">
        <f ca="1"/>
        <v>#N/A</v>
      </c>
      <c r="CNY538" s="22" t="e">
        <f ca="1"/>
        <v>#N/A</v>
      </c>
      <c r="CNZ538" s="22" t="e">
        <f ca="1"/>
        <v>#N/A</v>
      </c>
      <c r="COA538" s="22" t="e">
        <f ca="1"/>
        <v>#N/A</v>
      </c>
      <c r="COB538" s="22" t="e">
        <f ca="1"/>
        <v>#N/A</v>
      </c>
      <c r="COC538" s="22" t="e">
        <f ca="1"/>
        <v>#N/A</v>
      </c>
      <c r="COD538" s="22" t="e">
        <f ca="1"/>
        <v>#N/A</v>
      </c>
      <c r="COE538" s="22" t="e">
        <f ca="1"/>
        <v>#N/A</v>
      </c>
      <c r="COF538" s="22" t="e">
        <f ca="1"/>
        <v>#N/A</v>
      </c>
      <c r="COG538" s="22" t="e">
        <f ca="1"/>
        <v>#N/A</v>
      </c>
      <c r="COH538" s="22" t="e">
        <f ca="1"/>
        <v>#N/A</v>
      </c>
      <c r="COI538" s="22" t="e">
        <f ca="1"/>
        <v>#N/A</v>
      </c>
      <c r="COJ538" s="22" t="e">
        <f ca="1"/>
        <v>#N/A</v>
      </c>
      <c r="COK538" s="22" t="e">
        <f ca="1"/>
        <v>#N/A</v>
      </c>
      <c r="COL538" s="22" t="e">
        <f ca="1"/>
        <v>#N/A</v>
      </c>
      <c r="COM538" s="22" t="e">
        <f ca="1"/>
        <v>#N/A</v>
      </c>
      <c r="CON538" s="22" t="e">
        <f ca="1"/>
        <v>#N/A</v>
      </c>
      <c r="COO538" s="22" t="e">
        <f ca="1"/>
        <v>#N/A</v>
      </c>
      <c r="COP538" s="22" t="e">
        <f ca="1"/>
        <v>#N/A</v>
      </c>
      <c r="COQ538" s="22" t="e">
        <f ca="1"/>
        <v>#N/A</v>
      </c>
      <c r="COR538" s="22" t="e">
        <f ca="1"/>
        <v>#N/A</v>
      </c>
      <c r="COS538" s="22" t="e">
        <f ca="1"/>
        <v>#N/A</v>
      </c>
      <c r="COT538" s="22" t="e">
        <f ca="1"/>
        <v>#N/A</v>
      </c>
      <c r="COU538" s="22" t="e">
        <f ca="1"/>
        <v>#N/A</v>
      </c>
      <c r="COV538" s="22" t="e">
        <f ca="1"/>
        <v>#N/A</v>
      </c>
      <c r="COW538" s="22" t="e">
        <f ca="1"/>
        <v>#N/A</v>
      </c>
      <c r="COX538" s="22" t="e">
        <f ca="1"/>
        <v>#N/A</v>
      </c>
      <c r="COY538" s="22" t="e">
        <f ca="1"/>
        <v>#N/A</v>
      </c>
      <c r="COZ538" s="22" t="e">
        <f ca="1"/>
        <v>#N/A</v>
      </c>
      <c r="CPA538" s="22" t="e">
        <f ca="1"/>
        <v>#N/A</v>
      </c>
      <c r="CPB538" s="22" t="e">
        <f ca="1"/>
        <v>#N/A</v>
      </c>
      <c r="CPC538" s="22" t="e">
        <f ca="1"/>
        <v>#N/A</v>
      </c>
      <c r="CPD538" s="22" t="e">
        <f ca="1"/>
        <v>#N/A</v>
      </c>
      <c r="CPE538" s="22" t="e">
        <f ca="1"/>
        <v>#N/A</v>
      </c>
      <c r="CPF538" s="22" t="e">
        <f ca="1"/>
        <v>#N/A</v>
      </c>
      <c r="CPG538" s="22" t="e">
        <f ca="1"/>
        <v>#N/A</v>
      </c>
      <c r="CPH538" s="22" t="e">
        <f ca="1"/>
        <v>#N/A</v>
      </c>
      <c r="CPI538" s="22" t="e">
        <f ca="1"/>
        <v>#N/A</v>
      </c>
      <c r="CPJ538" s="22" t="e">
        <f ca="1"/>
        <v>#N/A</v>
      </c>
      <c r="CPK538" s="22" t="e">
        <f ca="1"/>
        <v>#N/A</v>
      </c>
      <c r="CPL538" s="22" t="e">
        <f ca="1"/>
        <v>#N/A</v>
      </c>
      <c r="CPM538" s="22" t="e">
        <f ca="1"/>
        <v>#N/A</v>
      </c>
      <c r="CPN538" s="22" t="e">
        <f ca="1"/>
        <v>#N/A</v>
      </c>
      <c r="CPO538" s="22" t="e">
        <f ca="1"/>
        <v>#N/A</v>
      </c>
      <c r="CPP538" s="22" t="e">
        <f ca="1"/>
        <v>#N/A</v>
      </c>
      <c r="CPQ538" s="22" t="e">
        <f ca="1"/>
        <v>#N/A</v>
      </c>
      <c r="CPR538" s="22" t="e">
        <f ca="1"/>
        <v>#N/A</v>
      </c>
      <c r="CPS538" s="22" t="e">
        <f ca="1"/>
        <v>#N/A</v>
      </c>
      <c r="CPT538" s="22" t="e">
        <f ca="1"/>
        <v>#N/A</v>
      </c>
      <c r="CPU538" s="22" t="e">
        <f ca="1"/>
        <v>#N/A</v>
      </c>
      <c r="CPV538" s="22" t="e">
        <f ca="1"/>
        <v>#N/A</v>
      </c>
      <c r="CPW538" s="22" t="e">
        <f ca="1"/>
        <v>#N/A</v>
      </c>
      <c r="CPX538" s="22" t="e">
        <f ca="1"/>
        <v>#N/A</v>
      </c>
      <c r="CPY538" s="22" t="e">
        <f ca="1"/>
        <v>#N/A</v>
      </c>
      <c r="CPZ538" s="22" t="e">
        <f ca="1"/>
        <v>#N/A</v>
      </c>
      <c r="CQA538" s="22" t="e">
        <f ca="1"/>
        <v>#N/A</v>
      </c>
      <c r="CQB538" s="22" t="e">
        <f ca="1"/>
        <v>#N/A</v>
      </c>
      <c r="CQC538" s="22" t="e">
        <f ca="1"/>
        <v>#N/A</v>
      </c>
      <c r="CQD538" s="22" t="e">
        <f ca="1"/>
        <v>#N/A</v>
      </c>
      <c r="CQE538" s="22" t="e">
        <f ca="1"/>
        <v>#N/A</v>
      </c>
      <c r="CQF538" s="22" t="e">
        <f ca="1"/>
        <v>#N/A</v>
      </c>
      <c r="CQG538" s="22" t="e">
        <f ca="1"/>
        <v>#N/A</v>
      </c>
      <c r="CQH538" s="22" t="e">
        <f ca="1"/>
        <v>#N/A</v>
      </c>
      <c r="CQI538" s="22" t="e">
        <f ca="1"/>
        <v>#N/A</v>
      </c>
      <c r="CQJ538" s="22" t="e">
        <f ca="1"/>
        <v>#N/A</v>
      </c>
      <c r="CQK538" s="22" t="e">
        <f ca="1"/>
        <v>#N/A</v>
      </c>
      <c r="CQL538" s="22" t="e">
        <f ca="1"/>
        <v>#N/A</v>
      </c>
      <c r="CQM538" s="22" t="e">
        <f ca="1"/>
        <v>#N/A</v>
      </c>
      <c r="CQN538" s="22" t="e">
        <f ca="1"/>
        <v>#N/A</v>
      </c>
      <c r="CQO538" s="22" t="e">
        <f ca="1"/>
        <v>#N/A</v>
      </c>
      <c r="CQP538" s="22" t="e">
        <f ca="1"/>
        <v>#N/A</v>
      </c>
      <c r="CQQ538" s="22" t="e">
        <f ca="1"/>
        <v>#N/A</v>
      </c>
      <c r="CQR538" s="22" t="e">
        <f ca="1"/>
        <v>#N/A</v>
      </c>
      <c r="CQS538" s="22" t="e">
        <f ca="1"/>
        <v>#N/A</v>
      </c>
      <c r="CQT538" s="22" t="e">
        <f ca="1"/>
        <v>#N/A</v>
      </c>
      <c r="CQU538" s="22" t="e">
        <f ca="1"/>
        <v>#N/A</v>
      </c>
      <c r="CQV538" s="22" t="e">
        <f ca="1"/>
        <v>#N/A</v>
      </c>
      <c r="CQW538" s="22" t="e">
        <f ca="1"/>
        <v>#N/A</v>
      </c>
      <c r="CQX538" s="22" t="e">
        <f ca="1"/>
        <v>#N/A</v>
      </c>
      <c r="CQY538" s="22" t="e">
        <f ca="1"/>
        <v>#N/A</v>
      </c>
      <c r="CQZ538" s="22" t="e">
        <f ca="1"/>
        <v>#N/A</v>
      </c>
      <c r="CRA538" s="22" t="e">
        <f ca="1"/>
        <v>#N/A</v>
      </c>
      <c r="CRB538" s="22" t="e">
        <f ca="1"/>
        <v>#N/A</v>
      </c>
      <c r="CRC538" s="22" t="e">
        <f ca="1"/>
        <v>#N/A</v>
      </c>
      <c r="CRD538" s="22" t="e">
        <f ca="1"/>
        <v>#N/A</v>
      </c>
      <c r="CRE538" s="22" t="e">
        <f ca="1"/>
        <v>#N/A</v>
      </c>
      <c r="CRF538" s="22" t="e">
        <f ca="1"/>
        <v>#N/A</v>
      </c>
      <c r="CRG538" s="22" t="e">
        <f ca="1"/>
        <v>#N/A</v>
      </c>
      <c r="CRH538" s="22" t="e">
        <f ca="1"/>
        <v>#N/A</v>
      </c>
      <c r="CRI538" s="22" t="e">
        <f ca="1"/>
        <v>#N/A</v>
      </c>
      <c r="CRJ538" s="22" t="e">
        <f ca="1"/>
        <v>#N/A</v>
      </c>
      <c r="CRK538" s="22" t="e">
        <f ca="1"/>
        <v>#N/A</v>
      </c>
      <c r="CRL538" s="22" t="e">
        <f ca="1"/>
        <v>#N/A</v>
      </c>
      <c r="CRM538" s="22" t="e">
        <f ca="1"/>
        <v>#N/A</v>
      </c>
      <c r="CRN538" s="22" t="e">
        <f ca="1"/>
        <v>#N/A</v>
      </c>
      <c r="CRO538" s="22" t="e">
        <f ca="1"/>
        <v>#N/A</v>
      </c>
      <c r="CRP538" s="22" t="e">
        <f ca="1"/>
        <v>#N/A</v>
      </c>
      <c r="CRQ538" s="22" t="e">
        <f ca="1"/>
        <v>#N/A</v>
      </c>
      <c r="CRR538" s="22" t="e">
        <f ca="1"/>
        <v>#N/A</v>
      </c>
      <c r="CRS538" s="22" t="e">
        <f ca="1"/>
        <v>#N/A</v>
      </c>
      <c r="CRT538" s="22" t="e">
        <f ca="1"/>
        <v>#N/A</v>
      </c>
      <c r="CRU538" s="22" t="e">
        <f ca="1"/>
        <v>#N/A</v>
      </c>
      <c r="CRV538" s="22" t="e">
        <f ca="1"/>
        <v>#N/A</v>
      </c>
      <c r="CRW538" s="22" t="e">
        <f ca="1"/>
        <v>#N/A</v>
      </c>
      <c r="CRX538" s="22" t="e">
        <f ca="1"/>
        <v>#N/A</v>
      </c>
      <c r="CRY538" s="22" t="e">
        <f ca="1"/>
        <v>#N/A</v>
      </c>
      <c r="CRZ538" s="22" t="e">
        <f ca="1"/>
        <v>#N/A</v>
      </c>
      <c r="CSA538" s="22" t="e">
        <f ca="1"/>
        <v>#N/A</v>
      </c>
      <c r="CSB538" s="22" t="e">
        <f ca="1"/>
        <v>#N/A</v>
      </c>
      <c r="CSC538" s="22" t="e">
        <f ca="1"/>
        <v>#N/A</v>
      </c>
      <c r="CSD538" s="22" t="e">
        <f ca="1"/>
        <v>#N/A</v>
      </c>
      <c r="CSE538" s="22" t="e">
        <f ca="1"/>
        <v>#N/A</v>
      </c>
      <c r="CSF538" s="22" t="e">
        <f ca="1"/>
        <v>#N/A</v>
      </c>
      <c r="CSG538" s="22" t="e">
        <f ca="1"/>
        <v>#N/A</v>
      </c>
      <c r="CSH538" s="22" t="e">
        <f ca="1"/>
        <v>#N/A</v>
      </c>
      <c r="CSI538" s="22" t="e">
        <f ca="1"/>
        <v>#N/A</v>
      </c>
      <c r="CSJ538" s="22" t="e">
        <f ca="1"/>
        <v>#N/A</v>
      </c>
      <c r="CSK538" s="22" t="e">
        <f ca="1"/>
        <v>#N/A</v>
      </c>
      <c r="CSL538" s="22" t="e">
        <f ca="1"/>
        <v>#N/A</v>
      </c>
      <c r="CSM538" s="22" t="e">
        <f ca="1"/>
        <v>#N/A</v>
      </c>
      <c r="CSN538" s="22" t="e">
        <f ca="1"/>
        <v>#N/A</v>
      </c>
      <c r="CSO538" s="22" t="e">
        <f ca="1"/>
        <v>#N/A</v>
      </c>
      <c r="CSP538" s="22" t="e">
        <f ca="1"/>
        <v>#N/A</v>
      </c>
      <c r="CSQ538" s="22" t="e">
        <f ca="1"/>
        <v>#N/A</v>
      </c>
      <c r="CSR538" s="22" t="e">
        <f ca="1"/>
        <v>#N/A</v>
      </c>
      <c r="CSS538" s="22" t="e">
        <f ca="1"/>
        <v>#N/A</v>
      </c>
      <c r="CST538" s="22" t="e">
        <f ca="1"/>
        <v>#N/A</v>
      </c>
      <c r="CSU538" s="22" t="e">
        <f ca="1"/>
        <v>#N/A</v>
      </c>
      <c r="CSV538" s="22" t="e">
        <f ca="1"/>
        <v>#N/A</v>
      </c>
      <c r="CSW538" s="22" t="e">
        <f ca="1"/>
        <v>#N/A</v>
      </c>
      <c r="CSX538" s="22" t="e">
        <f ca="1"/>
        <v>#N/A</v>
      </c>
      <c r="CSY538" s="22" t="e">
        <f ca="1"/>
        <v>#N/A</v>
      </c>
      <c r="CSZ538" s="22" t="e">
        <f ca="1"/>
        <v>#N/A</v>
      </c>
      <c r="CTA538" s="22" t="e">
        <f ca="1"/>
        <v>#N/A</v>
      </c>
      <c r="CTB538" s="22" t="e">
        <f ca="1"/>
        <v>#N/A</v>
      </c>
      <c r="CTC538" s="22" t="e">
        <f ca="1"/>
        <v>#N/A</v>
      </c>
      <c r="CTD538" s="22" t="e">
        <f ca="1"/>
        <v>#N/A</v>
      </c>
      <c r="CTE538" s="22" t="e">
        <f ca="1"/>
        <v>#N/A</v>
      </c>
      <c r="CTF538" s="22" t="e">
        <f ca="1"/>
        <v>#N/A</v>
      </c>
      <c r="CTG538" s="22" t="e">
        <f ca="1"/>
        <v>#N/A</v>
      </c>
      <c r="CTH538" s="22" t="e">
        <f ca="1"/>
        <v>#N/A</v>
      </c>
      <c r="CTI538" s="22" t="e">
        <f ca="1"/>
        <v>#N/A</v>
      </c>
      <c r="CTJ538" s="22" t="e">
        <f ca="1"/>
        <v>#N/A</v>
      </c>
      <c r="CTK538" s="22" t="e">
        <f ca="1"/>
        <v>#N/A</v>
      </c>
      <c r="CTL538" s="22" t="e">
        <f ca="1"/>
        <v>#N/A</v>
      </c>
      <c r="CTM538" s="22" t="e">
        <f ca="1"/>
        <v>#N/A</v>
      </c>
      <c r="CTN538" s="22" t="e">
        <f ca="1"/>
        <v>#N/A</v>
      </c>
      <c r="CTO538" s="22" t="e">
        <f ca="1"/>
        <v>#N/A</v>
      </c>
      <c r="CTP538" s="22" t="e">
        <f ca="1"/>
        <v>#N/A</v>
      </c>
      <c r="CTQ538" s="22" t="e">
        <f ca="1"/>
        <v>#N/A</v>
      </c>
      <c r="CTR538" s="22" t="e">
        <f ca="1"/>
        <v>#N/A</v>
      </c>
      <c r="CTS538" s="22" t="e">
        <f ca="1"/>
        <v>#N/A</v>
      </c>
      <c r="CTT538" s="22" t="e">
        <f ca="1"/>
        <v>#N/A</v>
      </c>
      <c r="CTU538" s="22" t="e">
        <f ca="1"/>
        <v>#N/A</v>
      </c>
      <c r="CTV538" s="22" t="e">
        <f ca="1"/>
        <v>#N/A</v>
      </c>
      <c r="CTW538" s="22" t="e">
        <f ca="1"/>
        <v>#N/A</v>
      </c>
      <c r="CTX538" s="22" t="e">
        <f ca="1"/>
        <v>#N/A</v>
      </c>
      <c r="CTY538" s="22" t="e">
        <f ca="1"/>
        <v>#N/A</v>
      </c>
      <c r="CTZ538" s="22" t="e">
        <f ca="1"/>
        <v>#N/A</v>
      </c>
      <c r="CUA538" s="22" t="e">
        <f ca="1"/>
        <v>#N/A</v>
      </c>
      <c r="CUB538" s="22" t="e">
        <f ca="1"/>
        <v>#N/A</v>
      </c>
      <c r="CUC538" s="22" t="e">
        <f ca="1"/>
        <v>#N/A</v>
      </c>
      <c r="CUD538" s="22" t="e">
        <f ca="1"/>
        <v>#N/A</v>
      </c>
      <c r="CUE538" s="22" t="e">
        <f ca="1"/>
        <v>#N/A</v>
      </c>
      <c r="CUF538" s="22" t="e">
        <f ca="1"/>
        <v>#N/A</v>
      </c>
      <c r="CUG538" s="22" t="e">
        <f ca="1"/>
        <v>#N/A</v>
      </c>
      <c r="CUH538" s="22" t="e">
        <f ca="1"/>
        <v>#N/A</v>
      </c>
      <c r="CUI538" s="22" t="e">
        <f ca="1"/>
        <v>#N/A</v>
      </c>
      <c r="CUJ538" s="22" t="e">
        <f ca="1"/>
        <v>#N/A</v>
      </c>
      <c r="CUK538" s="22" t="e">
        <f ca="1"/>
        <v>#N/A</v>
      </c>
      <c r="CUL538" s="22" t="e">
        <f ca="1"/>
        <v>#N/A</v>
      </c>
      <c r="CUM538" s="22" t="e">
        <f ca="1"/>
        <v>#N/A</v>
      </c>
      <c r="CUN538" s="22" t="e">
        <f ca="1"/>
        <v>#N/A</v>
      </c>
      <c r="CUO538" s="22" t="e">
        <f ca="1"/>
        <v>#N/A</v>
      </c>
      <c r="CUP538" s="22" t="e">
        <f ca="1"/>
        <v>#N/A</v>
      </c>
      <c r="CUQ538" s="22" t="e">
        <f ca="1"/>
        <v>#N/A</v>
      </c>
      <c r="CUR538" s="22" t="e">
        <f ca="1"/>
        <v>#N/A</v>
      </c>
      <c r="CUS538" s="22" t="e">
        <f ca="1"/>
        <v>#N/A</v>
      </c>
      <c r="CUT538" s="22" t="e">
        <f ca="1"/>
        <v>#N/A</v>
      </c>
      <c r="CUU538" s="22" t="e">
        <f ca="1"/>
        <v>#N/A</v>
      </c>
      <c r="CUV538" s="22" t="e">
        <f ca="1"/>
        <v>#N/A</v>
      </c>
      <c r="CUW538" s="22" t="e">
        <f ca="1"/>
        <v>#N/A</v>
      </c>
      <c r="CUX538" s="22" t="e">
        <f ca="1"/>
        <v>#N/A</v>
      </c>
      <c r="CUY538" s="22" t="e">
        <f ca="1"/>
        <v>#N/A</v>
      </c>
      <c r="CUZ538" s="22" t="e">
        <f ca="1"/>
        <v>#N/A</v>
      </c>
      <c r="CVA538" s="22" t="e">
        <f ca="1"/>
        <v>#N/A</v>
      </c>
      <c r="CVB538" s="22" t="e">
        <f ca="1"/>
        <v>#N/A</v>
      </c>
      <c r="CVC538" s="22" t="e">
        <f ca="1"/>
        <v>#N/A</v>
      </c>
      <c r="CVD538" s="22" t="e">
        <f ca="1"/>
        <v>#N/A</v>
      </c>
      <c r="CVE538" s="22" t="e">
        <f ca="1"/>
        <v>#N/A</v>
      </c>
      <c r="CVF538" s="22" t="e">
        <f ca="1"/>
        <v>#N/A</v>
      </c>
      <c r="CVG538" s="22" t="e">
        <f ca="1"/>
        <v>#N/A</v>
      </c>
      <c r="CVH538" s="22" t="e">
        <f ca="1"/>
        <v>#N/A</v>
      </c>
      <c r="CVI538" s="22" t="e">
        <f ca="1"/>
        <v>#N/A</v>
      </c>
      <c r="CVJ538" s="22" t="e">
        <f ca="1"/>
        <v>#N/A</v>
      </c>
      <c r="CVK538" s="22" t="e">
        <f ca="1"/>
        <v>#N/A</v>
      </c>
      <c r="CVL538" s="22" t="e">
        <f ca="1"/>
        <v>#N/A</v>
      </c>
      <c r="CVM538" s="22" t="e">
        <f ca="1"/>
        <v>#N/A</v>
      </c>
      <c r="CVN538" s="22" t="e">
        <f ca="1"/>
        <v>#N/A</v>
      </c>
      <c r="CVO538" s="22" t="e">
        <f ca="1"/>
        <v>#N/A</v>
      </c>
      <c r="CVP538" s="22" t="e">
        <f ca="1"/>
        <v>#N/A</v>
      </c>
      <c r="CVQ538" s="22" t="e">
        <f ca="1"/>
        <v>#N/A</v>
      </c>
      <c r="CVR538" s="22" t="e">
        <f ca="1"/>
        <v>#N/A</v>
      </c>
      <c r="CVS538" s="22" t="e">
        <f ca="1"/>
        <v>#N/A</v>
      </c>
      <c r="CVT538" s="22" t="e">
        <f ca="1"/>
        <v>#N/A</v>
      </c>
      <c r="CVU538" s="22" t="e">
        <f ca="1"/>
        <v>#N/A</v>
      </c>
      <c r="CVV538" s="22" t="e">
        <f ca="1"/>
        <v>#N/A</v>
      </c>
      <c r="CVW538" s="22" t="e">
        <f ca="1"/>
        <v>#N/A</v>
      </c>
      <c r="CVX538" s="22" t="e">
        <f ca="1"/>
        <v>#N/A</v>
      </c>
      <c r="CVY538" s="22" t="e">
        <f ca="1"/>
        <v>#N/A</v>
      </c>
      <c r="CVZ538" s="22" t="e">
        <f ca="1"/>
        <v>#N/A</v>
      </c>
      <c r="CWA538" s="22" t="e">
        <f ca="1"/>
        <v>#N/A</v>
      </c>
      <c r="CWB538" s="22" t="e">
        <f ca="1"/>
        <v>#N/A</v>
      </c>
      <c r="CWC538" s="22" t="e">
        <f ca="1"/>
        <v>#N/A</v>
      </c>
      <c r="CWD538" s="22" t="e">
        <f ca="1"/>
        <v>#N/A</v>
      </c>
      <c r="CWE538" s="22" t="e">
        <f ca="1"/>
        <v>#N/A</v>
      </c>
      <c r="CWF538" s="22" t="e">
        <f ca="1"/>
        <v>#N/A</v>
      </c>
      <c r="CWG538" s="22" t="e">
        <f ca="1"/>
        <v>#N/A</v>
      </c>
      <c r="CWH538" s="22" t="e">
        <f ca="1"/>
        <v>#N/A</v>
      </c>
      <c r="CWI538" s="22" t="e">
        <f ca="1"/>
        <v>#N/A</v>
      </c>
      <c r="CWJ538" s="22" t="e">
        <f ca="1"/>
        <v>#N/A</v>
      </c>
      <c r="CWK538" s="22" t="e">
        <f ca="1"/>
        <v>#N/A</v>
      </c>
      <c r="CWL538" s="22" t="e">
        <f ca="1"/>
        <v>#N/A</v>
      </c>
      <c r="CWM538" s="22" t="e">
        <f ca="1"/>
        <v>#N/A</v>
      </c>
      <c r="CWN538" s="22" t="e">
        <f ca="1"/>
        <v>#N/A</v>
      </c>
      <c r="CWO538" s="22" t="e">
        <f ca="1"/>
        <v>#N/A</v>
      </c>
      <c r="CWP538" s="22" t="e">
        <f ca="1"/>
        <v>#N/A</v>
      </c>
      <c r="CWQ538" s="22" t="e">
        <f ca="1"/>
        <v>#N/A</v>
      </c>
      <c r="CWR538" s="22" t="e">
        <f ca="1"/>
        <v>#N/A</v>
      </c>
      <c r="CWS538" s="22" t="e">
        <f ca="1"/>
        <v>#N/A</v>
      </c>
      <c r="CWT538" s="22" t="e">
        <f ca="1"/>
        <v>#N/A</v>
      </c>
      <c r="CWU538" s="22" t="e">
        <f ca="1"/>
        <v>#N/A</v>
      </c>
      <c r="CWV538" s="22" t="e">
        <f ca="1"/>
        <v>#N/A</v>
      </c>
      <c r="CWW538" s="22" t="e">
        <f ca="1"/>
        <v>#N/A</v>
      </c>
      <c r="CWX538" s="22" t="e">
        <f ca="1"/>
        <v>#N/A</v>
      </c>
      <c r="CWY538" s="22" t="e">
        <f ca="1"/>
        <v>#N/A</v>
      </c>
      <c r="CWZ538" s="22" t="e">
        <f ca="1"/>
        <v>#N/A</v>
      </c>
      <c r="CXA538" s="22" t="e">
        <f ca="1"/>
        <v>#N/A</v>
      </c>
      <c r="CXB538" s="22" t="e">
        <f ca="1"/>
        <v>#N/A</v>
      </c>
      <c r="CXC538" s="22" t="e">
        <f ca="1"/>
        <v>#N/A</v>
      </c>
      <c r="CXD538" s="22" t="e">
        <f ca="1"/>
        <v>#N/A</v>
      </c>
      <c r="CXE538" s="22" t="e">
        <f ca="1"/>
        <v>#N/A</v>
      </c>
      <c r="CXF538" s="22" t="e">
        <f ca="1"/>
        <v>#N/A</v>
      </c>
      <c r="CXG538" s="22" t="e">
        <f ca="1"/>
        <v>#N/A</v>
      </c>
      <c r="CXH538" s="22" t="e">
        <f ca="1"/>
        <v>#N/A</v>
      </c>
      <c r="CXI538" s="22" t="e">
        <f ca="1"/>
        <v>#N/A</v>
      </c>
      <c r="CXJ538" s="22" t="e">
        <f ca="1"/>
        <v>#N/A</v>
      </c>
      <c r="CXK538" s="22" t="e">
        <f ca="1"/>
        <v>#N/A</v>
      </c>
      <c r="CXL538" s="22" t="e">
        <f ca="1"/>
        <v>#N/A</v>
      </c>
      <c r="CXM538" s="22" t="e">
        <f ca="1"/>
        <v>#N/A</v>
      </c>
      <c r="CXN538" s="22" t="e">
        <f ca="1"/>
        <v>#N/A</v>
      </c>
      <c r="CXO538" s="22" t="e">
        <f ca="1"/>
        <v>#N/A</v>
      </c>
      <c r="CXP538" s="22" t="e">
        <f ca="1"/>
        <v>#N/A</v>
      </c>
      <c r="CXQ538" s="22" t="e">
        <f ca="1"/>
        <v>#N/A</v>
      </c>
      <c r="CXR538" s="22" t="e">
        <f ca="1"/>
        <v>#N/A</v>
      </c>
      <c r="CXS538" s="22" t="e">
        <f ca="1"/>
        <v>#N/A</v>
      </c>
      <c r="CXT538" s="22" t="e">
        <f ca="1"/>
        <v>#N/A</v>
      </c>
      <c r="CXU538" s="22" t="e">
        <f ca="1"/>
        <v>#N/A</v>
      </c>
      <c r="CXV538" s="22" t="e">
        <f ca="1"/>
        <v>#N/A</v>
      </c>
      <c r="CXW538" s="22" t="e">
        <f ca="1"/>
        <v>#N/A</v>
      </c>
      <c r="CXX538" s="22" t="e">
        <f ca="1"/>
        <v>#N/A</v>
      </c>
      <c r="CXY538" s="22" t="e">
        <f ca="1"/>
        <v>#N/A</v>
      </c>
      <c r="CXZ538" s="22" t="e">
        <f ca="1"/>
        <v>#N/A</v>
      </c>
      <c r="CYA538" s="22" t="e">
        <f ca="1"/>
        <v>#N/A</v>
      </c>
      <c r="CYB538" s="22" t="e">
        <f ca="1"/>
        <v>#N/A</v>
      </c>
      <c r="CYC538" s="22" t="e">
        <f ca="1"/>
        <v>#N/A</v>
      </c>
      <c r="CYD538" s="22" t="e">
        <f ca="1"/>
        <v>#N/A</v>
      </c>
      <c r="CYE538" s="22" t="e">
        <f ca="1"/>
        <v>#N/A</v>
      </c>
      <c r="CYF538" s="22" t="e">
        <f ca="1"/>
        <v>#N/A</v>
      </c>
      <c r="CYG538" s="22" t="e">
        <f ca="1"/>
        <v>#N/A</v>
      </c>
      <c r="CYH538" s="22" t="e">
        <f ca="1"/>
        <v>#N/A</v>
      </c>
      <c r="CYI538" s="22" t="e">
        <f ca="1"/>
        <v>#N/A</v>
      </c>
      <c r="CYJ538" s="22" t="e">
        <f ca="1"/>
        <v>#N/A</v>
      </c>
      <c r="CYK538" s="22" t="e">
        <f ca="1"/>
        <v>#N/A</v>
      </c>
      <c r="CYL538" s="22" t="e">
        <f ca="1"/>
        <v>#N/A</v>
      </c>
      <c r="CYM538" s="22" t="e">
        <f ca="1"/>
        <v>#N/A</v>
      </c>
      <c r="CYN538" s="22" t="e">
        <f ca="1"/>
        <v>#N/A</v>
      </c>
      <c r="CYO538" s="22" t="e">
        <f ca="1"/>
        <v>#N/A</v>
      </c>
      <c r="CYP538" s="22" t="e">
        <f ca="1"/>
        <v>#N/A</v>
      </c>
      <c r="CYQ538" s="22" t="e">
        <f ca="1"/>
        <v>#N/A</v>
      </c>
      <c r="CYR538" s="22" t="e">
        <f ca="1"/>
        <v>#N/A</v>
      </c>
      <c r="CYS538" s="22" t="e">
        <f ca="1"/>
        <v>#N/A</v>
      </c>
      <c r="CYT538" s="22" t="e">
        <f ca="1"/>
        <v>#N/A</v>
      </c>
      <c r="CYU538" s="22" t="e">
        <f ca="1"/>
        <v>#N/A</v>
      </c>
      <c r="CYV538" s="22" t="e">
        <f ca="1"/>
        <v>#N/A</v>
      </c>
      <c r="CYW538" s="22" t="e">
        <f ca="1"/>
        <v>#N/A</v>
      </c>
      <c r="CYX538" s="22" t="e">
        <f ca="1"/>
        <v>#N/A</v>
      </c>
      <c r="CYY538" s="22" t="e">
        <f ca="1"/>
        <v>#N/A</v>
      </c>
      <c r="CYZ538" s="22" t="e">
        <f ca="1"/>
        <v>#N/A</v>
      </c>
      <c r="CZA538" s="22" t="e">
        <f ca="1"/>
        <v>#N/A</v>
      </c>
      <c r="CZB538" s="22" t="e">
        <f ca="1"/>
        <v>#N/A</v>
      </c>
      <c r="CZC538" s="22" t="e">
        <f ca="1"/>
        <v>#N/A</v>
      </c>
      <c r="CZD538" s="22" t="e">
        <f ca="1"/>
        <v>#N/A</v>
      </c>
      <c r="CZE538" s="22" t="e">
        <f ca="1"/>
        <v>#N/A</v>
      </c>
      <c r="CZF538" s="22" t="e">
        <f ca="1"/>
        <v>#N/A</v>
      </c>
      <c r="CZG538" s="22" t="e">
        <f ca="1"/>
        <v>#N/A</v>
      </c>
      <c r="CZH538" s="22" t="e">
        <f ca="1"/>
        <v>#N/A</v>
      </c>
      <c r="CZI538" s="22" t="e">
        <f ca="1"/>
        <v>#N/A</v>
      </c>
      <c r="CZJ538" s="22" t="e">
        <f ca="1"/>
        <v>#N/A</v>
      </c>
      <c r="CZK538" s="22" t="e">
        <f ca="1"/>
        <v>#N/A</v>
      </c>
      <c r="CZL538" s="22" t="e">
        <f ca="1"/>
        <v>#N/A</v>
      </c>
      <c r="CZM538" s="22" t="e">
        <f ca="1"/>
        <v>#N/A</v>
      </c>
      <c r="CZN538" s="22" t="e">
        <f ca="1"/>
        <v>#N/A</v>
      </c>
      <c r="CZO538" s="22" t="e">
        <f ca="1"/>
        <v>#N/A</v>
      </c>
      <c r="CZP538" s="22" t="e">
        <f ca="1"/>
        <v>#N/A</v>
      </c>
      <c r="CZQ538" s="22" t="e">
        <f ca="1"/>
        <v>#N/A</v>
      </c>
      <c r="CZR538" s="22" t="e">
        <f ca="1"/>
        <v>#N/A</v>
      </c>
      <c r="CZS538" s="22" t="e">
        <f ca="1"/>
        <v>#N/A</v>
      </c>
      <c r="CZT538" s="22" t="e">
        <f ca="1"/>
        <v>#N/A</v>
      </c>
      <c r="CZU538" s="22" t="e">
        <f ca="1"/>
        <v>#N/A</v>
      </c>
      <c r="CZV538" s="22" t="e">
        <f ca="1"/>
        <v>#N/A</v>
      </c>
      <c r="CZW538" s="22" t="e">
        <f ca="1"/>
        <v>#N/A</v>
      </c>
      <c r="CZX538" s="22" t="e">
        <f ca="1"/>
        <v>#N/A</v>
      </c>
      <c r="CZY538" s="22" t="e">
        <f ca="1"/>
        <v>#N/A</v>
      </c>
      <c r="CZZ538" s="22" t="e">
        <f ca="1"/>
        <v>#N/A</v>
      </c>
      <c r="DAA538" s="22" t="e">
        <f ca="1"/>
        <v>#N/A</v>
      </c>
      <c r="DAB538" s="22" t="e">
        <f ca="1"/>
        <v>#N/A</v>
      </c>
      <c r="DAC538" s="22" t="e">
        <f ca="1"/>
        <v>#N/A</v>
      </c>
      <c r="DAD538" s="22" t="e">
        <f ca="1"/>
        <v>#N/A</v>
      </c>
      <c r="DAE538" s="22" t="e">
        <f ca="1"/>
        <v>#N/A</v>
      </c>
      <c r="DAF538" s="22" t="e">
        <f ca="1"/>
        <v>#N/A</v>
      </c>
      <c r="DAG538" s="22" t="e">
        <f ca="1"/>
        <v>#N/A</v>
      </c>
      <c r="DAH538" s="22" t="e">
        <f ca="1"/>
        <v>#N/A</v>
      </c>
      <c r="DAI538" s="22" t="e">
        <f ca="1"/>
        <v>#N/A</v>
      </c>
      <c r="DAJ538" s="22" t="e">
        <f ca="1"/>
        <v>#N/A</v>
      </c>
      <c r="DAK538" s="22" t="e">
        <f ca="1"/>
        <v>#N/A</v>
      </c>
      <c r="DAL538" s="22" t="e">
        <f ca="1"/>
        <v>#N/A</v>
      </c>
      <c r="DAM538" s="22" t="e">
        <f ca="1"/>
        <v>#N/A</v>
      </c>
      <c r="DAN538" s="22" t="e">
        <f ca="1"/>
        <v>#N/A</v>
      </c>
      <c r="DAO538" s="22" t="e">
        <f ca="1"/>
        <v>#N/A</v>
      </c>
      <c r="DAP538" s="22" t="e">
        <f ca="1"/>
        <v>#N/A</v>
      </c>
      <c r="DAQ538" s="22" t="e">
        <f ca="1"/>
        <v>#N/A</v>
      </c>
      <c r="DAR538" s="22" t="e">
        <f ca="1"/>
        <v>#N/A</v>
      </c>
      <c r="DAS538" s="22" t="e">
        <f ca="1"/>
        <v>#N/A</v>
      </c>
      <c r="DAT538" s="22" t="e">
        <f ca="1"/>
        <v>#N/A</v>
      </c>
      <c r="DAU538" s="22" t="e">
        <f ca="1"/>
        <v>#N/A</v>
      </c>
      <c r="DAV538" s="22" t="e">
        <f ca="1"/>
        <v>#N/A</v>
      </c>
      <c r="DAW538" s="22" t="e">
        <f ca="1"/>
        <v>#N/A</v>
      </c>
      <c r="DAX538" s="22" t="e">
        <f ca="1"/>
        <v>#N/A</v>
      </c>
      <c r="DAY538" s="22" t="e">
        <f ca="1"/>
        <v>#N/A</v>
      </c>
      <c r="DAZ538" s="22" t="e">
        <f ca="1"/>
        <v>#N/A</v>
      </c>
      <c r="DBA538" s="22" t="e">
        <f ca="1"/>
        <v>#N/A</v>
      </c>
      <c r="DBB538" s="22" t="e">
        <f ca="1"/>
        <v>#N/A</v>
      </c>
      <c r="DBC538" s="22" t="e">
        <f ca="1"/>
        <v>#N/A</v>
      </c>
      <c r="DBD538" s="22" t="e">
        <f ca="1"/>
        <v>#N/A</v>
      </c>
      <c r="DBE538" s="22" t="e">
        <f ca="1"/>
        <v>#N/A</v>
      </c>
      <c r="DBF538" s="22" t="e">
        <f ca="1"/>
        <v>#N/A</v>
      </c>
      <c r="DBG538" s="22" t="e">
        <f ca="1"/>
        <v>#N/A</v>
      </c>
      <c r="DBH538" s="22" t="e">
        <f ca="1"/>
        <v>#N/A</v>
      </c>
      <c r="DBI538" s="22" t="e">
        <f ca="1"/>
        <v>#N/A</v>
      </c>
      <c r="DBJ538" s="22" t="e">
        <f ca="1"/>
        <v>#N/A</v>
      </c>
      <c r="DBK538" s="22" t="e">
        <f ca="1"/>
        <v>#N/A</v>
      </c>
      <c r="DBL538" s="22" t="e">
        <f ca="1"/>
        <v>#N/A</v>
      </c>
      <c r="DBM538" s="22" t="e">
        <f ca="1"/>
        <v>#N/A</v>
      </c>
      <c r="DBN538" s="22" t="e">
        <f ca="1"/>
        <v>#N/A</v>
      </c>
      <c r="DBO538" s="22" t="e">
        <f ca="1"/>
        <v>#N/A</v>
      </c>
      <c r="DBP538" s="22" t="e">
        <f ca="1"/>
        <v>#N/A</v>
      </c>
      <c r="DBQ538" s="22" t="e">
        <f ca="1"/>
        <v>#N/A</v>
      </c>
      <c r="DBR538" s="22" t="e">
        <f ca="1"/>
        <v>#N/A</v>
      </c>
      <c r="DBS538" s="22" t="e">
        <f ca="1"/>
        <v>#N/A</v>
      </c>
      <c r="DBT538" s="22" t="e">
        <f ca="1"/>
        <v>#N/A</v>
      </c>
      <c r="DBU538" s="22" t="e">
        <f ca="1"/>
        <v>#N/A</v>
      </c>
      <c r="DBV538" s="22" t="e">
        <f ca="1"/>
        <v>#N/A</v>
      </c>
      <c r="DBW538" s="22" t="e">
        <f ca="1"/>
        <v>#N/A</v>
      </c>
      <c r="DBX538" s="22" t="e">
        <f ca="1"/>
        <v>#N/A</v>
      </c>
      <c r="DBY538" s="22" t="e">
        <f ca="1"/>
        <v>#N/A</v>
      </c>
      <c r="DBZ538" s="22" t="e">
        <f ca="1"/>
        <v>#N/A</v>
      </c>
      <c r="DCA538" s="22" t="e">
        <f ca="1"/>
        <v>#N/A</v>
      </c>
      <c r="DCB538" s="22" t="e">
        <f ca="1"/>
        <v>#N/A</v>
      </c>
      <c r="DCC538" s="22" t="e">
        <f ca="1"/>
        <v>#N/A</v>
      </c>
      <c r="DCD538" s="22" t="e">
        <f ca="1"/>
        <v>#N/A</v>
      </c>
      <c r="DCE538" s="22" t="e">
        <f ca="1"/>
        <v>#N/A</v>
      </c>
      <c r="DCF538" s="22" t="e">
        <f ca="1"/>
        <v>#N/A</v>
      </c>
      <c r="DCG538" s="22" t="e">
        <f ca="1"/>
        <v>#N/A</v>
      </c>
      <c r="DCH538" s="22" t="e">
        <f ca="1"/>
        <v>#N/A</v>
      </c>
      <c r="DCI538" s="22" t="e">
        <f ca="1"/>
        <v>#N/A</v>
      </c>
      <c r="DCJ538" s="22" t="e">
        <f ca="1"/>
        <v>#N/A</v>
      </c>
      <c r="DCK538" s="22" t="e">
        <f ca="1"/>
        <v>#N/A</v>
      </c>
      <c r="DCL538" s="22" t="e">
        <f ca="1"/>
        <v>#N/A</v>
      </c>
      <c r="DCM538" s="22" t="e">
        <f ca="1"/>
        <v>#N/A</v>
      </c>
      <c r="DCN538" s="22" t="e">
        <f ca="1"/>
        <v>#N/A</v>
      </c>
      <c r="DCO538" s="22" t="e">
        <f ca="1"/>
        <v>#N/A</v>
      </c>
      <c r="DCP538" s="22" t="e">
        <f ca="1"/>
        <v>#N/A</v>
      </c>
      <c r="DCQ538" s="22" t="e">
        <f ca="1"/>
        <v>#N/A</v>
      </c>
      <c r="DCR538" s="22" t="e">
        <f ca="1"/>
        <v>#N/A</v>
      </c>
      <c r="DCS538" s="22" t="e">
        <f ca="1"/>
        <v>#N/A</v>
      </c>
      <c r="DCT538" s="22" t="e">
        <f ca="1"/>
        <v>#N/A</v>
      </c>
      <c r="DCU538" s="22" t="e">
        <f ca="1"/>
        <v>#N/A</v>
      </c>
      <c r="DCV538" s="22" t="e">
        <f ca="1"/>
        <v>#N/A</v>
      </c>
      <c r="DCW538" s="22" t="e">
        <f ca="1"/>
        <v>#N/A</v>
      </c>
      <c r="DCX538" s="22" t="e">
        <f ca="1"/>
        <v>#N/A</v>
      </c>
      <c r="DCY538" s="22" t="e">
        <f ca="1"/>
        <v>#N/A</v>
      </c>
      <c r="DCZ538" s="22" t="e">
        <f ca="1"/>
        <v>#N/A</v>
      </c>
      <c r="DDA538" s="22" t="e">
        <f ca="1"/>
        <v>#N/A</v>
      </c>
      <c r="DDB538" s="22" t="e">
        <f ca="1"/>
        <v>#N/A</v>
      </c>
      <c r="DDC538" s="22" t="e">
        <f ca="1"/>
        <v>#N/A</v>
      </c>
      <c r="DDD538" s="22" t="e">
        <f ca="1"/>
        <v>#N/A</v>
      </c>
      <c r="DDE538" s="22" t="e">
        <f ca="1"/>
        <v>#N/A</v>
      </c>
      <c r="DDF538" s="22" t="e">
        <f ca="1"/>
        <v>#N/A</v>
      </c>
      <c r="DDG538" s="22" t="e">
        <f ca="1"/>
        <v>#N/A</v>
      </c>
      <c r="DDH538" s="22" t="e">
        <f ca="1"/>
        <v>#N/A</v>
      </c>
      <c r="DDI538" s="22" t="e">
        <f ca="1"/>
        <v>#N/A</v>
      </c>
      <c r="DDJ538" s="22" t="e">
        <f ca="1"/>
        <v>#N/A</v>
      </c>
      <c r="DDK538" s="22" t="e">
        <f ca="1"/>
        <v>#N/A</v>
      </c>
      <c r="DDL538" s="22" t="e">
        <f ca="1"/>
        <v>#N/A</v>
      </c>
      <c r="DDM538" s="22" t="e">
        <f ca="1"/>
        <v>#N/A</v>
      </c>
      <c r="DDN538" s="22" t="e">
        <f ca="1"/>
        <v>#N/A</v>
      </c>
      <c r="DDO538" s="22" t="e">
        <f ca="1"/>
        <v>#N/A</v>
      </c>
      <c r="DDP538" s="22" t="e">
        <f ca="1"/>
        <v>#N/A</v>
      </c>
      <c r="DDQ538" s="22" t="e">
        <f ca="1"/>
        <v>#N/A</v>
      </c>
      <c r="DDR538" s="22" t="e">
        <f ca="1"/>
        <v>#N/A</v>
      </c>
      <c r="DDS538" s="22" t="e">
        <f ca="1"/>
        <v>#N/A</v>
      </c>
      <c r="DDT538" s="22" t="e">
        <f ca="1"/>
        <v>#N/A</v>
      </c>
      <c r="DDU538" s="22" t="e">
        <f ca="1"/>
        <v>#N/A</v>
      </c>
      <c r="DDV538" s="22" t="e">
        <f ca="1"/>
        <v>#N/A</v>
      </c>
      <c r="DDW538" s="22" t="e">
        <f ca="1"/>
        <v>#N/A</v>
      </c>
      <c r="DDX538" s="22" t="e">
        <f ca="1"/>
        <v>#N/A</v>
      </c>
      <c r="DDY538" s="22" t="e">
        <f ca="1"/>
        <v>#N/A</v>
      </c>
      <c r="DDZ538" s="22" t="e">
        <f ca="1"/>
        <v>#N/A</v>
      </c>
      <c r="DEA538" s="22" t="e">
        <f ca="1"/>
        <v>#N/A</v>
      </c>
      <c r="DEB538" s="22" t="e">
        <f ca="1"/>
        <v>#N/A</v>
      </c>
      <c r="DEC538" s="22" t="e">
        <f ca="1"/>
        <v>#N/A</v>
      </c>
      <c r="DED538" s="22" t="e">
        <f ca="1"/>
        <v>#N/A</v>
      </c>
      <c r="DEE538" s="22" t="e">
        <f ca="1"/>
        <v>#N/A</v>
      </c>
      <c r="DEF538" s="22" t="e">
        <f ca="1"/>
        <v>#N/A</v>
      </c>
      <c r="DEG538" s="22" t="e">
        <f ca="1"/>
        <v>#N/A</v>
      </c>
      <c r="DEH538" s="22" t="e">
        <f ca="1"/>
        <v>#N/A</v>
      </c>
      <c r="DEI538" s="22" t="e">
        <f ca="1"/>
        <v>#N/A</v>
      </c>
      <c r="DEJ538" s="22" t="e">
        <f ca="1"/>
        <v>#N/A</v>
      </c>
      <c r="DEK538" s="22" t="e">
        <f ca="1"/>
        <v>#N/A</v>
      </c>
      <c r="DEL538" s="22" t="e">
        <f ca="1"/>
        <v>#N/A</v>
      </c>
      <c r="DEM538" s="22" t="e">
        <f ca="1"/>
        <v>#N/A</v>
      </c>
      <c r="DEN538" s="22" t="e">
        <f ca="1"/>
        <v>#N/A</v>
      </c>
      <c r="DEO538" s="22" t="e">
        <f ca="1"/>
        <v>#N/A</v>
      </c>
      <c r="DEP538" s="22" t="e">
        <f ca="1"/>
        <v>#N/A</v>
      </c>
      <c r="DEQ538" s="22" t="e">
        <f ca="1"/>
        <v>#N/A</v>
      </c>
      <c r="DER538" s="22" t="e">
        <f ca="1"/>
        <v>#N/A</v>
      </c>
      <c r="DES538" s="22" t="e">
        <f ca="1"/>
        <v>#N/A</v>
      </c>
      <c r="DET538" s="22" t="e">
        <f ca="1"/>
        <v>#N/A</v>
      </c>
      <c r="DEU538" s="22" t="e">
        <f ca="1"/>
        <v>#N/A</v>
      </c>
      <c r="DEV538" s="22" t="e">
        <f ca="1"/>
        <v>#N/A</v>
      </c>
      <c r="DEW538" s="22" t="e">
        <f ca="1"/>
        <v>#N/A</v>
      </c>
      <c r="DEX538" s="22" t="e">
        <f ca="1"/>
        <v>#N/A</v>
      </c>
      <c r="DEY538" s="22" t="e">
        <f ca="1"/>
        <v>#N/A</v>
      </c>
      <c r="DEZ538" s="22" t="e">
        <f ca="1"/>
        <v>#N/A</v>
      </c>
      <c r="DFA538" s="22" t="e">
        <f ca="1"/>
        <v>#N/A</v>
      </c>
      <c r="DFB538" s="22" t="e">
        <f ca="1"/>
        <v>#N/A</v>
      </c>
      <c r="DFC538" s="22" t="e">
        <f ca="1"/>
        <v>#N/A</v>
      </c>
      <c r="DFD538" s="22" t="e">
        <f ca="1"/>
        <v>#N/A</v>
      </c>
      <c r="DFE538" s="22" t="e">
        <f ca="1"/>
        <v>#N/A</v>
      </c>
      <c r="DFF538" s="22" t="e">
        <f ca="1"/>
        <v>#N/A</v>
      </c>
      <c r="DFG538" s="22" t="e">
        <f ca="1"/>
        <v>#N/A</v>
      </c>
      <c r="DFH538" s="22" t="e">
        <f ca="1"/>
        <v>#N/A</v>
      </c>
      <c r="DFI538" s="22" t="e">
        <f ca="1"/>
        <v>#N/A</v>
      </c>
      <c r="DFJ538" s="22" t="e">
        <f ca="1"/>
        <v>#N/A</v>
      </c>
      <c r="DFK538" s="22" t="e">
        <f ca="1"/>
        <v>#N/A</v>
      </c>
      <c r="DFL538" s="22" t="e">
        <f ca="1"/>
        <v>#N/A</v>
      </c>
      <c r="DFM538" s="22" t="e">
        <f ca="1"/>
        <v>#N/A</v>
      </c>
      <c r="DFN538" s="22" t="e">
        <f ca="1"/>
        <v>#N/A</v>
      </c>
      <c r="DFO538" s="22" t="e">
        <f ca="1"/>
        <v>#N/A</v>
      </c>
      <c r="DFP538" s="22" t="e">
        <f ca="1"/>
        <v>#N/A</v>
      </c>
      <c r="DFQ538" s="22" t="e">
        <f ca="1"/>
        <v>#N/A</v>
      </c>
      <c r="DFR538" s="22" t="e">
        <f ca="1"/>
        <v>#N/A</v>
      </c>
      <c r="DFS538" s="22" t="e">
        <f ca="1"/>
        <v>#N/A</v>
      </c>
      <c r="DFT538" s="22" t="e">
        <f ca="1"/>
        <v>#N/A</v>
      </c>
      <c r="DFU538" s="22" t="e">
        <f ca="1"/>
        <v>#N/A</v>
      </c>
      <c r="DFV538" s="22" t="e">
        <f ca="1"/>
        <v>#N/A</v>
      </c>
      <c r="DFW538" s="22" t="e">
        <f ca="1"/>
        <v>#N/A</v>
      </c>
      <c r="DFX538" s="22" t="e">
        <f ca="1"/>
        <v>#N/A</v>
      </c>
      <c r="DFY538" s="22" t="e">
        <f ca="1"/>
        <v>#N/A</v>
      </c>
      <c r="DFZ538" s="22" t="e">
        <f ca="1"/>
        <v>#N/A</v>
      </c>
      <c r="DGA538" s="22" t="e">
        <f ca="1"/>
        <v>#N/A</v>
      </c>
      <c r="DGB538" s="22" t="e">
        <f ca="1"/>
        <v>#N/A</v>
      </c>
      <c r="DGC538" s="22" t="e">
        <f ca="1"/>
        <v>#N/A</v>
      </c>
      <c r="DGD538" s="22" t="e">
        <f ca="1"/>
        <v>#N/A</v>
      </c>
      <c r="DGE538" s="22" t="e">
        <f ca="1"/>
        <v>#N/A</v>
      </c>
      <c r="DGF538" s="22" t="e">
        <f ca="1"/>
        <v>#N/A</v>
      </c>
      <c r="DGG538" s="22" t="e">
        <f ca="1"/>
        <v>#N/A</v>
      </c>
      <c r="DGH538" s="22" t="e">
        <f ca="1"/>
        <v>#N/A</v>
      </c>
      <c r="DGI538" s="22" t="e">
        <f ca="1"/>
        <v>#N/A</v>
      </c>
      <c r="DGJ538" s="22" t="e">
        <f ca="1"/>
        <v>#N/A</v>
      </c>
      <c r="DGK538" s="22" t="e">
        <f ca="1"/>
        <v>#N/A</v>
      </c>
      <c r="DGL538" s="22" t="e">
        <f ca="1"/>
        <v>#N/A</v>
      </c>
      <c r="DGM538" s="22" t="e">
        <f ca="1"/>
        <v>#N/A</v>
      </c>
      <c r="DGN538" s="22" t="e">
        <f ca="1"/>
        <v>#N/A</v>
      </c>
      <c r="DGO538" s="22" t="e">
        <f ca="1"/>
        <v>#N/A</v>
      </c>
      <c r="DGP538" s="22" t="e">
        <f ca="1"/>
        <v>#N/A</v>
      </c>
      <c r="DGQ538" s="22" t="e">
        <f ca="1"/>
        <v>#N/A</v>
      </c>
      <c r="DGR538" s="22" t="e">
        <f ca="1"/>
        <v>#N/A</v>
      </c>
      <c r="DGS538" s="22" t="e">
        <f ca="1"/>
        <v>#N/A</v>
      </c>
      <c r="DGT538" s="22" t="e">
        <f ca="1"/>
        <v>#N/A</v>
      </c>
      <c r="DGU538" s="22" t="e">
        <f ca="1"/>
        <v>#N/A</v>
      </c>
      <c r="DGV538" s="22" t="e">
        <f ca="1"/>
        <v>#N/A</v>
      </c>
      <c r="DGW538" s="22" t="e">
        <f ca="1"/>
        <v>#N/A</v>
      </c>
      <c r="DGX538" s="22" t="e">
        <f ca="1"/>
        <v>#N/A</v>
      </c>
      <c r="DGY538" s="22" t="e">
        <f ca="1"/>
        <v>#N/A</v>
      </c>
      <c r="DGZ538" s="22" t="e">
        <f ca="1"/>
        <v>#N/A</v>
      </c>
      <c r="DHA538" s="22" t="e">
        <f ca="1"/>
        <v>#N/A</v>
      </c>
      <c r="DHB538" s="22" t="e">
        <f ca="1"/>
        <v>#N/A</v>
      </c>
      <c r="DHC538" s="22" t="e">
        <f ca="1"/>
        <v>#N/A</v>
      </c>
      <c r="DHD538" s="22" t="e">
        <f ca="1"/>
        <v>#N/A</v>
      </c>
      <c r="DHE538" s="22" t="e">
        <f ca="1"/>
        <v>#N/A</v>
      </c>
      <c r="DHF538" s="22" t="e">
        <f ca="1"/>
        <v>#N/A</v>
      </c>
      <c r="DHG538" s="22" t="e">
        <f ca="1"/>
        <v>#N/A</v>
      </c>
      <c r="DHH538" s="22" t="e">
        <f ca="1"/>
        <v>#N/A</v>
      </c>
      <c r="DHI538" s="22" t="e">
        <f ca="1"/>
        <v>#N/A</v>
      </c>
      <c r="DHJ538" s="22" t="e">
        <f ca="1"/>
        <v>#N/A</v>
      </c>
      <c r="DHK538" s="22" t="e">
        <f ca="1"/>
        <v>#N/A</v>
      </c>
      <c r="DHL538" s="22" t="e">
        <f ca="1"/>
        <v>#N/A</v>
      </c>
      <c r="DHM538" s="22" t="e">
        <f ca="1"/>
        <v>#N/A</v>
      </c>
      <c r="DHN538" s="22" t="e">
        <f ca="1"/>
        <v>#N/A</v>
      </c>
      <c r="DHO538" s="22" t="e">
        <f ca="1"/>
        <v>#N/A</v>
      </c>
      <c r="DHP538" s="22" t="e">
        <f ca="1"/>
        <v>#N/A</v>
      </c>
      <c r="DHQ538" s="22" t="e">
        <f ca="1"/>
        <v>#N/A</v>
      </c>
      <c r="DHR538" s="22" t="e">
        <f ca="1"/>
        <v>#N/A</v>
      </c>
      <c r="DHS538" s="22" t="e">
        <f ca="1"/>
        <v>#N/A</v>
      </c>
      <c r="DHT538" s="22" t="e">
        <f ca="1"/>
        <v>#N/A</v>
      </c>
      <c r="DHU538" s="22" t="e">
        <f ca="1"/>
        <v>#N/A</v>
      </c>
      <c r="DHV538" s="22" t="e">
        <f ca="1"/>
        <v>#N/A</v>
      </c>
      <c r="DHW538" s="22" t="e">
        <f ca="1"/>
        <v>#N/A</v>
      </c>
      <c r="DHX538" s="22" t="e">
        <f ca="1"/>
        <v>#N/A</v>
      </c>
      <c r="DHY538" s="22" t="e">
        <f ca="1"/>
        <v>#N/A</v>
      </c>
      <c r="DHZ538" s="22" t="e">
        <f ca="1"/>
        <v>#N/A</v>
      </c>
      <c r="DIA538" s="22" t="e">
        <f ca="1"/>
        <v>#N/A</v>
      </c>
      <c r="DIB538" s="22" t="e">
        <f ca="1"/>
        <v>#N/A</v>
      </c>
      <c r="DIC538" s="22" t="e">
        <f ca="1"/>
        <v>#N/A</v>
      </c>
      <c r="DID538" s="22" t="e">
        <f ca="1"/>
        <v>#N/A</v>
      </c>
      <c r="DIE538" s="22" t="e">
        <f ca="1"/>
        <v>#N/A</v>
      </c>
      <c r="DIF538" s="22" t="e">
        <f ca="1"/>
        <v>#N/A</v>
      </c>
      <c r="DIG538" s="22" t="e">
        <f ca="1"/>
        <v>#N/A</v>
      </c>
      <c r="DIH538" s="22" t="e">
        <f ca="1"/>
        <v>#N/A</v>
      </c>
      <c r="DII538" s="22" t="e">
        <f ca="1"/>
        <v>#N/A</v>
      </c>
      <c r="DIJ538" s="22" t="e">
        <f ca="1"/>
        <v>#N/A</v>
      </c>
      <c r="DIK538" s="22" t="e">
        <f ca="1"/>
        <v>#N/A</v>
      </c>
      <c r="DIL538" s="22" t="e">
        <f ca="1"/>
        <v>#N/A</v>
      </c>
      <c r="DIM538" s="22" t="e">
        <f ca="1"/>
        <v>#N/A</v>
      </c>
      <c r="DIN538" s="22" t="e">
        <f ca="1"/>
        <v>#N/A</v>
      </c>
      <c r="DIO538" s="22" t="e">
        <f ca="1"/>
        <v>#N/A</v>
      </c>
      <c r="DIP538" s="22" t="e">
        <f ca="1"/>
        <v>#N/A</v>
      </c>
      <c r="DIQ538" s="22" t="e">
        <f ca="1"/>
        <v>#N/A</v>
      </c>
      <c r="DIR538" s="22" t="e">
        <f ca="1"/>
        <v>#N/A</v>
      </c>
      <c r="DIS538" s="22" t="e">
        <f ca="1"/>
        <v>#N/A</v>
      </c>
      <c r="DIT538" s="22" t="e">
        <f ca="1"/>
        <v>#N/A</v>
      </c>
      <c r="DIU538" s="22" t="e">
        <f ca="1"/>
        <v>#N/A</v>
      </c>
      <c r="DIV538" s="22" t="e">
        <f ca="1"/>
        <v>#N/A</v>
      </c>
      <c r="DIW538" s="22" t="e">
        <f ca="1"/>
        <v>#N/A</v>
      </c>
      <c r="DIX538" s="22" t="e">
        <f ca="1"/>
        <v>#N/A</v>
      </c>
      <c r="DIY538" s="22" t="e">
        <f ca="1"/>
        <v>#N/A</v>
      </c>
      <c r="DIZ538" s="22" t="e">
        <f ca="1"/>
        <v>#N/A</v>
      </c>
      <c r="DJA538" s="22" t="e">
        <f ca="1"/>
        <v>#N/A</v>
      </c>
      <c r="DJB538" s="22" t="e">
        <f ca="1"/>
        <v>#N/A</v>
      </c>
      <c r="DJC538" s="22" t="e">
        <f ca="1"/>
        <v>#N/A</v>
      </c>
      <c r="DJD538" s="22" t="e">
        <f ca="1"/>
        <v>#N/A</v>
      </c>
      <c r="DJE538" s="22" t="e">
        <f ca="1"/>
        <v>#N/A</v>
      </c>
      <c r="DJF538" s="22" t="e">
        <f ca="1"/>
        <v>#N/A</v>
      </c>
      <c r="DJG538" s="22" t="e">
        <f ca="1"/>
        <v>#N/A</v>
      </c>
      <c r="DJH538" s="22" t="e">
        <f ca="1"/>
        <v>#N/A</v>
      </c>
      <c r="DJI538" s="22" t="e">
        <f ca="1"/>
        <v>#N/A</v>
      </c>
      <c r="DJJ538" s="22" t="e">
        <f ca="1"/>
        <v>#N/A</v>
      </c>
      <c r="DJK538" s="22" t="e">
        <f ca="1"/>
        <v>#N/A</v>
      </c>
      <c r="DJL538" s="22" t="e">
        <f ca="1"/>
        <v>#N/A</v>
      </c>
      <c r="DJM538" s="22" t="e">
        <f ca="1"/>
        <v>#N/A</v>
      </c>
      <c r="DJN538" s="22" t="e">
        <f ca="1"/>
        <v>#N/A</v>
      </c>
      <c r="DJO538" s="22" t="e">
        <f ca="1"/>
        <v>#N/A</v>
      </c>
      <c r="DJP538" s="22" t="e">
        <f ca="1"/>
        <v>#N/A</v>
      </c>
      <c r="DJQ538" s="22" t="e">
        <f ca="1"/>
        <v>#N/A</v>
      </c>
      <c r="DJR538" s="22" t="e">
        <f ca="1"/>
        <v>#N/A</v>
      </c>
      <c r="DJS538" s="22" t="e">
        <f ca="1"/>
        <v>#N/A</v>
      </c>
      <c r="DJT538" s="22" t="e">
        <f ca="1"/>
        <v>#N/A</v>
      </c>
      <c r="DJU538" s="22" t="e">
        <f ca="1"/>
        <v>#N/A</v>
      </c>
      <c r="DJV538" s="22" t="e">
        <f ca="1"/>
        <v>#N/A</v>
      </c>
      <c r="DJW538" s="22" t="e">
        <f ca="1"/>
        <v>#N/A</v>
      </c>
      <c r="DJX538" s="22" t="e">
        <f ca="1"/>
        <v>#N/A</v>
      </c>
      <c r="DJY538" s="22" t="e">
        <f ca="1"/>
        <v>#N/A</v>
      </c>
      <c r="DJZ538" s="22" t="e">
        <f ca="1"/>
        <v>#N/A</v>
      </c>
      <c r="DKA538" s="22" t="e">
        <f ca="1"/>
        <v>#N/A</v>
      </c>
      <c r="DKB538" s="22" t="e">
        <f ca="1"/>
        <v>#N/A</v>
      </c>
      <c r="DKC538" s="22" t="e">
        <f ca="1"/>
        <v>#N/A</v>
      </c>
      <c r="DKD538" s="22" t="e">
        <f ca="1"/>
        <v>#N/A</v>
      </c>
      <c r="DKE538" s="22" t="e">
        <f ca="1"/>
        <v>#N/A</v>
      </c>
      <c r="DKF538" s="22" t="e">
        <f ca="1"/>
        <v>#N/A</v>
      </c>
      <c r="DKG538" s="22" t="e">
        <f ca="1"/>
        <v>#N/A</v>
      </c>
      <c r="DKH538" s="22" t="e">
        <f ca="1"/>
        <v>#N/A</v>
      </c>
      <c r="DKI538" s="22" t="e">
        <f ca="1"/>
        <v>#N/A</v>
      </c>
      <c r="DKJ538" s="22" t="e">
        <f ca="1"/>
        <v>#N/A</v>
      </c>
      <c r="DKK538" s="22" t="e">
        <f ca="1"/>
        <v>#N/A</v>
      </c>
      <c r="DKL538" s="22" t="e">
        <f ca="1"/>
        <v>#N/A</v>
      </c>
      <c r="DKM538" s="22" t="e">
        <f ca="1"/>
        <v>#N/A</v>
      </c>
      <c r="DKN538" s="22" t="e">
        <f ca="1"/>
        <v>#N/A</v>
      </c>
      <c r="DKO538" s="22" t="e">
        <f ca="1"/>
        <v>#N/A</v>
      </c>
      <c r="DKP538" s="22" t="e">
        <f ca="1"/>
        <v>#N/A</v>
      </c>
      <c r="DKQ538" s="22" t="e">
        <f ca="1"/>
        <v>#N/A</v>
      </c>
      <c r="DKR538" s="22" t="e">
        <f ca="1"/>
        <v>#N/A</v>
      </c>
      <c r="DKS538" s="22" t="e">
        <f ca="1"/>
        <v>#N/A</v>
      </c>
      <c r="DKT538" s="22" t="e">
        <f ca="1"/>
        <v>#N/A</v>
      </c>
      <c r="DKU538" s="22" t="e">
        <f ca="1"/>
        <v>#N/A</v>
      </c>
      <c r="DKV538" s="22" t="e">
        <f ca="1"/>
        <v>#N/A</v>
      </c>
      <c r="DKW538" s="22" t="e">
        <f ca="1"/>
        <v>#N/A</v>
      </c>
      <c r="DKX538" s="22" t="e">
        <f ca="1"/>
        <v>#N/A</v>
      </c>
      <c r="DKY538" s="22" t="e">
        <f ca="1"/>
        <v>#N/A</v>
      </c>
      <c r="DKZ538" s="22" t="e">
        <f ca="1"/>
        <v>#N/A</v>
      </c>
      <c r="DLA538" s="22" t="e">
        <f ca="1"/>
        <v>#N/A</v>
      </c>
      <c r="DLB538" s="22" t="e">
        <f ca="1"/>
        <v>#N/A</v>
      </c>
      <c r="DLC538" s="22" t="e">
        <f ca="1"/>
        <v>#N/A</v>
      </c>
      <c r="DLD538" s="22" t="e">
        <f ca="1"/>
        <v>#N/A</v>
      </c>
      <c r="DLE538" s="22" t="e">
        <f ca="1"/>
        <v>#N/A</v>
      </c>
      <c r="DLF538" s="22" t="e">
        <f ca="1"/>
        <v>#N/A</v>
      </c>
      <c r="DLG538" s="22" t="e">
        <f ca="1"/>
        <v>#N/A</v>
      </c>
      <c r="DLH538" s="22" t="e">
        <f ca="1"/>
        <v>#N/A</v>
      </c>
      <c r="DLI538" s="22" t="e">
        <f ca="1"/>
        <v>#N/A</v>
      </c>
      <c r="DLJ538" s="22" t="e">
        <f ca="1"/>
        <v>#N/A</v>
      </c>
      <c r="DLK538" s="22" t="e">
        <f ca="1"/>
        <v>#N/A</v>
      </c>
      <c r="DLL538" s="22" t="e">
        <f ca="1"/>
        <v>#N/A</v>
      </c>
      <c r="DLM538" s="22" t="e">
        <f ca="1"/>
        <v>#N/A</v>
      </c>
      <c r="DLN538" s="22" t="e">
        <f ca="1"/>
        <v>#N/A</v>
      </c>
      <c r="DLO538" s="22" t="e">
        <f ca="1"/>
        <v>#N/A</v>
      </c>
      <c r="DLP538" s="22" t="e">
        <f ca="1"/>
        <v>#N/A</v>
      </c>
      <c r="DLQ538" s="22" t="e">
        <f ca="1"/>
        <v>#N/A</v>
      </c>
      <c r="DLR538" s="22" t="e">
        <f ca="1"/>
        <v>#N/A</v>
      </c>
      <c r="DLS538" s="22" t="e">
        <f ca="1"/>
        <v>#N/A</v>
      </c>
      <c r="DLT538" s="22" t="e">
        <f ca="1"/>
        <v>#N/A</v>
      </c>
      <c r="DLU538" s="22" t="e">
        <f ca="1"/>
        <v>#N/A</v>
      </c>
      <c r="DLV538" s="22" t="e">
        <f ca="1"/>
        <v>#N/A</v>
      </c>
      <c r="DLW538" s="22" t="e">
        <f ca="1"/>
        <v>#N/A</v>
      </c>
      <c r="DLX538" s="22" t="e">
        <f ca="1"/>
        <v>#N/A</v>
      </c>
      <c r="DLY538" s="22" t="e">
        <f ca="1"/>
        <v>#N/A</v>
      </c>
      <c r="DLZ538" s="22" t="e">
        <f ca="1"/>
        <v>#N/A</v>
      </c>
      <c r="DMA538" s="22" t="e">
        <f ca="1"/>
        <v>#N/A</v>
      </c>
      <c r="DMB538" s="22" t="e">
        <f ca="1"/>
        <v>#N/A</v>
      </c>
      <c r="DMC538" s="22" t="e">
        <f ca="1"/>
        <v>#N/A</v>
      </c>
      <c r="DMD538" s="22" t="e">
        <f ca="1"/>
        <v>#N/A</v>
      </c>
      <c r="DME538" s="22" t="e">
        <f ca="1"/>
        <v>#N/A</v>
      </c>
      <c r="DMF538" s="22" t="e">
        <f ca="1"/>
        <v>#N/A</v>
      </c>
      <c r="DMG538" s="22" t="e">
        <f ca="1"/>
        <v>#N/A</v>
      </c>
      <c r="DMH538" s="22" t="e">
        <f ca="1"/>
        <v>#N/A</v>
      </c>
      <c r="DMI538" s="22" t="e">
        <f ca="1"/>
        <v>#N/A</v>
      </c>
      <c r="DMJ538" s="22" t="e">
        <f ca="1"/>
        <v>#N/A</v>
      </c>
      <c r="DMK538" s="22" t="e">
        <f ca="1"/>
        <v>#N/A</v>
      </c>
      <c r="DML538" s="22" t="e">
        <f ca="1"/>
        <v>#N/A</v>
      </c>
      <c r="DMM538" s="22" t="e">
        <f ca="1"/>
        <v>#N/A</v>
      </c>
      <c r="DMN538" s="22" t="e">
        <f ca="1"/>
        <v>#N/A</v>
      </c>
      <c r="DMO538" s="22" t="e">
        <f ca="1"/>
        <v>#N/A</v>
      </c>
      <c r="DMP538" s="22" t="e">
        <f ca="1"/>
        <v>#N/A</v>
      </c>
      <c r="DMQ538" s="22" t="e">
        <f ca="1"/>
        <v>#N/A</v>
      </c>
      <c r="DMR538" s="22" t="e">
        <f ca="1"/>
        <v>#N/A</v>
      </c>
      <c r="DMS538" s="22" t="e">
        <f ca="1"/>
        <v>#N/A</v>
      </c>
      <c r="DMT538" s="22" t="e">
        <f ca="1"/>
        <v>#N/A</v>
      </c>
      <c r="DMU538" s="22" t="e">
        <f ca="1"/>
        <v>#N/A</v>
      </c>
      <c r="DMV538" s="22" t="e">
        <f ca="1"/>
        <v>#N/A</v>
      </c>
      <c r="DMW538" s="22" t="e">
        <f ca="1"/>
        <v>#N/A</v>
      </c>
      <c r="DMX538" s="22" t="e">
        <f ca="1"/>
        <v>#N/A</v>
      </c>
      <c r="DMY538" s="22" t="e">
        <f ca="1"/>
        <v>#N/A</v>
      </c>
      <c r="DMZ538" s="22" t="e">
        <f ca="1"/>
        <v>#N/A</v>
      </c>
      <c r="DNA538" s="22" t="e">
        <f ca="1"/>
        <v>#N/A</v>
      </c>
      <c r="DNB538" s="22" t="e">
        <f ca="1"/>
        <v>#N/A</v>
      </c>
      <c r="DNC538" s="22" t="e">
        <f ca="1"/>
        <v>#N/A</v>
      </c>
      <c r="DND538" s="22" t="e">
        <f ca="1"/>
        <v>#N/A</v>
      </c>
      <c r="DNE538" s="22" t="e">
        <f ca="1"/>
        <v>#N/A</v>
      </c>
      <c r="DNF538" s="22" t="e">
        <f ca="1"/>
        <v>#N/A</v>
      </c>
      <c r="DNG538" s="22" t="e">
        <f ca="1"/>
        <v>#N/A</v>
      </c>
      <c r="DNH538" s="22" t="e">
        <f ca="1"/>
        <v>#N/A</v>
      </c>
      <c r="DNI538" s="22" t="e">
        <f ca="1"/>
        <v>#N/A</v>
      </c>
      <c r="DNJ538" s="22" t="e">
        <f ca="1"/>
        <v>#N/A</v>
      </c>
      <c r="DNK538" s="22" t="e">
        <f ca="1"/>
        <v>#N/A</v>
      </c>
      <c r="DNL538" s="22" t="e">
        <f ca="1"/>
        <v>#N/A</v>
      </c>
      <c r="DNM538" s="22" t="e">
        <f ca="1"/>
        <v>#N/A</v>
      </c>
      <c r="DNN538" s="22" t="e">
        <f ca="1"/>
        <v>#N/A</v>
      </c>
      <c r="DNO538" s="22" t="e">
        <f ca="1"/>
        <v>#N/A</v>
      </c>
      <c r="DNP538" s="22" t="e">
        <f ca="1"/>
        <v>#N/A</v>
      </c>
      <c r="DNQ538" s="22" t="e">
        <f ca="1"/>
        <v>#N/A</v>
      </c>
      <c r="DNR538" s="22" t="e">
        <f ca="1"/>
        <v>#N/A</v>
      </c>
      <c r="DNS538" s="22" t="e">
        <f ca="1"/>
        <v>#N/A</v>
      </c>
      <c r="DNT538" s="22" t="e">
        <f ca="1"/>
        <v>#N/A</v>
      </c>
      <c r="DNU538" s="22" t="e">
        <f ca="1"/>
        <v>#N/A</v>
      </c>
      <c r="DNV538" s="22" t="e">
        <f ca="1"/>
        <v>#N/A</v>
      </c>
      <c r="DNW538" s="22" t="e">
        <f ca="1"/>
        <v>#N/A</v>
      </c>
      <c r="DNX538" s="22" t="e">
        <f ca="1"/>
        <v>#N/A</v>
      </c>
      <c r="DNY538" s="22" t="e">
        <f ca="1"/>
        <v>#N/A</v>
      </c>
      <c r="DNZ538" s="22" t="e">
        <f ca="1"/>
        <v>#N/A</v>
      </c>
      <c r="DOA538" s="22" t="e">
        <f ca="1"/>
        <v>#N/A</v>
      </c>
      <c r="DOB538" s="22" t="e">
        <f ca="1"/>
        <v>#N/A</v>
      </c>
      <c r="DOC538" s="22" t="e">
        <f ca="1"/>
        <v>#N/A</v>
      </c>
      <c r="DOD538" s="22" t="e">
        <f ca="1"/>
        <v>#N/A</v>
      </c>
      <c r="DOE538" s="22" t="e">
        <f ca="1"/>
        <v>#N/A</v>
      </c>
      <c r="DOF538" s="22" t="e">
        <f ca="1"/>
        <v>#N/A</v>
      </c>
      <c r="DOG538" s="22" t="e">
        <f ca="1"/>
        <v>#N/A</v>
      </c>
      <c r="DOH538" s="22" t="e">
        <f ca="1"/>
        <v>#N/A</v>
      </c>
      <c r="DOI538" s="22" t="e">
        <f ca="1"/>
        <v>#N/A</v>
      </c>
      <c r="DOJ538" s="22" t="e">
        <f ca="1"/>
        <v>#N/A</v>
      </c>
      <c r="DOK538" s="22" t="e">
        <f ca="1"/>
        <v>#N/A</v>
      </c>
      <c r="DOL538" s="22" t="e">
        <f ca="1"/>
        <v>#N/A</v>
      </c>
      <c r="DOM538" s="22" t="e">
        <f ca="1"/>
        <v>#N/A</v>
      </c>
      <c r="DON538" s="22" t="e">
        <f ca="1"/>
        <v>#N/A</v>
      </c>
      <c r="DOO538" s="22" t="e">
        <f ca="1"/>
        <v>#N/A</v>
      </c>
      <c r="DOP538" s="22" t="e">
        <f ca="1"/>
        <v>#N/A</v>
      </c>
      <c r="DOQ538" s="22" t="e">
        <f ca="1"/>
        <v>#N/A</v>
      </c>
      <c r="DOR538" s="22" t="e">
        <f ca="1"/>
        <v>#N/A</v>
      </c>
      <c r="DOS538" s="22" t="e">
        <f ca="1"/>
        <v>#N/A</v>
      </c>
      <c r="DOT538" s="22" t="e">
        <f ca="1"/>
        <v>#N/A</v>
      </c>
      <c r="DOU538" s="22" t="e">
        <f ca="1"/>
        <v>#N/A</v>
      </c>
      <c r="DOV538" s="22" t="e">
        <f ca="1"/>
        <v>#N/A</v>
      </c>
      <c r="DOW538" s="22" t="e">
        <f ca="1"/>
        <v>#N/A</v>
      </c>
      <c r="DOX538" s="22" t="e">
        <f ca="1"/>
        <v>#N/A</v>
      </c>
      <c r="DOY538" s="22" t="e">
        <f ca="1"/>
        <v>#N/A</v>
      </c>
      <c r="DOZ538" s="22" t="e">
        <f ca="1"/>
        <v>#N/A</v>
      </c>
      <c r="DPA538" s="22" t="e">
        <f ca="1"/>
        <v>#N/A</v>
      </c>
      <c r="DPB538" s="22" t="e">
        <f ca="1"/>
        <v>#N/A</v>
      </c>
      <c r="DPC538" s="22" t="e">
        <f ca="1"/>
        <v>#N/A</v>
      </c>
      <c r="DPD538" s="22" t="e">
        <f ca="1"/>
        <v>#N/A</v>
      </c>
      <c r="DPE538" s="22" t="e">
        <f ca="1"/>
        <v>#N/A</v>
      </c>
      <c r="DPF538" s="22" t="e">
        <f ca="1"/>
        <v>#N/A</v>
      </c>
      <c r="DPG538" s="22" t="e">
        <f ca="1"/>
        <v>#N/A</v>
      </c>
      <c r="DPH538" s="22" t="e">
        <f ca="1"/>
        <v>#N/A</v>
      </c>
      <c r="DPI538" s="22" t="e">
        <f ca="1"/>
        <v>#N/A</v>
      </c>
      <c r="DPJ538" s="22" t="e">
        <f ca="1"/>
        <v>#N/A</v>
      </c>
      <c r="DPK538" s="22" t="e">
        <f ca="1"/>
        <v>#N/A</v>
      </c>
      <c r="DPL538" s="22" t="e">
        <f ca="1"/>
        <v>#N/A</v>
      </c>
      <c r="DPM538" s="22" t="e">
        <f ca="1"/>
        <v>#N/A</v>
      </c>
      <c r="DPN538" s="22" t="e">
        <f ca="1"/>
        <v>#N/A</v>
      </c>
      <c r="DPO538" s="22" t="e">
        <f ca="1"/>
        <v>#N/A</v>
      </c>
      <c r="DPP538" s="22" t="e">
        <f ca="1"/>
        <v>#N/A</v>
      </c>
      <c r="DPQ538" s="22" t="e">
        <f ca="1"/>
        <v>#N/A</v>
      </c>
      <c r="DPR538" s="22" t="e">
        <f ca="1"/>
        <v>#N/A</v>
      </c>
      <c r="DPS538" s="22" t="e">
        <f ca="1"/>
        <v>#N/A</v>
      </c>
      <c r="DPT538" s="22" t="e">
        <f ca="1"/>
        <v>#N/A</v>
      </c>
      <c r="DPU538" s="22" t="e">
        <f ca="1"/>
        <v>#N/A</v>
      </c>
      <c r="DPV538" s="22" t="e">
        <f ca="1"/>
        <v>#N/A</v>
      </c>
      <c r="DPW538" s="22" t="e">
        <f ca="1"/>
        <v>#N/A</v>
      </c>
      <c r="DPX538" s="22" t="e">
        <f ca="1"/>
        <v>#N/A</v>
      </c>
      <c r="DPY538" s="22" t="e">
        <f ca="1"/>
        <v>#N/A</v>
      </c>
      <c r="DPZ538" s="22" t="e">
        <f ca="1"/>
        <v>#N/A</v>
      </c>
      <c r="DQA538" s="22" t="e">
        <f ca="1"/>
        <v>#N/A</v>
      </c>
      <c r="DQB538" s="22" t="e">
        <f ca="1"/>
        <v>#N/A</v>
      </c>
      <c r="DQC538" s="22" t="e">
        <f ca="1"/>
        <v>#N/A</v>
      </c>
      <c r="DQD538" s="22" t="e">
        <f ca="1"/>
        <v>#N/A</v>
      </c>
      <c r="DQE538" s="22" t="e">
        <f ca="1"/>
        <v>#N/A</v>
      </c>
      <c r="DQF538" s="22" t="e">
        <f ca="1"/>
        <v>#N/A</v>
      </c>
      <c r="DQG538" s="22" t="e">
        <f ca="1"/>
        <v>#N/A</v>
      </c>
      <c r="DQH538" s="22" t="e">
        <f ca="1"/>
        <v>#N/A</v>
      </c>
      <c r="DQI538" s="22" t="e">
        <f ca="1"/>
        <v>#N/A</v>
      </c>
      <c r="DQJ538" s="22" t="e">
        <f ca="1"/>
        <v>#N/A</v>
      </c>
      <c r="DQK538" s="22" t="e">
        <f ca="1"/>
        <v>#N/A</v>
      </c>
      <c r="DQL538" s="22" t="e">
        <f ca="1"/>
        <v>#N/A</v>
      </c>
      <c r="DQM538" s="22" t="e">
        <f ca="1"/>
        <v>#N/A</v>
      </c>
      <c r="DQN538" s="22" t="e">
        <f ca="1"/>
        <v>#N/A</v>
      </c>
      <c r="DQO538" s="22" t="e">
        <f ca="1"/>
        <v>#N/A</v>
      </c>
      <c r="DQP538" s="22" t="e">
        <f ca="1"/>
        <v>#N/A</v>
      </c>
      <c r="DQQ538" s="22" t="e">
        <f ca="1"/>
        <v>#N/A</v>
      </c>
      <c r="DQR538" s="22" t="e">
        <f ca="1"/>
        <v>#N/A</v>
      </c>
      <c r="DQS538" s="22" t="e">
        <f ca="1"/>
        <v>#N/A</v>
      </c>
      <c r="DQT538" s="22" t="e">
        <f ca="1"/>
        <v>#N/A</v>
      </c>
      <c r="DQU538" s="22" t="e">
        <f ca="1"/>
        <v>#N/A</v>
      </c>
      <c r="DQV538" s="22" t="e">
        <f ca="1"/>
        <v>#N/A</v>
      </c>
      <c r="DQW538" s="22" t="e">
        <f ca="1"/>
        <v>#N/A</v>
      </c>
      <c r="DQX538" s="22" t="e">
        <f ca="1"/>
        <v>#N/A</v>
      </c>
      <c r="DQY538" s="22" t="e">
        <f ca="1"/>
        <v>#N/A</v>
      </c>
      <c r="DQZ538" s="22" t="e">
        <f ca="1"/>
        <v>#N/A</v>
      </c>
      <c r="DRA538" s="22" t="e">
        <f ca="1"/>
        <v>#N/A</v>
      </c>
      <c r="DRB538" s="22" t="e">
        <f ca="1"/>
        <v>#N/A</v>
      </c>
      <c r="DRC538" s="22" t="e">
        <f ca="1"/>
        <v>#N/A</v>
      </c>
      <c r="DRD538" s="22" t="e">
        <f ca="1"/>
        <v>#N/A</v>
      </c>
      <c r="DRE538" s="22" t="e">
        <f ca="1"/>
        <v>#N/A</v>
      </c>
      <c r="DRF538" s="22" t="e">
        <f ca="1"/>
        <v>#N/A</v>
      </c>
      <c r="DRG538" s="22" t="e">
        <f ca="1"/>
        <v>#N/A</v>
      </c>
      <c r="DRH538" s="22" t="e">
        <f ca="1"/>
        <v>#N/A</v>
      </c>
      <c r="DRI538" s="22" t="e">
        <f ca="1"/>
        <v>#N/A</v>
      </c>
      <c r="DRJ538" s="22" t="e">
        <f ca="1"/>
        <v>#N/A</v>
      </c>
      <c r="DRK538" s="22" t="e">
        <f ca="1"/>
        <v>#N/A</v>
      </c>
      <c r="DRL538" s="22" t="e">
        <f ca="1"/>
        <v>#N/A</v>
      </c>
      <c r="DRM538" s="22" t="e">
        <f ca="1"/>
        <v>#N/A</v>
      </c>
      <c r="DRN538" s="22" t="e">
        <f ca="1"/>
        <v>#N/A</v>
      </c>
      <c r="DRO538" s="22" t="e">
        <f ca="1"/>
        <v>#N/A</v>
      </c>
      <c r="DRP538" s="22" t="e">
        <f ca="1"/>
        <v>#N/A</v>
      </c>
      <c r="DRQ538" s="22" t="e">
        <f ca="1"/>
        <v>#N/A</v>
      </c>
      <c r="DRR538" s="22" t="e">
        <f ca="1"/>
        <v>#N/A</v>
      </c>
      <c r="DRS538" s="22" t="e">
        <f ca="1"/>
        <v>#N/A</v>
      </c>
      <c r="DRT538" s="22" t="e">
        <f ca="1"/>
        <v>#N/A</v>
      </c>
      <c r="DRU538" s="22" t="e">
        <f ca="1"/>
        <v>#N/A</v>
      </c>
      <c r="DRV538" s="22" t="e">
        <f ca="1"/>
        <v>#N/A</v>
      </c>
      <c r="DRW538" s="22" t="e">
        <f ca="1"/>
        <v>#N/A</v>
      </c>
      <c r="DRX538" s="22" t="e">
        <f ca="1"/>
        <v>#N/A</v>
      </c>
      <c r="DRY538" s="22" t="e">
        <f ca="1"/>
        <v>#N/A</v>
      </c>
      <c r="DRZ538" s="22" t="e">
        <f ca="1"/>
        <v>#N/A</v>
      </c>
      <c r="DSA538" s="22" t="e">
        <f ca="1"/>
        <v>#N/A</v>
      </c>
      <c r="DSB538" s="22" t="e">
        <f ca="1"/>
        <v>#N/A</v>
      </c>
      <c r="DSC538" s="22" t="e">
        <f ca="1"/>
        <v>#N/A</v>
      </c>
      <c r="DSD538" s="22" t="e">
        <f ca="1"/>
        <v>#N/A</v>
      </c>
      <c r="DSE538" s="22" t="e">
        <f ca="1"/>
        <v>#N/A</v>
      </c>
      <c r="DSF538" s="22" t="e">
        <f ca="1"/>
        <v>#N/A</v>
      </c>
      <c r="DSG538" s="22" t="e">
        <f ca="1"/>
        <v>#N/A</v>
      </c>
      <c r="DSH538" s="22" t="e">
        <f ca="1"/>
        <v>#N/A</v>
      </c>
      <c r="DSI538" s="22" t="e">
        <f ca="1"/>
        <v>#N/A</v>
      </c>
      <c r="DSJ538" s="22" t="e">
        <f ca="1"/>
        <v>#N/A</v>
      </c>
      <c r="DSK538" s="22" t="e">
        <f ca="1"/>
        <v>#N/A</v>
      </c>
      <c r="DSL538" s="22" t="e">
        <f ca="1"/>
        <v>#N/A</v>
      </c>
      <c r="DSM538" s="22" t="e">
        <f ca="1"/>
        <v>#N/A</v>
      </c>
      <c r="DSN538" s="22" t="e">
        <f ca="1"/>
        <v>#N/A</v>
      </c>
      <c r="DSO538" s="22" t="e">
        <f ca="1"/>
        <v>#N/A</v>
      </c>
      <c r="DSP538" s="22" t="e">
        <f ca="1"/>
        <v>#N/A</v>
      </c>
      <c r="DSQ538" s="22" t="e">
        <f ca="1"/>
        <v>#N/A</v>
      </c>
      <c r="DSR538" s="22" t="e">
        <f ca="1"/>
        <v>#N/A</v>
      </c>
      <c r="DSS538" s="22" t="e">
        <f ca="1"/>
        <v>#N/A</v>
      </c>
      <c r="DST538" s="22" t="e">
        <f ca="1"/>
        <v>#N/A</v>
      </c>
      <c r="DSU538" s="22" t="e">
        <f ca="1"/>
        <v>#N/A</v>
      </c>
      <c r="DSV538" s="22" t="e">
        <f ca="1"/>
        <v>#N/A</v>
      </c>
      <c r="DSW538" s="22" t="e">
        <f ca="1"/>
        <v>#N/A</v>
      </c>
      <c r="DSX538" s="22" t="e">
        <f ca="1"/>
        <v>#N/A</v>
      </c>
      <c r="DSY538" s="22" t="e">
        <f ca="1"/>
        <v>#N/A</v>
      </c>
      <c r="DSZ538" s="22" t="e">
        <f ca="1"/>
        <v>#N/A</v>
      </c>
      <c r="DTA538" s="22" t="e">
        <f ca="1"/>
        <v>#N/A</v>
      </c>
      <c r="DTB538" s="22" t="e">
        <f ca="1"/>
        <v>#N/A</v>
      </c>
      <c r="DTC538" s="22" t="e">
        <f ca="1"/>
        <v>#N/A</v>
      </c>
      <c r="DTD538" s="22" t="e">
        <f ca="1"/>
        <v>#N/A</v>
      </c>
      <c r="DTE538" s="22" t="e">
        <f ca="1"/>
        <v>#N/A</v>
      </c>
      <c r="DTF538" s="22" t="e">
        <f ca="1"/>
        <v>#N/A</v>
      </c>
      <c r="DTG538" s="22" t="e">
        <f ca="1"/>
        <v>#N/A</v>
      </c>
      <c r="DTH538" s="22" t="e">
        <f ca="1"/>
        <v>#N/A</v>
      </c>
      <c r="DTI538" s="22" t="e">
        <f ca="1"/>
        <v>#N/A</v>
      </c>
      <c r="DTJ538" s="22" t="e">
        <f ca="1"/>
        <v>#N/A</v>
      </c>
      <c r="DTK538" s="22" t="e">
        <f ca="1"/>
        <v>#N/A</v>
      </c>
      <c r="DTL538" s="22" t="e">
        <f ca="1"/>
        <v>#N/A</v>
      </c>
      <c r="DTM538" s="22" t="e">
        <f ca="1"/>
        <v>#N/A</v>
      </c>
      <c r="DTN538" s="22" t="e">
        <f ca="1"/>
        <v>#N/A</v>
      </c>
      <c r="DTO538" s="22" t="e">
        <f ca="1"/>
        <v>#N/A</v>
      </c>
      <c r="DTP538" s="22" t="e">
        <f ca="1"/>
        <v>#N/A</v>
      </c>
      <c r="DTQ538" s="22" t="e">
        <f ca="1"/>
        <v>#N/A</v>
      </c>
      <c r="DTR538" s="22" t="e">
        <f ca="1"/>
        <v>#N/A</v>
      </c>
      <c r="DTS538" s="22" t="e">
        <f ca="1"/>
        <v>#N/A</v>
      </c>
      <c r="DTT538" s="22" t="e">
        <f ca="1"/>
        <v>#N/A</v>
      </c>
      <c r="DTU538" s="22" t="e">
        <f ca="1"/>
        <v>#N/A</v>
      </c>
      <c r="DTV538" s="22" t="e">
        <f ca="1"/>
        <v>#N/A</v>
      </c>
      <c r="DTW538" s="22" t="e">
        <f ca="1"/>
        <v>#N/A</v>
      </c>
      <c r="DTX538" s="22" t="e">
        <f ca="1"/>
        <v>#N/A</v>
      </c>
      <c r="DTY538" s="22" t="e">
        <f ca="1"/>
        <v>#N/A</v>
      </c>
      <c r="DTZ538" s="22" t="e">
        <f ca="1"/>
        <v>#N/A</v>
      </c>
      <c r="DUA538" s="22" t="e">
        <f ca="1"/>
        <v>#N/A</v>
      </c>
      <c r="DUB538" s="22" t="e">
        <f ca="1"/>
        <v>#N/A</v>
      </c>
      <c r="DUC538" s="22" t="e">
        <f ca="1"/>
        <v>#N/A</v>
      </c>
      <c r="DUD538" s="22" t="e">
        <f ca="1"/>
        <v>#N/A</v>
      </c>
      <c r="DUE538" s="22" t="e">
        <f ca="1"/>
        <v>#N/A</v>
      </c>
      <c r="DUF538" s="22" t="e">
        <f ca="1"/>
        <v>#N/A</v>
      </c>
      <c r="DUG538" s="22" t="e">
        <f ca="1"/>
        <v>#N/A</v>
      </c>
      <c r="DUH538" s="22" t="e">
        <f ca="1"/>
        <v>#N/A</v>
      </c>
      <c r="DUI538" s="22" t="e">
        <f ca="1"/>
        <v>#N/A</v>
      </c>
      <c r="DUJ538" s="22" t="e">
        <f ca="1"/>
        <v>#N/A</v>
      </c>
      <c r="DUK538" s="22" t="e">
        <f ca="1"/>
        <v>#N/A</v>
      </c>
      <c r="DUL538" s="22" t="e">
        <f ca="1"/>
        <v>#N/A</v>
      </c>
      <c r="DUM538" s="22" t="e">
        <f ca="1"/>
        <v>#N/A</v>
      </c>
      <c r="DUN538" s="22" t="e">
        <f ca="1"/>
        <v>#N/A</v>
      </c>
      <c r="DUO538" s="22" t="e">
        <f ca="1"/>
        <v>#N/A</v>
      </c>
      <c r="DUP538" s="22" t="e">
        <f ca="1"/>
        <v>#N/A</v>
      </c>
      <c r="DUQ538" s="22" t="e">
        <f ca="1"/>
        <v>#N/A</v>
      </c>
      <c r="DUR538" s="22" t="e">
        <f ca="1"/>
        <v>#N/A</v>
      </c>
      <c r="DUS538" s="22" t="e">
        <f ca="1"/>
        <v>#N/A</v>
      </c>
      <c r="DUT538" s="22" t="e">
        <f ca="1"/>
        <v>#N/A</v>
      </c>
      <c r="DUU538" s="22" t="e">
        <f ca="1"/>
        <v>#N/A</v>
      </c>
      <c r="DUV538" s="22" t="e">
        <f ca="1"/>
        <v>#N/A</v>
      </c>
      <c r="DUW538" s="22" t="e">
        <f ca="1"/>
        <v>#N/A</v>
      </c>
      <c r="DUX538" s="22" t="e">
        <f ca="1"/>
        <v>#N/A</v>
      </c>
      <c r="DUY538" s="22" t="e">
        <f ca="1"/>
        <v>#N/A</v>
      </c>
      <c r="DUZ538" s="22" t="e">
        <f ca="1"/>
        <v>#N/A</v>
      </c>
      <c r="DVA538" s="22" t="e">
        <f ca="1"/>
        <v>#N/A</v>
      </c>
      <c r="DVB538" s="22" t="e">
        <f ca="1"/>
        <v>#N/A</v>
      </c>
      <c r="DVC538" s="22" t="e">
        <f ca="1"/>
        <v>#N/A</v>
      </c>
      <c r="DVD538" s="22" t="e">
        <f ca="1"/>
        <v>#N/A</v>
      </c>
      <c r="DVE538" s="22" t="e">
        <f ca="1"/>
        <v>#N/A</v>
      </c>
      <c r="DVF538" s="22" t="e">
        <f ca="1"/>
        <v>#N/A</v>
      </c>
      <c r="DVG538" s="22" t="e">
        <f ca="1"/>
        <v>#N/A</v>
      </c>
      <c r="DVH538" s="22" t="e">
        <f ca="1"/>
        <v>#N/A</v>
      </c>
      <c r="DVI538" s="22" t="e">
        <f ca="1"/>
        <v>#N/A</v>
      </c>
      <c r="DVJ538" s="22" t="e">
        <f ca="1"/>
        <v>#N/A</v>
      </c>
      <c r="DVK538" s="22" t="e">
        <f ca="1"/>
        <v>#N/A</v>
      </c>
      <c r="DVL538" s="22" t="e">
        <f ca="1"/>
        <v>#N/A</v>
      </c>
      <c r="DVM538" s="22" t="e">
        <f ca="1"/>
        <v>#N/A</v>
      </c>
      <c r="DVN538" s="22" t="e">
        <f ca="1"/>
        <v>#N/A</v>
      </c>
      <c r="DVO538" s="22" t="e">
        <f ca="1"/>
        <v>#N/A</v>
      </c>
      <c r="DVP538" s="22" t="e">
        <f ca="1"/>
        <v>#N/A</v>
      </c>
      <c r="DVQ538" s="22" t="e">
        <f ca="1"/>
        <v>#N/A</v>
      </c>
      <c r="DVR538" s="22" t="e">
        <f ca="1"/>
        <v>#N/A</v>
      </c>
      <c r="DVS538" s="22" t="e">
        <f ca="1"/>
        <v>#N/A</v>
      </c>
      <c r="DVT538" s="22" t="e">
        <f ca="1"/>
        <v>#N/A</v>
      </c>
      <c r="DVU538" s="22" t="e">
        <f ca="1"/>
        <v>#N/A</v>
      </c>
      <c r="DVV538" s="22" t="e">
        <f ca="1"/>
        <v>#N/A</v>
      </c>
      <c r="DVW538" s="22" t="e">
        <f ca="1"/>
        <v>#N/A</v>
      </c>
      <c r="DVX538" s="22" t="e">
        <f ca="1"/>
        <v>#N/A</v>
      </c>
      <c r="DVY538" s="22" t="e">
        <f ca="1"/>
        <v>#N/A</v>
      </c>
      <c r="DVZ538" s="22" t="e">
        <f ca="1"/>
        <v>#N/A</v>
      </c>
      <c r="DWA538" s="22" t="e">
        <f ca="1"/>
        <v>#N/A</v>
      </c>
      <c r="DWB538" s="22" t="e">
        <f ca="1"/>
        <v>#N/A</v>
      </c>
      <c r="DWC538" s="22" t="e">
        <f ca="1"/>
        <v>#N/A</v>
      </c>
      <c r="DWD538" s="22" t="e">
        <f ca="1"/>
        <v>#N/A</v>
      </c>
      <c r="DWE538" s="22" t="e">
        <f ca="1"/>
        <v>#N/A</v>
      </c>
      <c r="DWF538" s="22" t="e">
        <f ca="1"/>
        <v>#N/A</v>
      </c>
      <c r="DWG538" s="22" t="e">
        <f ca="1"/>
        <v>#N/A</v>
      </c>
      <c r="DWH538" s="22" t="e">
        <f ca="1"/>
        <v>#N/A</v>
      </c>
      <c r="DWI538" s="22" t="e">
        <f ca="1"/>
        <v>#N/A</v>
      </c>
      <c r="DWJ538" s="22" t="e">
        <f ca="1"/>
        <v>#N/A</v>
      </c>
      <c r="DWK538" s="22" t="e">
        <f ca="1"/>
        <v>#N/A</v>
      </c>
      <c r="DWL538" s="22" t="e">
        <f ca="1"/>
        <v>#N/A</v>
      </c>
      <c r="DWM538" s="22" t="e">
        <f ca="1"/>
        <v>#N/A</v>
      </c>
      <c r="DWN538" s="22" t="e">
        <f ca="1"/>
        <v>#N/A</v>
      </c>
      <c r="DWO538" s="22" t="e">
        <f ca="1"/>
        <v>#N/A</v>
      </c>
      <c r="DWP538" s="22" t="e">
        <f ca="1"/>
        <v>#N/A</v>
      </c>
      <c r="DWQ538" s="22" t="e">
        <f ca="1"/>
        <v>#N/A</v>
      </c>
      <c r="DWR538" s="22" t="e">
        <f ca="1"/>
        <v>#N/A</v>
      </c>
      <c r="DWS538" s="22" t="e">
        <f ca="1"/>
        <v>#N/A</v>
      </c>
      <c r="DWT538" s="22" t="e">
        <f ca="1"/>
        <v>#N/A</v>
      </c>
      <c r="DWU538" s="22" t="e">
        <f ca="1"/>
        <v>#N/A</v>
      </c>
      <c r="DWV538" s="22" t="e">
        <f ca="1"/>
        <v>#N/A</v>
      </c>
      <c r="DWW538" s="22" t="e">
        <f ca="1"/>
        <v>#N/A</v>
      </c>
      <c r="DWX538" s="22" t="e">
        <f ca="1"/>
        <v>#N/A</v>
      </c>
      <c r="DWY538" s="22" t="e">
        <f ca="1"/>
        <v>#N/A</v>
      </c>
      <c r="DWZ538" s="22" t="e">
        <f ca="1"/>
        <v>#N/A</v>
      </c>
      <c r="DXA538" s="22" t="e">
        <f ca="1"/>
        <v>#N/A</v>
      </c>
      <c r="DXB538" s="22" t="e">
        <f ca="1"/>
        <v>#N/A</v>
      </c>
      <c r="DXC538" s="22" t="e">
        <f ca="1"/>
        <v>#N/A</v>
      </c>
      <c r="DXD538" s="22" t="e">
        <f ca="1"/>
        <v>#N/A</v>
      </c>
      <c r="DXE538" s="22" t="e">
        <f ca="1"/>
        <v>#N/A</v>
      </c>
      <c r="DXF538" s="22" t="e">
        <f ca="1"/>
        <v>#N/A</v>
      </c>
      <c r="DXG538" s="22" t="e">
        <f ca="1"/>
        <v>#N/A</v>
      </c>
      <c r="DXH538" s="22" t="e">
        <f ca="1"/>
        <v>#N/A</v>
      </c>
      <c r="DXI538" s="22" t="e">
        <f ca="1"/>
        <v>#N/A</v>
      </c>
      <c r="DXJ538" s="22" t="e">
        <f ca="1"/>
        <v>#N/A</v>
      </c>
      <c r="DXK538" s="22" t="e">
        <f ca="1"/>
        <v>#N/A</v>
      </c>
      <c r="DXL538" s="22" t="e">
        <f ca="1"/>
        <v>#N/A</v>
      </c>
      <c r="DXM538" s="22" t="e">
        <f ca="1"/>
        <v>#N/A</v>
      </c>
      <c r="DXN538" s="22" t="e">
        <f ca="1"/>
        <v>#N/A</v>
      </c>
      <c r="DXO538" s="22" t="e">
        <f ca="1"/>
        <v>#N/A</v>
      </c>
      <c r="DXP538" s="22" t="e">
        <f ca="1"/>
        <v>#N/A</v>
      </c>
      <c r="DXQ538" s="22" t="e">
        <f ca="1"/>
        <v>#N/A</v>
      </c>
      <c r="DXR538" s="22" t="e">
        <f ca="1"/>
        <v>#N/A</v>
      </c>
      <c r="DXS538" s="22" t="e">
        <f ca="1"/>
        <v>#N/A</v>
      </c>
      <c r="DXT538" s="22" t="e">
        <f ca="1"/>
        <v>#N/A</v>
      </c>
      <c r="DXU538" s="22" t="e">
        <f ca="1"/>
        <v>#N/A</v>
      </c>
      <c r="DXV538" s="22" t="e">
        <f ca="1"/>
        <v>#N/A</v>
      </c>
      <c r="DXW538" s="22" t="e">
        <f ca="1"/>
        <v>#N/A</v>
      </c>
      <c r="DXX538" s="22" t="e">
        <f ca="1"/>
        <v>#N/A</v>
      </c>
      <c r="DXY538" s="22" t="e">
        <f ca="1"/>
        <v>#N/A</v>
      </c>
      <c r="DXZ538" s="22" t="e">
        <f ca="1"/>
        <v>#N/A</v>
      </c>
      <c r="DYA538" s="22" t="e">
        <f ca="1"/>
        <v>#N/A</v>
      </c>
      <c r="DYB538" s="22" t="e">
        <f ca="1"/>
        <v>#N/A</v>
      </c>
      <c r="DYC538" s="22" t="e">
        <f ca="1"/>
        <v>#N/A</v>
      </c>
      <c r="DYD538" s="22" t="e">
        <f ca="1"/>
        <v>#N/A</v>
      </c>
      <c r="DYE538" s="22" t="e">
        <f ca="1"/>
        <v>#N/A</v>
      </c>
      <c r="DYF538" s="22" t="e">
        <f ca="1"/>
        <v>#N/A</v>
      </c>
      <c r="DYG538" s="22" t="e">
        <f ca="1"/>
        <v>#N/A</v>
      </c>
      <c r="DYH538" s="22" t="e">
        <f ca="1"/>
        <v>#N/A</v>
      </c>
      <c r="DYI538" s="22" t="e">
        <f ca="1"/>
        <v>#N/A</v>
      </c>
      <c r="DYJ538" s="22" t="e">
        <f ca="1"/>
        <v>#N/A</v>
      </c>
      <c r="DYK538" s="22" t="e">
        <f ca="1"/>
        <v>#N/A</v>
      </c>
      <c r="DYL538" s="22" t="e">
        <f ca="1"/>
        <v>#N/A</v>
      </c>
      <c r="DYM538" s="22" t="e">
        <f ca="1"/>
        <v>#N/A</v>
      </c>
      <c r="DYN538" s="22" t="e">
        <f ca="1"/>
        <v>#N/A</v>
      </c>
      <c r="DYO538" s="22" t="e">
        <f ca="1"/>
        <v>#N/A</v>
      </c>
      <c r="DYP538" s="22" t="e">
        <f ca="1"/>
        <v>#N/A</v>
      </c>
      <c r="DYQ538" s="22" t="e">
        <f ca="1"/>
        <v>#N/A</v>
      </c>
      <c r="DYR538" s="22" t="e">
        <f ca="1"/>
        <v>#N/A</v>
      </c>
      <c r="DYS538" s="22" t="e">
        <f ca="1"/>
        <v>#N/A</v>
      </c>
      <c r="DYT538" s="22" t="e">
        <f ca="1"/>
        <v>#N/A</v>
      </c>
      <c r="DYU538" s="22" t="e">
        <f ca="1"/>
        <v>#N/A</v>
      </c>
      <c r="DYV538" s="22" t="e">
        <f ca="1"/>
        <v>#N/A</v>
      </c>
      <c r="DYW538" s="22" t="e">
        <f ca="1"/>
        <v>#N/A</v>
      </c>
      <c r="DYX538" s="22" t="e">
        <f ca="1"/>
        <v>#N/A</v>
      </c>
      <c r="DYY538" s="22" t="e">
        <f ca="1"/>
        <v>#N/A</v>
      </c>
      <c r="DYZ538" s="22" t="e">
        <f ca="1"/>
        <v>#N/A</v>
      </c>
      <c r="DZA538" s="22" t="e">
        <f ca="1"/>
        <v>#N/A</v>
      </c>
      <c r="DZB538" s="22" t="e">
        <f ca="1"/>
        <v>#N/A</v>
      </c>
      <c r="DZC538" s="22" t="e">
        <f ca="1"/>
        <v>#N/A</v>
      </c>
      <c r="DZD538" s="22" t="e">
        <f ca="1"/>
        <v>#N/A</v>
      </c>
      <c r="DZE538" s="22" t="e">
        <f ca="1"/>
        <v>#N/A</v>
      </c>
      <c r="DZF538" s="22" t="e">
        <f ca="1"/>
        <v>#N/A</v>
      </c>
      <c r="DZG538" s="22" t="e">
        <f ca="1"/>
        <v>#N/A</v>
      </c>
      <c r="DZH538" s="22" t="e">
        <f ca="1"/>
        <v>#N/A</v>
      </c>
      <c r="DZI538" s="22" t="e">
        <f ca="1"/>
        <v>#N/A</v>
      </c>
      <c r="DZJ538" s="22" t="e">
        <f ca="1"/>
        <v>#N/A</v>
      </c>
      <c r="DZK538" s="22" t="e">
        <f ca="1"/>
        <v>#N/A</v>
      </c>
      <c r="DZL538" s="22" t="e">
        <f ca="1"/>
        <v>#N/A</v>
      </c>
      <c r="DZM538" s="22" t="e">
        <f ca="1"/>
        <v>#N/A</v>
      </c>
      <c r="DZN538" s="22" t="e">
        <f ca="1"/>
        <v>#N/A</v>
      </c>
      <c r="DZO538" s="22" t="e">
        <f ca="1"/>
        <v>#N/A</v>
      </c>
      <c r="DZP538" s="22" t="e">
        <f ca="1"/>
        <v>#N/A</v>
      </c>
      <c r="DZQ538" s="22" t="e">
        <f ca="1"/>
        <v>#N/A</v>
      </c>
      <c r="DZR538" s="22" t="e">
        <f ca="1"/>
        <v>#N/A</v>
      </c>
      <c r="DZS538" s="22" t="e">
        <f ca="1"/>
        <v>#N/A</v>
      </c>
      <c r="DZT538" s="22" t="e">
        <f ca="1"/>
        <v>#N/A</v>
      </c>
      <c r="DZU538" s="22" t="e">
        <f ca="1"/>
        <v>#N/A</v>
      </c>
      <c r="DZV538" s="22" t="e">
        <f ca="1"/>
        <v>#N/A</v>
      </c>
      <c r="DZW538" s="22" t="e">
        <f ca="1"/>
        <v>#N/A</v>
      </c>
      <c r="DZX538" s="22" t="e">
        <f ca="1"/>
        <v>#N/A</v>
      </c>
      <c r="DZY538" s="22" t="e">
        <f ca="1"/>
        <v>#N/A</v>
      </c>
      <c r="DZZ538" s="22" t="e">
        <f ca="1"/>
        <v>#N/A</v>
      </c>
      <c r="EAA538" s="22" t="e">
        <f ca="1"/>
        <v>#N/A</v>
      </c>
      <c r="EAB538" s="22" t="e">
        <f ca="1"/>
        <v>#N/A</v>
      </c>
      <c r="EAC538" s="22" t="e">
        <f ca="1"/>
        <v>#N/A</v>
      </c>
      <c r="EAD538" s="22" t="e">
        <f ca="1"/>
        <v>#N/A</v>
      </c>
      <c r="EAE538" s="22" t="e">
        <f ca="1"/>
        <v>#N/A</v>
      </c>
      <c r="EAF538" s="22" t="e">
        <f ca="1"/>
        <v>#N/A</v>
      </c>
      <c r="EAG538" s="22" t="e">
        <f ca="1"/>
        <v>#N/A</v>
      </c>
      <c r="EAH538" s="22" t="e">
        <f ca="1"/>
        <v>#N/A</v>
      </c>
      <c r="EAI538" s="22" t="e">
        <f ca="1"/>
        <v>#N/A</v>
      </c>
      <c r="EAJ538" s="22" t="e">
        <f ca="1"/>
        <v>#N/A</v>
      </c>
      <c r="EAK538" s="22" t="e">
        <f ca="1"/>
        <v>#N/A</v>
      </c>
      <c r="EAL538" s="22" t="e">
        <f ca="1"/>
        <v>#N/A</v>
      </c>
      <c r="EAM538" s="22" t="e">
        <f ca="1"/>
        <v>#N/A</v>
      </c>
      <c r="EAN538" s="22" t="e">
        <f ca="1"/>
        <v>#N/A</v>
      </c>
      <c r="EAO538" s="22" t="e">
        <f ca="1"/>
        <v>#N/A</v>
      </c>
      <c r="EAP538" s="22" t="e">
        <f ca="1"/>
        <v>#N/A</v>
      </c>
      <c r="EAQ538" s="22" t="e">
        <f ca="1"/>
        <v>#N/A</v>
      </c>
      <c r="EAR538" s="22" t="e">
        <f ca="1"/>
        <v>#N/A</v>
      </c>
      <c r="EAS538" s="22" t="e">
        <f ca="1"/>
        <v>#N/A</v>
      </c>
      <c r="EAT538" s="22" t="e">
        <f ca="1"/>
        <v>#N/A</v>
      </c>
      <c r="EAU538" s="22" t="e">
        <f ca="1"/>
        <v>#N/A</v>
      </c>
      <c r="EAV538" s="22" t="e">
        <f ca="1"/>
        <v>#N/A</v>
      </c>
      <c r="EAW538" s="22" t="e">
        <f ca="1"/>
        <v>#N/A</v>
      </c>
      <c r="EAX538" s="22" t="e">
        <f ca="1"/>
        <v>#N/A</v>
      </c>
      <c r="EAY538" s="22" t="e">
        <f ca="1"/>
        <v>#N/A</v>
      </c>
      <c r="EAZ538" s="22" t="e">
        <f ca="1"/>
        <v>#N/A</v>
      </c>
      <c r="EBA538" s="22" t="e">
        <f ca="1"/>
        <v>#N/A</v>
      </c>
      <c r="EBB538" s="22" t="e">
        <f ca="1"/>
        <v>#N/A</v>
      </c>
      <c r="EBC538" s="22" t="e">
        <f ca="1"/>
        <v>#N/A</v>
      </c>
      <c r="EBD538" s="22" t="e">
        <f ca="1"/>
        <v>#N/A</v>
      </c>
      <c r="EBE538" s="22" t="e">
        <f ca="1"/>
        <v>#N/A</v>
      </c>
      <c r="EBF538" s="22" t="e">
        <f ca="1"/>
        <v>#N/A</v>
      </c>
      <c r="EBG538" s="22" t="e">
        <f ca="1"/>
        <v>#N/A</v>
      </c>
      <c r="EBH538" s="22" t="e">
        <f ca="1"/>
        <v>#N/A</v>
      </c>
      <c r="EBI538" s="22" t="e">
        <f ca="1"/>
        <v>#N/A</v>
      </c>
      <c r="EBJ538" s="22" t="e">
        <f ca="1"/>
        <v>#N/A</v>
      </c>
      <c r="EBK538" s="22" t="e">
        <f ca="1"/>
        <v>#N/A</v>
      </c>
      <c r="EBL538" s="22" t="e">
        <f ca="1"/>
        <v>#N/A</v>
      </c>
      <c r="EBM538" s="22" t="e">
        <f ca="1"/>
        <v>#N/A</v>
      </c>
      <c r="EBN538" s="22" t="e">
        <f ca="1"/>
        <v>#N/A</v>
      </c>
      <c r="EBO538" s="22" t="e">
        <f ca="1"/>
        <v>#N/A</v>
      </c>
      <c r="EBP538" s="22" t="e">
        <f ca="1"/>
        <v>#N/A</v>
      </c>
      <c r="EBQ538" s="22" t="e">
        <f ca="1"/>
        <v>#N/A</v>
      </c>
      <c r="EBR538" s="22" t="e">
        <f ca="1"/>
        <v>#N/A</v>
      </c>
      <c r="EBS538" s="22" t="e">
        <f ca="1"/>
        <v>#N/A</v>
      </c>
      <c r="EBT538" s="22" t="e">
        <f ca="1"/>
        <v>#N/A</v>
      </c>
      <c r="EBU538" s="22" t="e">
        <f ca="1"/>
        <v>#N/A</v>
      </c>
      <c r="EBV538" s="22" t="e">
        <f ca="1"/>
        <v>#N/A</v>
      </c>
      <c r="EBW538" s="22" t="e">
        <f ca="1"/>
        <v>#N/A</v>
      </c>
      <c r="EBX538" s="22" t="e">
        <f ca="1"/>
        <v>#N/A</v>
      </c>
      <c r="EBY538" s="22" t="e">
        <f ca="1"/>
        <v>#N/A</v>
      </c>
      <c r="EBZ538" s="22" t="e">
        <f ca="1"/>
        <v>#N/A</v>
      </c>
      <c r="ECA538" s="22" t="e">
        <f ca="1"/>
        <v>#N/A</v>
      </c>
      <c r="ECB538" s="22" t="e">
        <f ca="1"/>
        <v>#N/A</v>
      </c>
      <c r="ECC538" s="22" t="e">
        <f ca="1"/>
        <v>#N/A</v>
      </c>
      <c r="ECD538" s="22" t="e">
        <f ca="1"/>
        <v>#N/A</v>
      </c>
      <c r="ECE538" s="22" t="e">
        <f ca="1"/>
        <v>#N/A</v>
      </c>
      <c r="ECF538" s="22" t="e">
        <f ca="1"/>
        <v>#N/A</v>
      </c>
      <c r="ECG538" s="22" t="e">
        <f ca="1"/>
        <v>#N/A</v>
      </c>
      <c r="ECH538" s="22" t="e">
        <f ca="1"/>
        <v>#N/A</v>
      </c>
      <c r="ECI538" s="22" t="e">
        <f ca="1"/>
        <v>#N/A</v>
      </c>
      <c r="ECJ538" s="22" t="e">
        <f ca="1"/>
        <v>#N/A</v>
      </c>
      <c r="ECK538" s="22" t="e">
        <f ca="1"/>
        <v>#N/A</v>
      </c>
      <c r="ECL538" s="22" t="e">
        <f ca="1"/>
        <v>#N/A</v>
      </c>
      <c r="ECM538" s="22" t="e">
        <f ca="1"/>
        <v>#N/A</v>
      </c>
      <c r="ECN538" s="22" t="e">
        <f ca="1"/>
        <v>#N/A</v>
      </c>
      <c r="ECO538" s="22" t="e">
        <f ca="1"/>
        <v>#N/A</v>
      </c>
      <c r="ECP538" s="22" t="e">
        <f ca="1"/>
        <v>#N/A</v>
      </c>
      <c r="ECQ538" s="22" t="e">
        <f ca="1"/>
        <v>#N/A</v>
      </c>
      <c r="ECR538" s="22" t="e">
        <f ca="1"/>
        <v>#N/A</v>
      </c>
      <c r="ECS538" s="22" t="e">
        <f ca="1"/>
        <v>#N/A</v>
      </c>
      <c r="ECT538" s="22" t="e">
        <f ca="1"/>
        <v>#N/A</v>
      </c>
      <c r="ECU538" s="22" t="e">
        <f ca="1"/>
        <v>#N/A</v>
      </c>
      <c r="ECV538" s="22" t="e">
        <f ca="1"/>
        <v>#N/A</v>
      </c>
      <c r="ECW538" s="22" t="e">
        <f ca="1"/>
        <v>#N/A</v>
      </c>
      <c r="ECX538" s="22" t="e">
        <f ca="1"/>
        <v>#N/A</v>
      </c>
      <c r="ECY538" s="22" t="e">
        <f ca="1"/>
        <v>#N/A</v>
      </c>
      <c r="ECZ538" s="22" t="e">
        <f ca="1"/>
        <v>#N/A</v>
      </c>
      <c r="EDA538" s="22" t="e">
        <f ca="1"/>
        <v>#N/A</v>
      </c>
      <c r="EDB538" s="22" t="e">
        <f ca="1"/>
        <v>#N/A</v>
      </c>
      <c r="EDC538" s="22" t="e">
        <f ca="1"/>
        <v>#N/A</v>
      </c>
      <c r="EDD538" s="22" t="e">
        <f ca="1"/>
        <v>#N/A</v>
      </c>
      <c r="EDE538" s="22" t="e">
        <f ca="1"/>
        <v>#N/A</v>
      </c>
      <c r="EDF538" s="22" t="e">
        <f ca="1"/>
        <v>#N/A</v>
      </c>
      <c r="EDG538" s="22" t="e">
        <f ca="1"/>
        <v>#N/A</v>
      </c>
      <c r="EDH538" s="22" t="e">
        <f ca="1"/>
        <v>#N/A</v>
      </c>
      <c r="EDI538" s="22" t="e">
        <f ca="1"/>
        <v>#N/A</v>
      </c>
      <c r="EDJ538" s="22" t="e">
        <f ca="1"/>
        <v>#N/A</v>
      </c>
      <c r="EDK538" s="22" t="e">
        <f ca="1"/>
        <v>#N/A</v>
      </c>
      <c r="EDL538" s="22" t="e">
        <f ca="1"/>
        <v>#N/A</v>
      </c>
      <c r="EDM538" s="22" t="e">
        <f ca="1"/>
        <v>#N/A</v>
      </c>
      <c r="EDN538" s="22" t="e">
        <f ca="1"/>
        <v>#N/A</v>
      </c>
      <c r="EDO538" s="22" t="e">
        <f ca="1"/>
        <v>#N/A</v>
      </c>
      <c r="EDP538" s="22" t="e">
        <f ca="1"/>
        <v>#N/A</v>
      </c>
      <c r="EDQ538" s="22" t="e">
        <f ca="1"/>
        <v>#N/A</v>
      </c>
      <c r="EDR538" s="22" t="e">
        <f ca="1"/>
        <v>#N/A</v>
      </c>
      <c r="EDS538" s="22" t="e">
        <f ca="1"/>
        <v>#N/A</v>
      </c>
      <c r="EDT538" s="22" t="e">
        <f ca="1"/>
        <v>#N/A</v>
      </c>
      <c r="EDU538" s="22" t="e">
        <f ca="1"/>
        <v>#N/A</v>
      </c>
      <c r="EDV538" s="22" t="e">
        <f ca="1"/>
        <v>#N/A</v>
      </c>
      <c r="EDW538" s="22" t="e">
        <f ca="1"/>
        <v>#N/A</v>
      </c>
      <c r="EDX538" s="22" t="e">
        <f ca="1"/>
        <v>#N/A</v>
      </c>
      <c r="EDY538" s="22" t="e">
        <f ca="1"/>
        <v>#N/A</v>
      </c>
      <c r="EDZ538" s="22" t="e">
        <f ca="1"/>
        <v>#N/A</v>
      </c>
      <c r="EEA538" s="22" t="e">
        <f ca="1"/>
        <v>#N/A</v>
      </c>
      <c r="EEB538" s="22" t="e">
        <f ca="1"/>
        <v>#N/A</v>
      </c>
      <c r="EEC538" s="22" t="e">
        <f ca="1"/>
        <v>#N/A</v>
      </c>
      <c r="EED538" s="22" t="e">
        <f ca="1"/>
        <v>#N/A</v>
      </c>
      <c r="EEE538" s="22" t="e">
        <f ca="1"/>
        <v>#N/A</v>
      </c>
      <c r="EEF538" s="22" t="e">
        <f ca="1"/>
        <v>#N/A</v>
      </c>
      <c r="EEG538" s="22" t="e">
        <f ca="1"/>
        <v>#N/A</v>
      </c>
      <c r="EEH538" s="22" t="e">
        <f ca="1"/>
        <v>#N/A</v>
      </c>
      <c r="EEI538" s="22" t="e">
        <f ca="1"/>
        <v>#N/A</v>
      </c>
      <c r="EEJ538" s="22" t="e">
        <f ca="1"/>
        <v>#N/A</v>
      </c>
      <c r="EEK538" s="22" t="e">
        <f ca="1"/>
        <v>#N/A</v>
      </c>
      <c r="EEL538" s="22" t="e">
        <f ca="1"/>
        <v>#N/A</v>
      </c>
      <c r="EEM538" s="22" t="e">
        <f ca="1"/>
        <v>#N/A</v>
      </c>
      <c r="EEN538" s="22" t="e">
        <f ca="1"/>
        <v>#N/A</v>
      </c>
      <c r="EEO538" s="22" t="e">
        <f ca="1"/>
        <v>#N/A</v>
      </c>
      <c r="EEP538" s="22" t="e">
        <f ca="1"/>
        <v>#N/A</v>
      </c>
      <c r="EEQ538" s="22" t="e">
        <f ca="1"/>
        <v>#N/A</v>
      </c>
      <c r="EER538" s="22" t="e">
        <f ca="1"/>
        <v>#N/A</v>
      </c>
      <c r="EES538" s="22" t="e">
        <f ca="1"/>
        <v>#N/A</v>
      </c>
      <c r="EET538" s="22" t="e">
        <f ca="1"/>
        <v>#N/A</v>
      </c>
      <c r="EEU538" s="22" t="e">
        <f ca="1"/>
        <v>#N/A</v>
      </c>
      <c r="EEV538" s="22" t="e">
        <f ca="1"/>
        <v>#N/A</v>
      </c>
      <c r="EEW538" s="22" t="e">
        <f ca="1"/>
        <v>#N/A</v>
      </c>
      <c r="EEX538" s="22" t="e">
        <f ca="1"/>
        <v>#N/A</v>
      </c>
      <c r="EEY538" s="22" t="e">
        <f ca="1"/>
        <v>#N/A</v>
      </c>
      <c r="EEZ538" s="22" t="e">
        <f ca="1"/>
        <v>#N/A</v>
      </c>
      <c r="EFA538" s="22" t="e">
        <f ca="1"/>
        <v>#N/A</v>
      </c>
      <c r="EFB538" s="22" t="e">
        <f ca="1"/>
        <v>#N/A</v>
      </c>
      <c r="EFC538" s="22" t="e">
        <f ca="1"/>
        <v>#N/A</v>
      </c>
      <c r="EFD538" s="22" t="e">
        <f ca="1"/>
        <v>#N/A</v>
      </c>
      <c r="EFE538" s="22" t="e">
        <f ca="1"/>
        <v>#N/A</v>
      </c>
      <c r="EFF538" s="22" t="e">
        <f ca="1"/>
        <v>#N/A</v>
      </c>
      <c r="EFG538" s="22" t="e">
        <f ca="1"/>
        <v>#N/A</v>
      </c>
      <c r="EFH538" s="22" t="e">
        <f ca="1"/>
        <v>#N/A</v>
      </c>
      <c r="EFI538" s="22" t="e">
        <f ca="1"/>
        <v>#N/A</v>
      </c>
      <c r="EFJ538" s="22" t="e">
        <f ca="1"/>
        <v>#N/A</v>
      </c>
      <c r="EFK538" s="22" t="e">
        <f ca="1"/>
        <v>#N/A</v>
      </c>
      <c r="EFL538" s="22" t="e">
        <f ca="1"/>
        <v>#N/A</v>
      </c>
      <c r="EFM538" s="22" t="e">
        <f ca="1"/>
        <v>#N/A</v>
      </c>
      <c r="EFN538" s="22" t="e">
        <f ca="1"/>
        <v>#N/A</v>
      </c>
      <c r="EFO538" s="22" t="e">
        <f ca="1"/>
        <v>#N/A</v>
      </c>
      <c r="EFP538" s="22" t="e">
        <f ca="1"/>
        <v>#N/A</v>
      </c>
      <c r="EFQ538" s="22" t="e">
        <f ca="1"/>
        <v>#N/A</v>
      </c>
      <c r="EFR538" s="22" t="e">
        <f ca="1"/>
        <v>#N/A</v>
      </c>
      <c r="EFS538" s="22" t="e">
        <f ca="1"/>
        <v>#N/A</v>
      </c>
      <c r="EFT538" s="22" t="e">
        <f ca="1"/>
        <v>#N/A</v>
      </c>
      <c r="EFU538" s="22" t="e">
        <f ca="1"/>
        <v>#N/A</v>
      </c>
      <c r="EFV538" s="22" t="e">
        <f ca="1"/>
        <v>#N/A</v>
      </c>
      <c r="EFW538" s="22" t="e">
        <f ca="1"/>
        <v>#N/A</v>
      </c>
      <c r="EFX538" s="22" t="e">
        <f ca="1"/>
        <v>#N/A</v>
      </c>
      <c r="EFY538" s="22" t="e">
        <f ca="1"/>
        <v>#N/A</v>
      </c>
      <c r="EFZ538" s="22" t="e">
        <f ca="1"/>
        <v>#N/A</v>
      </c>
      <c r="EGA538" s="22" t="e">
        <f ca="1"/>
        <v>#N/A</v>
      </c>
      <c r="EGB538" s="22" t="e">
        <f ca="1"/>
        <v>#N/A</v>
      </c>
      <c r="EGC538" s="22" t="e">
        <f ca="1"/>
        <v>#N/A</v>
      </c>
      <c r="EGD538" s="22" t="e">
        <f ca="1"/>
        <v>#N/A</v>
      </c>
      <c r="EGE538" s="22" t="e">
        <f ca="1"/>
        <v>#N/A</v>
      </c>
      <c r="EGF538" s="22" t="e">
        <f ca="1"/>
        <v>#N/A</v>
      </c>
      <c r="EGG538" s="22" t="e">
        <f ca="1"/>
        <v>#N/A</v>
      </c>
      <c r="EGH538" s="22" t="e">
        <f ca="1"/>
        <v>#N/A</v>
      </c>
      <c r="EGI538" s="22" t="e">
        <f ca="1"/>
        <v>#N/A</v>
      </c>
      <c r="EGJ538" s="22" t="e">
        <f ca="1"/>
        <v>#N/A</v>
      </c>
      <c r="EGK538" s="22" t="e">
        <f ca="1"/>
        <v>#N/A</v>
      </c>
      <c r="EGL538" s="22" t="e">
        <f ca="1"/>
        <v>#N/A</v>
      </c>
      <c r="EGM538" s="22" t="e">
        <f ca="1"/>
        <v>#N/A</v>
      </c>
      <c r="EGN538" s="22" t="e">
        <f ca="1"/>
        <v>#N/A</v>
      </c>
      <c r="EGO538" s="22" t="e">
        <f ca="1"/>
        <v>#N/A</v>
      </c>
      <c r="EGP538" s="22" t="e">
        <f ca="1"/>
        <v>#N/A</v>
      </c>
      <c r="EGQ538" s="22" t="e">
        <f ca="1"/>
        <v>#N/A</v>
      </c>
      <c r="EGR538" s="22" t="e">
        <f ca="1"/>
        <v>#N/A</v>
      </c>
      <c r="EGS538" s="22" t="e">
        <f ca="1"/>
        <v>#N/A</v>
      </c>
      <c r="EGT538" s="22" t="e">
        <f ca="1"/>
        <v>#N/A</v>
      </c>
      <c r="EGU538" s="22" t="e">
        <f ca="1"/>
        <v>#N/A</v>
      </c>
      <c r="EGV538" s="22" t="e">
        <f ca="1"/>
        <v>#N/A</v>
      </c>
      <c r="EGW538" s="22" t="e">
        <f ca="1"/>
        <v>#N/A</v>
      </c>
      <c r="EGX538" s="22" t="e">
        <f ca="1"/>
        <v>#N/A</v>
      </c>
      <c r="EGY538" s="22" t="e">
        <f ca="1"/>
        <v>#N/A</v>
      </c>
      <c r="EGZ538" s="22" t="e">
        <f ca="1"/>
        <v>#N/A</v>
      </c>
      <c r="EHA538" s="22" t="e">
        <f ca="1"/>
        <v>#N/A</v>
      </c>
      <c r="EHB538" s="22" t="e">
        <f ca="1"/>
        <v>#N/A</v>
      </c>
      <c r="EHC538" s="22" t="e">
        <f ca="1"/>
        <v>#N/A</v>
      </c>
      <c r="EHD538" s="22" t="e">
        <f ca="1"/>
        <v>#N/A</v>
      </c>
      <c r="EHE538" s="22" t="e">
        <f ca="1"/>
        <v>#N/A</v>
      </c>
      <c r="EHF538" s="22" t="e">
        <f ca="1"/>
        <v>#N/A</v>
      </c>
      <c r="EHG538" s="22" t="e">
        <f ca="1"/>
        <v>#N/A</v>
      </c>
      <c r="EHH538" s="22" t="e">
        <f ca="1"/>
        <v>#N/A</v>
      </c>
      <c r="EHI538" s="22" t="e">
        <f ca="1"/>
        <v>#N/A</v>
      </c>
      <c r="EHJ538" s="22" t="e">
        <f ca="1"/>
        <v>#N/A</v>
      </c>
      <c r="EHK538" s="22" t="e">
        <f ca="1"/>
        <v>#N/A</v>
      </c>
      <c r="EHL538" s="22" t="e">
        <f ca="1"/>
        <v>#N/A</v>
      </c>
      <c r="EHM538" s="22" t="e">
        <f ca="1"/>
        <v>#N/A</v>
      </c>
      <c r="EHN538" s="22" t="e">
        <f ca="1"/>
        <v>#N/A</v>
      </c>
      <c r="EHO538" s="22" t="e">
        <f ca="1"/>
        <v>#N/A</v>
      </c>
      <c r="EHP538" s="22" t="e">
        <f ca="1"/>
        <v>#N/A</v>
      </c>
      <c r="EHQ538" s="22" t="e">
        <f ca="1"/>
        <v>#N/A</v>
      </c>
      <c r="EHR538" s="22" t="e">
        <f ca="1"/>
        <v>#N/A</v>
      </c>
      <c r="EHS538" s="22" t="e">
        <f ca="1"/>
        <v>#N/A</v>
      </c>
      <c r="EHT538" s="22" t="e">
        <f ca="1"/>
        <v>#N/A</v>
      </c>
      <c r="EHU538" s="22" t="e">
        <f ca="1"/>
        <v>#N/A</v>
      </c>
      <c r="EHV538" s="22" t="e">
        <f ca="1"/>
        <v>#N/A</v>
      </c>
      <c r="EHW538" s="22" t="e">
        <f ca="1"/>
        <v>#N/A</v>
      </c>
      <c r="EHX538" s="22" t="e">
        <f ca="1"/>
        <v>#N/A</v>
      </c>
      <c r="EHY538" s="22" t="e">
        <f ca="1"/>
        <v>#N/A</v>
      </c>
      <c r="EHZ538" s="22" t="e">
        <f ca="1"/>
        <v>#N/A</v>
      </c>
      <c r="EIA538" s="22" t="e">
        <f ca="1"/>
        <v>#N/A</v>
      </c>
      <c r="EIB538" s="22" t="e">
        <f ca="1"/>
        <v>#N/A</v>
      </c>
      <c r="EIC538" s="22" t="e">
        <f ca="1"/>
        <v>#N/A</v>
      </c>
      <c r="EID538" s="22" t="e">
        <f ca="1"/>
        <v>#N/A</v>
      </c>
      <c r="EIE538" s="22" t="e">
        <f ca="1"/>
        <v>#N/A</v>
      </c>
      <c r="EIF538" s="22" t="e">
        <f ca="1"/>
        <v>#N/A</v>
      </c>
      <c r="EIG538" s="22" t="e">
        <f ca="1"/>
        <v>#N/A</v>
      </c>
      <c r="EIH538" s="22" t="e">
        <f ca="1"/>
        <v>#N/A</v>
      </c>
      <c r="EII538" s="22" t="e">
        <f ca="1"/>
        <v>#N/A</v>
      </c>
      <c r="EIJ538" s="22" t="e">
        <f ca="1"/>
        <v>#N/A</v>
      </c>
      <c r="EIK538" s="22" t="e">
        <f ca="1"/>
        <v>#N/A</v>
      </c>
      <c r="EIL538" s="22" t="e">
        <f ca="1"/>
        <v>#N/A</v>
      </c>
      <c r="EIM538" s="22" t="e">
        <f ca="1"/>
        <v>#N/A</v>
      </c>
      <c r="EIN538" s="22" t="e">
        <f ca="1"/>
        <v>#N/A</v>
      </c>
      <c r="EIO538" s="22" t="e">
        <f ca="1"/>
        <v>#N/A</v>
      </c>
      <c r="EIP538" s="22" t="e">
        <f ca="1"/>
        <v>#N/A</v>
      </c>
      <c r="EIQ538" s="22" t="e">
        <f ca="1"/>
        <v>#N/A</v>
      </c>
      <c r="EIR538" s="22" t="e">
        <f ca="1"/>
        <v>#N/A</v>
      </c>
      <c r="EIS538" s="22" t="e">
        <f ca="1"/>
        <v>#N/A</v>
      </c>
      <c r="EIT538" s="22" t="e">
        <f ca="1"/>
        <v>#N/A</v>
      </c>
      <c r="EIU538" s="22" t="e">
        <f ca="1"/>
        <v>#N/A</v>
      </c>
      <c r="EIV538" s="22" t="e">
        <f ca="1"/>
        <v>#N/A</v>
      </c>
      <c r="EIW538" s="22" t="e">
        <f ca="1"/>
        <v>#N/A</v>
      </c>
      <c r="EIX538" s="22" t="e">
        <f ca="1"/>
        <v>#N/A</v>
      </c>
      <c r="EIY538" s="22" t="e">
        <f ca="1"/>
        <v>#N/A</v>
      </c>
      <c r="EIZ538" s="22" t="e">
        <f ca="1"/>
        <v>#N/A</v>
      </c>
      <c r="EJA538" s="22" t="e">
        <f ca="1"/>
        <v>#N/A</v>
      </c>
      <c r="EJB538" s="22" t="e">
        <f ca="1"/>
        <v>#N/A</v>
      </c>
      <c r="EJC538" s="22" t="e">
        <f ca="1"/>
        <v>#N/A</v>
      </c>
      <c r="EJD538" s="22" t="e">
        <f ca="1"/>
        <v>#N/A</v>
      </c>
      <c r="EJE538" s="22" t="e">
        <f ca="1"/>
        <v>#N/A</v>
      </c>
      <c r="EJF538" s="22" t="e">
        <f ca="1"/>
        <v>#N/A</v>
      </c>
      <c r="EJG538" s="22" t="e">
        <f ca="1"/>
        <v>#N/A</v>
      </c>
      <c r="EJH538" s="22" t="e">
        <f ca="1"/>
        <v>#N/A</v>
      </c>
      <c r="EJI538" s="22" t="e">
        <f ca="1"/>
        <v>#N/A</v>
      </c>
      <c r="EJJ538" s="22" t="e">
        <f ca="1"/>
        <v>#N/A</v>
      </c>
      <c r="EJK538" s="22" t="e">
        <f ca="1"/>
        <v>#N/A</v>
      </c>
      <c r="EJL538" s="22" t="e">
        <f ca="1"/>
        <v>#N/A</v>
      </c>
      <c r="EJM538" s="22" t="e">
        <f ca="1"/>
        <v>#N/A</v>
      </c>
      <c r="EJN538" s="22" t="e">
        <f ca="1"/>
        <v>#N/A</v>
      </c>
      <c r="EJO538" s="22" t="e">
        <f ca="1"/>
        <v>#N/A</v>
      </c>
      <c r="EJP538" s="22" t="e">
        <f ca="1"/>
        <v>#N/A</v>
      </c>
      <c r="EJQ538" s="22" t="e">
        <f ca="1"/>
        <v>#N/A</v>
      </c>
      <c r="EJR538" s="22" t="e">
        <f ca="1"/>
        <v>#N/A</v>
      </c>
      <c r="EJS538" s="22" t="e">
        <f ca="1"/>
        <v>#N/A</v>
      </c>
      <c r="EJT538" s="22" t="e">
        <f ca="1"/>
        <v>#N/A</v>
      </c>
      <c r="EJU538" s="22" t="e">
        <f ca="1"/>
        <v>#N/A</v>
      </c>
      <c r="EJV538" s="22" t="e">
        <f ca="1"/>
        <v>#N/A</v>
      </c>
      <c r="EJW538" s="22" t="e">
        <f ca="1"/>
        <v>#N/A</v>
      </c>
      <c r="EJX538" s="22" t="e">
        <f ca="1"/>
        <v>#N/A</v>
      </c>
      <c r="EJY538" s="22" t="e">
        <f ca="1"/>
        <v>#N/A</v>
      </c>
      <c r="EJZ538" s="22" t="e">
        <f ca="1"/>
        <v>#N/A</v>
      </c>
      <c r="EKA538" s="22" t="e">
        <f ca="1"/>
        <v>#N/A</v>
      </c>
      <c r="EKB538" s="22" t="e">
        <f ca="1"/>
        <v>#N/A</v>
      </c>
      <c r="EKC538" s="22" t="e">
        <f ca="1"/>
        <v>#N/A</v>
      </c>
      <c r="EKD538" s="22" t="e">
        <f ca="1"/>
        <v>#N/A</v>
      </c>
      <c r="EKE538" s="22" t="e">
        <f ca="1"/>
        <v>#N/A</v>
      </c>
      <c r="EKF538" s="22" t="e">
        <f ca="1"/>
        <v>#N/A</v>
      </c>
      <c r="EKG538" s="22" t="e">
        <f ca="1"/>
        <v>#N/A</v>
      </c>
      <c r="EKH538" s="22" t="e">
        <f ca="1"/>
        <v>#N/A</v>
      </c>
      <c r="EKI538" s="22" t="e">
        <f ca="1"/>
        <v>#N/A</v>
      </c>
      <c r="EKJ538" s="22" t="e">
        <f ca="1"/>
        <v>#N/A</v>
      </c>
      <c r="EKK538" s="22" t="e">
        <f ca="1"/>
        <v>#N/A</v>
      </c>
      <c r="EKL538" s="22" t="e">
        <f ca="1"/>
        <v>#N/A</v>
      </c>
      <c r="EKM538" s="22" t="e">
        <f ca="1"/>
        <v>#N/A</v>
      </c>
      <c r="EKN538" s="22" t="e">
        <f ca="1"/>
        <v>#N/A</v>
      </c>
      <c r="EKO538" s="22" t="e">
        <f ca="1"/>
        <v>#N/A</v>
      </c>
      <c r="EKP538" s="22" t="e">
        <f ca="1"/>
        <v>#N/A</v>
      </c>
      <c r="EKQ538" s="22" t="e">
        <f ca="1"/>
        <v>#N/A</v>
      </c>
      <c r="EKR538" s="22" t="e">
        <f ca="1"/>
        <v>#N/A</v>
      </c>
      <c r="EKS538" s="22" t="e">
        <f ca="1"/>
        <v>#N/A</v>
      </c>
      <c r="EKT538" s="22" t="e">
        <f ca="1"/>
        <v>#N/A</v>
      </c>
      <c r="EKU538" s="22" t="e">
        <f ca="1"/>
        <v>#N/A</v>
      </c>
      <c r="EKV538" s="22" t="e">
        <f ca="1"/>
        <v>#N/A</v>
      </c>
      <c r="EKW538" s="22" t="e">
        <f ca="1"/>
        <v>#N/A</v>
      </c>
      <c r="EKX538" s="22" t="e">
        <f ca="1"/>
        <v>#N/A</v>
      </c>
      <c r="EKY538" s="22" t="e">
        <f ca="1"/>
        <v>#N/A</v>
      </c>
      <c r="EKZ538" s="22" t="e">
        <f ca="1"/>
        <v>#N/A</v>
      </c>
      <c r="ELA538" s="22" t="e">
        <f ca="1"/>
        <v>#N/A</v>
      </c>
      <c r="ELB538" s="22" t="e">
        <f ca="1"/>
        <v>#N/A</v>
      </c>
      <c r="ELC538" s="22" t="e">
        <f ca="1"/>
        <v>#N/A</v>
      </c>
      <c r="ELD538" s="22" t="e">
        <f ca="1"/>
        <v>#N/A</v>
      </c>
      <c r="ELE538" s="22" t="e">
        <f ca="1"/>
        <v>#N/A</v>
      </c>
      <c r="ELF538" s="22" t="e">
        <f ca="1"/>
        <v>#N/A</v>
      </c>
      <c r="ELG538" s="22" t="e">
        <f ca="1"/>
        <v>#N/A</v>
      </c>
      <c r="ELH538" s="22" t="e">
        <f ca="1"/>
        <v>#N/A</v>
      </c>
      <c r="ELI538" s="22" t="e">
        <f ca="1"/>
        <v>#N/A</v>
      </c>
      <c r="ELJ538" s="22" t="e">
        <f ca="1"/>
        <v>#N/A</v>
      </c>
      <c r="ELK538" s="22" t="e">
        <f ca="1"/>
        <v>#N/A</v>
      </c>
      <c r="ELL538" s="22" t="e">
        <f ca="1"/>
        <v>#N/A</v>
      </c>
      <c r="ELM538" s="22" t="e">
        <f ca="1"/>
        <v>#N/A</v>
      </c>
      <c r="ELN538" s="22" t="e">
        <f ca="1"/>
        <v>#N/A</v>
      </c>
      <c r="ELO538" s="22" t="e">
        <f ca="1"/>
        <v>#N/A</v>
      </c>
      <c r="ELP538" s="22" t="e">
        <f ca="1"/>
        <v>#N/A</v>
      </c>
      <c r="ELQ538" s="22" t="e">
        <f ca="1"/>
        <v>#N/A</v>
      </c>
      <c r="ELR538" s="22" t="e">
        <f ca="1"/>
        <v>#N/A</v>
      </c>
      <c r="ELS538" s="22" t="e">
        <f ca="1"/>
        <v>#N/A</v>
      </c>
      <c r="ELT538" s="22" t="e">
        <f ca="1"/>
        <v>#N/A</v>
      </c>
      <c r="ELU538" s="22" t="e">
        <f ca="1"/>
        <v>#N/A</v>
      </c>
      <c r="ELV538" s="22" t="e">
        <f ca="1"/>
        <v>#N/A</v>
      </c>
      <c r="ELW538" s="22" t="e">
        <f ca="1"/>
        <v>#N/A</v>
      </c>
      <c r="ELX538" s="22" t="e">
        <f ca="1"/>
        <v>#N/A</v>
      </c>
      <c r="ELY538" s="22" t="e">
        <f ca="1"/>
        <v>#N/A</v>
      </c>
      <c r="ELZ538" s="22" t="e">
        <f ca="1"/>
        <v>#N/A</v>
      </c>
      <c r="EMA538" s="22" t="e">
        <f ca="1"/>
        <v>#N/A</v>
      </c>
      <c r="EMB538" s="22" t="e">
        <f ca="1"/>
        <v>#N/A</v>
      </c>
      <c r="EMC538" s="22" t="e">
        <f ca="1"/>
        <v>#N/A</v>
      </c>
      <c r="EMD538" s="22" t="e">
        <f ca="1"/>
        <v>#N/A</v>
      </c>
      <c r="EME538" s="22" t="e">
        <f ca="1"/>
        <v>#N/A</v>
      </c>
      <c r="EMF538" s="22" t="e">
        <f ca="1"/>
        <v>#N/A</v>
      </c>
      <c r="EMG538" s="22" t="e">
        <f ca="1"/>
        <v>#N/A</v>
      </c>
      <c r="EMH538" s="22" t="e">
        <f ca="1"/>
        <v>#N/A</v>
      </c>
      <c r="EMI538" s="22" t="e">
        <f ca="1"/>
        <v>#N/A</v>
      </c>
      <c r="EMJ538" s="22" t="e">
        <f ca="1"/>
        <v>#N/A</v>
      </c>
      <c r="EMK538" s="22" t="e">
        <f ca="1"/>
        <v>#N/A</v>
      </c>
      <c r="EML538" s="22" t="e">
        <f ca="1"/>
        <v>#N/A</v>
      </c>
      <c r="EMM538" s="22" t="e">
        <f ca="1"/>
        <v>#N/A</v>
      </c>
      <c r="EMN538" s="22" t="e">
        <f ca="1"/>
        <v>#N/A</v>
      </c>
      <c r="EMO538" s="22" t="e">
        <f ca="1"/>
        <v>#N/A</v>
      </c>
      <c r="EMP538" s="22" t="e">
        <f ca="1"/>
        <v>#N/A</v>
      </c>
      <c r="EMQ538" s="22" t="e">
        <f ca="1"/>
        <v>#N/A</v>
      </c>
      <c r="EMR538" s="22" t="e">
        <f ca="1"/>
        <v>#N/A</v>
      </c>
      <c r="EMS538" s="22" t="e">
        <f ca="1"/>
        <v>#N/A</v>
      </c>
      <c r="EMT538" s="22" t="e">
        <f ca="1"/>
        <v>#N/A</v>
      </c>
      <c r="EMU538" s="22" t="e">
        <f ca="1"/>
        <v>#N/A</v>
      </c>
      <c r="EMV538" s="22" t="e">
        <f ca="1"/>
        <v>#N/A</v>
      </c>
      <c r="EMW538" s="22" t="e">
        <f ca="1"/>
        <v>#N/A</v>
      </c>
      <c r="EMX538" s="22" t="e">
        <f ca="1"/>
        <v>#N/A</v>
      </c>
      <c r="EMY538" s="22" t="e">
        <f ca="1"/>
        <v>#N/A</v>
      </c>
      <c r="EMZ538" s="22" t="e">
        <f ca="1"/>
        <v>#N/A</v>
      </c>
      <c r="ENA538" s="22" t="e">
        <f ca="1"/>
        <v>#N/A</v>
      </c>
      <c r="ENB538" s="22" t="e">
        <f ca="1"/>
        <v>#N/A</v>
      </c>
      <c r="ENC538" s="22" t="e">
        <f ca="1"/>
        <v>#N/A</v>
      </c>
      <c r="END538" s="22" t="e">
        <f ca="1"/>
        <v>#N/A</v>
      </c>
      <c r="ENE538" s="22" t="e">
        <f ca="1"/>
        <v>#N/A</v>
      </c>
      <c r="ENF538" s="22" t="e">
        <f ca="1"/>
        <v>#N/A</v>
      </c>
      <c r="ENG538" s="22" t="e">
        <f ca="1"/>
        <v>#N/A</v>
      </c>
      <c r="ENH538" s="22" t="e">
        <f ca="1"/>
        <v>#N/A</v>
      </c>
      <c r="ENI538" s="22" t="e">
        <f ca="1"/>
        <v>#N/A</v>
      </c>
      <c r="ENJ538" s="22" t="e">
        <f ca="1"/>
        <v>#N/A</v>
      </c>
      <c r="ENK538" s="22" t="e">
        <f ca="1"/>
        <v>#N/A</v>
      </c>
      <c r="ENL538" s="22" t="e">
        <f ca="1"/>
        <v>#N/A</v>
      </c>
      <c r="ENM538" s="22" t="e">
        <f ca="1"/>
        <v>#N/A</v>
      </c>
      <c r="ENN538" s="22" t="e">
        <f ca="1"/>
        <v>#N/A</v>
      </c>
      <c r="ENO538" s="22" t="e">
        <f ca="1"/>
        <v>#N/A</v>
      </c>
      <c r="ENP538" s="22" t="e">
        <f ca="1"/>
        <v>#N/A</v>
      </c>
      <c r="ENQ538" s="22" t="e">
        <f ca="1"/>
        <v>#N/A</v>
      </c>
      <c r="ENR538" s="22" t="e">
        <f ca="1"/>
        <v>#N/A</v>
      </c>
      <c r="ENS538" s="22" t="e">
        <f ca="1"/>
        <v>#N/A</v>
      </c>
      <c r="ENT538" s="22" t="e">
        <f ca="1"/>
        <v>#N/A</v>
      </c>
      <c r="ENU538" s="22" t="e">
        <f ca="1"/>
        <v>#N/A</v>
      </c>
      <c r="ENV538" s="22" t="e">
        <f ca="1"/>
        <v>#N/A</v>
      </c>
      <c r="ENW538" s="22" t="e">
        <f ca="1"/>
        <v>#N/A</v>
      </c>
      <c r="ENX538" s="22" t="e">
        <f ca="1"/>
        <v>#N/A</v>
      </c>
      <c r="ENY538" s="22" t="e">
        <f ca="1"/>
        <v>#N/A</v>
      </c>
      <c r="ENZ538" s="22" t="e">
        <f ca="1"/>
        <v>#N/A</v>
      </c>
      <c r="EOA538" s="22" t="e">
        <f ca="1"/>
        <v>#N/A</v>
      </c>
      <c r="EOB538" s="22" t="e">
        <f ca="1"/>
        <v>#N/A</v>
      </c>
      <c r="EOC538" s="22" t="e">
        <f ca="1"/>
        <v>#N/A</v>
      </c>
      <c r="EOD538" s="22" t="e">
        <f ca="1"/>
        <v>#N/A</v>
      </c>
      <c r="EOE538" s="22" t="e">
        <f ca="1"/>
        <v>#N/A</v>
      </c>
      <c r="EOF538" s="22" t="e">
        <f ca="1"/>
        <v>#N/A</v>
      </c>
      <c r="EOG538" s="22" t="e">
        <f ca="1"/>
        <v>#N/A</v>
      </c>
      <c r="EOH538" s="22" t="e">
        <f ca="1"/>
        <v>#N/A</v>
      </c>
      <c r="EOI538" s="22" t="e">
        <f ca="1"/>
        <v>#N/A</v>
      </c>
      <c r="EOJ538" s="22" t="e">
        <f ca="1"/>
        <v>#N/A</v>
      </c>
      <c r="EOK538" s="22" t="e">
        <f ca="1"/>
        <v>#N/A</v>
      </c>
      <c r="EOL538" s="22" t="e">
        <f ca="1"/>
        <v>#N/A</v>
      </c>
      <c r="EOM538" s="22" t="e">
        <f ca="1"/>
        <v>#N/A</v>
      </c>
      <c r="EON538" s="22" t="e">
        <f ca="1"/>
        <v>#N/A</v>
      </c>
      <c r="EOO538" s="22" t="e">
        <f ca="1"/>
        <v>#N/A</v>
      </c>
      <c r="EOP538" s="22" t="e">
        <f ca="1"/>
        <v>#N/A</v>
      </c>
      <c r="EOQ538" s="22" t="e">
        <f ca="1"/>
        <v>#N/A</v>
      </c>
      <c r="EOR538" s="22" t="e">
        <f ca="1"/>
        <v>#N/A</v>
      </c>
      <c r="EOS538" s="22" t="e">
        <f ca="1"/>
        <v>#N/A</v>
      </c>
      <c r="EOT538" s="22" t="e">
        <f ca="1"/>
        <v>#N/A</v>
      </c>
      <c r="EOU538" s="22" t="e">
        <f ca="1"/>
        <v>#N/A</v>
      </c>
      <c r="EOV538" s="22" t="e">
        <f ca="1"/>
        <v>#N/A</v>
      </c>
      <c r="EOW538" s="22" t="e">
        <f ca="1"/>
        <v>#N/A</v>
      </c>
      <c r="EOX538" s="22" t="e">
        <f ca="1"/>
        <v>#N/A</v>
      </c>
      <c r="EOY538" s="22" t="e">
        <f ca="1"/>
        <v>#N/A</v>
      </c>
      <c r="EOZ538" s="22" t="e">
        <f ca="1"/>
        <v>#N/A</v>
      </c>
      <c r="EPA538" s="22" t="e">
        <f ca="1"/>
        <v>#N/A</v>
      </c>
      <c r="EPB538" s="22" t="e">
        <f ca="1"/>
        <v>#N/A</v>
      </c>
      <c r="EPC538" s="22" t="e">
        <f ca="1"/>
        <v>#N/A</v>
      </c>
      <c r="EPD538" s="22" t="e">
        <f ca="1"/>
        <v>#N/A</v>
      </c>
      <c r="EPE538" s="22" t="e">
        <f ca="1"/>
        <v>#N/A</v>
      </c>
      <c r="EPF538" s="22" t="e">
        <f ca="1"/>
        <v>#N/A</v>
      </c>
      <c r="EPG538" s="22" t="e">
        <f ca="1"/>
        <v>#N/A</v>
      </c>
      <c r="EPH538" s="22" t="e">
        <f ca="1"/>
        <v>#N/A</v>
      </c>
      <c r="EPI538" s="22" t="e">
        <f ca="1"/>
        <v>#N/A</v>
      </c>
      <c r="EPJ538" s="22" t="e">
        <f ca="1"/>
        <v>#N/A</v>
      </c>
      <c r="EPK538" s="22" t="e">
        <f ca="1"/>
        <v>#N/A</v>
      </c>
      <c r="EPL538" s="22" t="e">
        <f ca="1"/>
        <v>#N/A</v>
      </c>
      <c r="EPM538" s="22" t="e">
        <f ca="1"/>
        <v>#N/A</v>
      </c>
      <c r="EPN538" s="22" t="e">
        <f ca="1"/>
        <v>#N/A</v>
      </c>
      <c r="EPO538" s="22" t="e">
        <f ca="1"/>
        <v>#N/A</v>
      </c>
      <c r="EPP538" s="22" t="e">
        <f ca="1"/>
        <v>#N/A</v>
      </c>
      <c r="EPQ538" s="22" t="e">
        <f ca="1"/>
        <v>#N/A</v>
      </c>
      <c r="EPR538" s="22" t="e">
        <f ca="1"/>
        <v>#N/A</v>
      </c>
      <c r="EPS538" s="22" t="e">
        <f ca="1"/>
        <v>#N/A</v>
      </c>
      <c r="EPT538" s="22" t="e">
        <f ca="1"/>
        <v>#N/A</v>
      </c>
      <c r="EPU538" s="22" t="e">
        <f ca="1"/>
        <v>#N/A</v>
      </c>
      <c r="EPV538" s="22" t="e">
        <f ca="1"/>
        <v>#N/A</v>
      </c>
      <c r="EPW538" s="22" t="e">
        <f ca="1"/>
        <v>#N/A</v>
      </c>
      <c r="EPX538" s="22" t="e">
        <f ca="1"/>
        <v>#N/A</v>
      </c>
      <c r="EPY538" s="22" t="e">
        <f ca="1"/>
        <v>#N/A</v>
      </c>
      <c r="EPZ538" s="22" t="e">
        <f ca="1"/>
        <v>#N/A</v>
      </c>
      <c r="EQA538" s="22" t="e">
        <f ca="1"/>
        <v>#N/A</v>
      </c>
      <c r="EQB538" s="22" t="e">
        <f ca="1"/>
        <v>#N/A</v>
      </c>
      <c r="EQC538" s="22" t="e">
        <f ca="1"/>
        <v>#N/A</v>
      </c>
      <c r="EQD538" s="22" t="e">
        <f ca="1"/>
        <v>#N/A</v>
      </c>
      <c r="EQE538" s="22" t="e">
        <f ca="1"/>
        <v>#N/A</v>
      </c>
      <c r="EQF538" s="22" t="e">
        <f ca="1"/>
        <v>#N/A</v>
      </c>
      <c r="EQG538" s="22" t="e">
        <f ca="1"/>
        <v>#N/A</v>
      </c>
      <c r="EQH538" s="22" t="e">
        <f ca="1"/>
        <v>#N/A</v>
      </c>
      <c r="EQI538" s="22" t="e">
        <f ca="1"/>
        <v>#N/A</v>
      </c>
      <c r="EQJ538" s="22" t="e">
        <f ca="1"/>
        <v>#N/A</v>
      </c>
      <c r="EQK538" s="22" t="e">
        <f ca="1"/>
        <v>#N/A</v>
      </c>
      <c r="EQL538" s="22" t="e">
        <f ca="1"/>
        <v>#N/A</v>
      </c>
      <c r="EQM538" s="22" t="e">
        <f ca="1"/>
        <v>#N/A</v>
      </c>
      <c r="EQN538" s="22" t="e">
        <f ca="1"/>
        <v>#N/A</v>
      </c>
      <c r="EQO538" s="22" t="e">
        <f ca="1"/>
        <v>#N/A</v>
      </c>
      <c r="EQP538" s="22" t="e">
        <f ca="1"/>
        <v>#N/A</v>
      </c>
      <c r="EQQ538" s="22" t="e">
        <f ca="1"/>
        <v>#N/A</v>
      </c>
      <c r="EQR538" s="22" t="e">
        <f ca="1"/>
        <v>#N/A</v>
      </c>
      <c r="EQS538" s="22" t="e">
        <f ca="1"/>
        <v>#N/A</v>
      </c>
      <c r="EQT538" s="22" t="e">
        <f ca="1"/>
        <v>#N/A</v>
      </c>
      <c r="EQU538" s="22" t="e">
        <f ca="1"/>
        <v>#N/A</v>
      </c>
      <c r="EQV538" s="22" t="e">
        <f ca="1"/>
        <v>#N/A</v>
      </c>
      <c r="EQW538" s="22" t="e">
        <f ca="1"/>
        <v>#N/A</v>
      </c>
      <c r="EQX538" s="22" t="e">
        <f ca="1"/>
        <v>#N/A</v>
      </c>
      <c r="EQY538" s="22" t="e">
        <f ca="1"/>
        <v>#N/A</v>
      </c>
      <c r="EQZ538" s="22" t="e">
        <f ca="1"/>
        <v>#N/A</v>
      </c>
      <c r="ERA538" s="22" t="e">
        <f ca="1"/>
        <v>#N/A</v>
      </c>
      <c r="ERB538" s="22" t="e">
        <f ca="1"/>
        <v>#N/A</v>
      </c>
      <c r="ERC538" s="22" t="e">
        <f ca="1"/>
        <v>#N/A</v>
      </c>
      <c r="ERD538" s="22" t="e">
        <f ca="1"/>
        <v>#N/A</v>
      </c>
      <c r="ERE538" s="22" t="e">
        <f ca="1"/>
        <v>#N/A</v>
      </c>
      <c r="ERF538" s="22" t="e">
        <f ca="1"/>
        <v>#N/A</v>
      </c>
      <c r="ERG538" s="22" t="e">
        <f ca="1"/>
        <v>#N/A</v>
      </c>
      <c r="ERH538" s="22" t="e">
        <f ca="1"/>
        <v>#N/A</v>
      </c>
      <c r="ERI538" s="22" t="e">
        <f ca="1"/>
        <v>#N/A</v>
      </c>
      <c r="ERJ538" s="22" t="e">
        <f ca="1"/>
        <v>#N/A</v>
      </c>
      <c r="ERK538" s="22" t="e">
        <f ca="1"/>
        <v>#N/A</v>
      </c>
      <c r="ERL538" s="22" t="e">
        <f ca="1"/>
        <v>#N/A</v>
      </c>
      <c r="ERM538" s="22" t="e">
        <f ca="1"/>
        <v>#N/A</v>
      </c>
      <c r="ERN538" s="22" t="e">
        <f ca="1"/>
        <v>#N/A</v>
      </c>
      <c r="ERO538" s="22" t="e">
        <f ca="1"/>
        <v>#N/A</v>
      </c>
      <c r="ERP538" s="22" t="e">
        <f ca="1"/>
        <v>#N/A</v>
      </c>
      <c r="ERQ538" s="22" t="e">
        <f ca="1"/>
        <v>#N/A</v>
      </c>
      <c r="ERR538" s="22" t="e">
        <f ca="1"/>
        <v>#N/A</v>
      </c>
      <c r="ERS538" s="22" t="e">
        <f ca="1"/>
        <v>#N/A</v>
      </c>
      <c r="ERT538" s="22" t="e">
        <f ca="1"/>
        <v>#N/A</v>
      </c>
      <c r="ERU538" s="22" t="e">
        <f ca="1"/>
        <v>#N/A</v>
      </c>
      <c r="ERV538" s="22" t="e">
        <f ca="1"/>
        <v>#N/A</v>
      </c>
      <c r="ERW538" s="22" t="e">
        <f ca="1"/>
        <v>#N/A</v>
      </c>
      <c r="ERX538" s="22" t="e">
        <f ca="1"/>
        <v>#N/A</v>
      </c>
      <c r="ERY538" s="22" t="e">
        <f ca="1"/>
        <v>#N/A</v>
      </c>
      <c r="ERZ538" s="22" t="e">
        <f ca="1"/>
        <v>#N/A</v>
      </c>
      <c r="ESA538" s="22" t="e">
        <f ca="1"/>
        <v>#N/A</v>
      </c>
      <c r="ESB538" s="22" t="e">
        <f ca="1"/>
        <v>#N/A</v>
      </c>
      <c r="ESC538" s="22" t="e">
        <f ca="1"/>
        <v>#N/A</v>
      </c>
      <c r="ESD538" s="22" t="e">
        <f ca="1"/>
        <v>#N/A</v>
      </c>
      <c r="ESE538" s="22" t="e">
        <f ca="1"/>
        <v>#N/A</v>
      </c>
      <c r="ESF538" s="22" t="e">
        <f ca="1"/>
        <v>#N/A</v>
      </c>
      <c r="ESG538" s="22" t="e">
        <f ca="1"/>
        <v>#N/A</v>
      </c>
      <c r="ESH538" s="22" t="e">
        <f ca="1"/>
        <v>#N/A</v>
      </c>
      <c r="ESI538" s="22" t="e">
        <f ca="1"/>
        <v>#N/A</v>
      </c>
      <c r="ESJ538" s="22" t="e">
        <f ca="1"/>
        <v>#N/A</v>
      </c>
      <c r="ESK538" s="22" t="e">
        <f ca="1"/>
        <v>#N/A</v>
      </c>
      <c r="ESL538" s="22" t="e">
        <f ca="1"/>
        <v>#N/A</v>
      </c>
      <c r="ESM538" s="22" t="e">
        <f ca="1"/>
        <v>#N/A</v>
      </c>
      <c r="ESN538" s="22" t="e">
        <f ca="1"/>
        <v>#N/A</v>
      </c>
      <c r="ESO538" s="22" t="e">
        <f ca="1"/>
        <v>#N/A</v>
      </c>
      <c r="ESP538" s="22" t="e">
        <f ca="1"/>
        <v>#N/A</v>
      </c>
      <c r="ESQ538" s="22" t="e">
        <f ca="1"/>
        <v>#N/A</v>
      </c>
      <c r="ESR538" s="22" t="e">
        <f ca="1"/>
        <v>#N/A</v>
      </c>
      <c r="ESS538" s="22" t="e">
        <f ca="1"/>
        <v>#N/A</v>
      </c>
      <c r="EST538" s="22" t="e">
        <f ca="1"/>
        <v>#N/A</v>
      </c>
      <c r="ESU538" s="22" t="e">
        <f ca="1"/>
        <v>#N/A</v>
      </c>
      <c r="ESV538" s="22" t="e">
        <f ca="1"/>
        <v>#N/A</v>
      </c>
      <c r="ESW538" s="22" t="e">
        <f ca="1"/>
        <v>#N/A</v>
      </c>
      <c r="ESX538" s="22" t="e">
        <f ca="1"/>
        <v>#N/A</v>
      </c>
      <c r="ESY538" s="22" t="e">
        <f ca="1"/>
        <v>#N/A</v>
      </c>
      <c r="ESZ538" s="22" t="e">
        <f ca="1"/>
        <v>#N/A</v>
      </c>
      <c r="ETA538" s="22" t="e">
        <f ca="1"/>
        <v>#N/A</v>
      </c>
      <c r="ETB538" s="22" t="e">
        <f ca="1"/>
        <v>#N/A</v>
      </c>
      <c r="ETC538" s="22" t="e">
        <f ca="1"/>
        <v>#N/A</v>
      </c>
      <c r="ETD538" s="22" t="e">
        <f ca="1"/>
        <v>#N/A</v>
      </c>
      <c r="ETE538" s="22" t="e">
        <f ca="1"/>
        <v>#N/A</v>
      </c>
      <c r="ETF538" s="22" t="e">
        <f ca="1"/>
        <v>#N/A</v>
      </c>
      <c r="ETG538" s="22" t="e">
        <f ca="1"/>
        <v>#N/A</v>
      </c>
      <c r="ETH538" s="22" t="e">
        <f ca="1"/>
        <v>#N/A</v>
      </c>
      <c r="ETI538" s="22" t="e">
        <f ca="1"/>
        <v>#N/A</v>
      </c>
      <c r="ETJ538" s="22" t="e">
        <f ca="1"/>
        <v>#N/A</v>
      </c>
      <c r="ETK538" s="22" t="e">
        <f ca="1"/>
        <v>#N/A</v>
      </c>
      <c r="ETL538" s="22" t="e">
        <f ca="1"/>
        <v>#N/A</v>
      </c>
      <c r="ETM538" s="22" t="e">
        <f ca="1"/>
        <v>#N/A</v>
      </c>
      <c r="ETN538" s="22" t="e">
        <f ca="1"/>
        <v>#N/A</v>
      </c>
      <c r="ETO538" s="22" t="e">
        <f ca="1"/>
        <v>#N/A</v>
      </c>
      <c r="ETP538" s="22" t="e">
        <f ca="1"/>
        <v>#N/A</v>
      </c>
      <c r="ETQ538" s="22" t="e">
        <f ca="1"/>
        <v>#N/A</v>
      </c>
      <c r="ETR538" s="22" t="e">
        <f ca="1"/>
        <v>#N/A</v>
      </c>
      <c r="ETS538" s="22" t="e">
        <f ca="1"/>
        <v>#N/A</v>
      </c>
      <c r="ETT538" s="22" t="e">
        <f ca="1"/>
        <v>#N/A</v>
      </c>
      <c r="ETU538" s="22" t="e">
        <f ca="1"/>
        <v>#N/A</v>
      </c>
      <c r="ETV538" s="22" t="e">
        <f ca="1"/>
        <v>#N/A</v>
      </c>
      <c r="ETW538" s="22" t="e">
        <f ca="1"/>
        <v>#N/A</v>
      </c>
      <c r="ETX538" s="22" t="e">
        <f ca="1"/>
        <v>#N/A</v>
      </c>
      <c r="ETY538" s="22" t="e">
        <f ca="1"/>
        <v>#N/A</v>
      </c>
      <c r="ETZ538" s="22" t="e">
        <f ca="1"/>
        <v>#N/A</v>
      </c>
      <c r="EUA538" s="22" t="e">
        <f ca="1"/>
        <v>#N/A</v>
      </c>
      <c r="EUB538" s="22" t="e">
        <f ca="1"/>
        <v>#N/A</v>
      </c>
      <c r="EUC538" s="22" t="e">
        <f ca="1"/>
        <v>#N/A</v>
      </c>
      <c r="EUD538" s="22" t="e">
        <f ca="1"/>
        <v>#N/A</v>
      </c>
      <c r="EUE538" s="22" t="e">
        <f ca="1"/>
        <v>#N/A</v>
      </c>
      <c r="EUF538" s="22" t="e">
        <f ca="1"/>
        <v>#N/A</v>
      </c>
      <c r="EUG538" s="22" t="e">
        <f ca="1"/>
        <v>#N/A</v>
      </c>
      <c r="EUH538" s="22" t="e">
        <f ca="1"/>
        <v>#N/A</v>
      </c>
      <c r="EUI538" s="22" t="e">
        <f ca="1"/>
        <v>#N/A</v>
      </c>
      <c r="EUJ538" s="22" t="e">
        <f ca="1"/>
        <v>#N/A</v>
      </c>
      <c r="EUK538" s="22" t="e">
        <f ca="1"/>
        <v>#N/A</v>
      </c>
      <c r="EUL538" s="22" t="e">
        <f ca="1"/>
        <v>#N/A</v>
      </c>
      <c r="EUM538" s="22" t="e">
        <f ca="1"/>
        <v>#N/A</v>
      </c>
      <c r="EUN538" s="22" t="e">
        <f ca="1"/>
        <v>#N/A</v>
      </c>
      <c r="EUO538" s="22" t="e">
        <f ca="1"/>
        <v>#N/A</v>
      </c>
      <c r="EUP538" s="22" t="e">
        <f ca="1"/>
        <v>#N/A</v>
      </c>
      <c r="EUQ538" s="22" t="e">
        <f ca="1"/>
        <v>#N/A</v>
      </c>
      <c r="EUR538" s="22" t="e">
        <f ca="1"/>
        <v>#N/A</v>
      </c>
      <c r="EUS538" s="22" t="e">
        <f ca="1"/>
        <v>#N/A</v>
      </c>
      <c r="EUT538" s="22" t="e">
        <f ca="1"/>
        <v>#N/A</v>
      </c>
      <c r="EUU538" s="22" t="e">
        <f ca="1"/>
        <v>#N/A</v>
      </c>
      <c r="EUV538" s="22" t="e">
        <f ca="1"/>
        <v>#N/A</v>
      </c>
      <c r="EUW538" s="22" t="e">
        <f ca="1"/>
        <v>#N/A</v>
      </c>
      <c r="EUX538" s="22" t="e">
        <f ca="1"/>
        <v>#N/A</v>
      </c>
      <c r="EUY538" s="22" t="e">
        <f ca="1"/>
        <v>#N/A</v>
      </c>
      <c r="EUZ538" s="22" t="e">
        <f ca="1"/>
        <v>#N/A</v>
      </c>
      <c r="EVA538" s="22" t="e">
        <f ca="1"/>
        <v>#N/A</v>
      </c>
      <c r="EVB538" s="22" t="e">
        <f ca="1"/>
        <v>#N/A</v>
      </c>
      <c r="EVC538" s="22" t="e">
        <f ca="1"/>
        <v>#N/A</v>
      </c>
      <c r="EVD538" s="22" t="e">
        <f ca="1"/>
        <v>#N/A</v>
      </c>
      <c r="EVE538" s="22" t="e">
        <f ca="1"/>
        <v>#N/A</v>
      </c>
      <c r="EVF538" s="22" t="e">
        <f ca="1"/>
        <v>#N/A</v>
      </c>
      <c r="EVG538" s="22" t="e">
        <f ca="1"/>
        <v>#N/A</v>
      </c>
      <c r="EVH538" s="22" t="e">
        <f ca="1"/>
        <v>#N/A</v>
      </c>
      <c r="EVI538" s="22" t="e">
        <f ca="1"/>
        <v>#N/A</v>
      </c>
      <c r="EVJ538" s="22" t="e">
        <f ca="1"/>
        <v>#N/A</v>
      </c>
      <c r="EVK538" s="22" t="e">
        <f ca="1"/>
        <v>#N/A</v>
      </c>
      <c r="EVL538" s="22" t="e">
        <f ca="1"/>
        <v>#N/A</v>
      </c>
      <c r="EVM538" s="22" t="e">
        <f ca="1"/>
        <v>#N/A</v>
      </c>
      <c r="EVN538" s="22" t="e">
        <f ca="1"/>
        <v>#N/A</v>
      </c>
      <c r="EVO538" s="22" t="e">
        <f ca="1"/>
        <v>#N/A</v>
      </c>
      <c r="EVP538" s="22" t="e">
        <f ca="1"/>
        <v>#N/A</v>
      </c>
      <c r="EVQ538" s="22" t="e">
        <f ca="1"/>
        <v>#N/A</v>
      </c>
      <c r="EVR538" s="22" t="e">
        <f ca="1"/>
        <v>#N/A</v>
      </c>
      <c r="EVS538" s="22" t="e">
        <f ca="1"/>
        <v>#N/A</v>
      </c>
      <c r="EVT538" s="22" t="e">
        <f ca="1"/>
        <v>#N/A</v>
      </c>
      <c r="EVU538" s="22" t="e">
        <f ca="1"/>
        <v>#N/A</v>
      </c>
      <c r="EVV538" s="22" t="e">
        <f ca="1"/>
        <v>#N/A</v>
      </c>
      <c r="EVW538" s="22" t="e">
        <f ca="1"/>
        <v>#N/A</v>
      </c>
      <c r="EVX538" s="22" t="e">
        <f ca="1"/>
        <v>#N/A</v>
      </c>
      <c r="EVY538" s="22" t="e">
        <f ca="1"/>
        <v>#N/A</v>
      </c>
      <c r="EVZ538" s="22" t="e">
        <f ca="1"/>
        <v>#N/A</v>
      </c>
      <c r="EWA538" s="22" t="e">
        <f ca="1"/>
        <v>#N/A</v>
      </c>
      <c r="EWB538" s="22" t="e">
        <f ca="1"/>
        <v>#N/A</v>
      </c>
      <c r="EWC538" s="22" t="e">
        <f ca="1"/>
        <v>#N/A</v>
      </c>
      <c r="EWD538" s="22" t="e">
        <f ca="1"/>
        <v>#N/A</v>
      </c>
      <c r="EWE538" s="22" t="e">
        <f ca="1"/>
        <v>#N/A</v>
      </c>
      <c r="EWF538" s="22" t="e">
        <f ca="1"/>
        <v>#N/A</v>
      </c>
      <c r="EWG538" s="22" t="e">
        <f ca="1"/>
        <v>#N/A</v>
      </c>
      <c r="EWH538" s="22" t="e">
        <f ca="1"/>
        <v>#N/A</v>
      </c>
      <c r="EWI538" s="22" t="e">
        <f ca="1"/>
        <v>#N/A</v>
      </c>
      <c r="EWJ538" s="22" t="e">
        <f ca="1"/>
        <v>#N/A</v>
      </c>
      <c r="EWK538" s="22" t="e">
        <f ca="1"/>
        <v>#N/A</v>
      </c>
      <c r="EWL538" s="22" t="e">
        <f ca="1"/>
        <v>#N/A</v>
      </c>
      <c r="EWM538" s="22" t="e">
        <f ca="1"/>
        <v>#N/A</v>
      </c>
      <c r="EWN538" s="22" t="e">
        <f ca="1"/>
        <v>#N/A</v>
      </c>
      <c r="EWO538" s="22" t="e">
        <f ca="1"/>
        <v>#N/A</v>
      </c>
      <c r="EWP538" s="22" t="e">
        <f ca="1"/>
        <v>#N/A</v>
      </c>
      <c r="EWQ538" s="22" t="e">
        <f ca="1"/>
        <v>#N/A</v>
      </c>
      <c r="EWR538" s="22" t="e">
        <f ca="1"/>
        <v>#N/A</v>
      </c>
      <c r="EWS538" s="22" t="e">
        <f ca="1"/>
        <v>#N/A</v>
      </c>
      <c r="EWT538" s="22" t="e">
        <f ca="1"/>
        <v>#N/A</v>
      </c>
      <c r="EWU538" s="22" t="e">
        <f ca="1"/>
        <v>#N/A</v>
      </c>
      <c r="EWV538" s="22" t="e">
        <f ca="1"/>
        <v>#N/A</v>
      </c>
      <c r="EWW538" s="22" t="e">
        <f ca="1"/>
        <v>#N/A</v>
      </c>
      <c r="EWX538" s="22" t="e">
        <f ca="1"/>
        <v>#N/A</v>
      </c>
      <c r="EWY538" s="22" t="e">
        <f ca="1"/>
        <v>#N/A</v>
      </c>
      <c r="EWZ538" s="22" t="e">
        <f ca="1"/>
        <v>#N/A</v>
      </c>
      <c r="EXA538" s="22" t="e">
        <f ca="1"/>
        <v>#N/A</v>
      </c>
      <c r="EXB538" s="22" t="e">
        <f ca="1"/>
        <v>#N/A</v>
      </c>
      <c r="EXC538" s="22" t="e">
        <f ca="1"/>
        <v>#N/A</v>
      </c>
      <c r="EXD538" s="22" t="e">
        <f ca="1"/>
        <v>#N/A</v>
      </c>
      <c r="EXE538" s="22" t="e">
        <f ca="1"/>
        <v>#N/A</v>
      </c>
      <c r="EXF538" s="22" t="e">
        <f ca="1"/>
        <v>#N/A</v>
      </c>
      <c r="EXG538" s="22" t="e">
        <f ca="1"/>
        <v>#N/A</v>
      </c>
      <c r="EXH538" s="22" t="e">
        <f ca="1"/>
        <v>#N/A</v>
      </c>
      <c r="EXI538" s="22" t="e">
        <f ca="1"/>
        <v>#N/A</v>
      </c>
      <c r="EXJ538" s="22" t="e">
        <f ca="1"/>
        <v>#N/A</v>
      </c>
      <c r="EXK538" s="22" t="e">
        <f ca="1"/>
        <v>#N/A</v>
      </c>
      <c r="EXL538" s="22" t="e">
        <f ca="1"/>
        <v>#N/A</v>
      </c>
      <c r="EXM538" s="22" t="e">
        <f ca="1"/>
        <v>#N/A</v>
      </c>
      <c r="EXN538" s="22" t="e">
        <f ca="1"/>
        <v>#N/A</v>
      </c>
      <c r="EXO538" s="22" t="e">
        <f ca="1"/>
        <v>#N/A</v>
      </c>
      <c r="EXP538" s="22" t="e">
        <f ca="1"/>
        <v>#N/A</v>
      </c>
      <c r="EXQ538" s="22" t="e">
        <f ca="1"/>
        <v>#N/A</v>
      </c>
      <c r="EXR538" s="22" t="e">
        <f ca="1"/>
        <v>#N/A</v>
      </c>
      <c r="EXS538" s="22" t="e">
        <f ca="1"/>
        <v>#N/A</v>
      </c>
      <c r="EXT538" s="22" t="e">
        <f ca="1"/>
        <v>#N/A</v>
      </c>
      <c r="EXU538" s="22" t="e">
        <f ca="1"/>
        <v>#N/A</v>
      </c>
      <c r="EXV538" s="22" t="e">
        <f ca="1"/>
        <v>#N/A</v>
      </c>
      <c r="EXW538" s="22" t="e">
        <f ca="1"/>
        <v>#N/A</v>
      </c>
      <c r="EXX538" s="22" t="e">
        <f ca="1"/>
        <v>#N/A</v>
      </c>
      <c r="EXY538" s="22" t="e">
        <f ca="1"/>
        <v>#N/A</v>
      </c>
      <c r="EXZ538" s="22" t="e">
        <f ca="1"/>
        <v>#N/A</v>
      </c>
      <c r="EYA538" s="22" t="e">
        <f ca="1"/>
        <v>#N/A</v>
      </c>
      <c r="EYB538" s="22" t="e">
        <f ca="1"/>
        <v>#N/A</v>
      </c>
      <c r="EYC538" s="22" t="e">
        <f ca="1"/>
        <v>#N/A</v>
      </c>
      <c r="EYD538" s="22" t="e">
        <f ca="1"/>
        <v>#N/A</v>
      </c>
      <c r="EYE538" s="22" t="e">
        <f ca="1"/>
        <v>#N/A</v>
      </c>
      <c r="EYF538" s="22" t="e">
        <f ca="1"/>
        <v>#N/A</v>
      </c>
      <c r="EYG538" s="22" t="e">
        <f ca="1"/>
        <v>#N/A</v>
      </c>
      <c r="EYH538" s="22" t="e">
        <f ca="1"/>
        <v>#N/A</v>
      </c>
      <c r="EYI538" s="22" t="e">
        <f ca="1"/>
        <v>#N/A</v>
      </c>
      <c r="EYJ538" s="22" t="e">
        <f ca="1"/>
        <v>#N/A</v>
      </c>
      <c r="EYK538" s="22" t="e">
        <f ca="1"/>
        <v>#N/A</v>
      </c>
      <c r="EYL538" s="22" t="e">
        <f ca="1"/>
        <v>#N/A</v>
      </c>
      <c r="EYM538" s="22" t="e">
        <f ca="1"/>
        <v>#N/A</v>
      </c>
      <c r="EYN538" s="22" t="e">
        <f ca="1"/>
        <v>#N/A</v>
      </c>
      <c r="EYO538" s="22" t="e">
        <f ca="1"/>
        <v>#N/A</v>
      </c>
      <c r="EYP538" s="22" t="e">
        <f ca="1"/>
        <v>#N/A</v>
      </c>
      <c r="EYQ538" s="22" t="e">
        <f ca="1"/>
        <v>#N/A</v>
      </c>
      <c r="EYR538" s="22" t="e">
        <f ca="1"/>
        <v>#N/A</v>
      </c>
      <c r="EYS538" s="22" t="e">
        <f ca="1"/>
        <v>#N/A</v>
      </c>
      <c r="EYT538" s="22" t="e">
        <f ca="1"/>
        <v>#N/A</v>
      </c>
      <c r="EYU538" s="22" t="e">
        <f ca="1"/>
        <v>#N/A</v>
      </c>
      <c r="EYV538" s="22" t="e">
        <f ca="1"/>
        <v>#N/A</v>
      </c>
      <c r="EYW538" s="22" t="e">
        <f ca="1"/>
        <v>#N/A</v>
      </c>
      <c r="EYX538" s="22" t="e">
        <f ca="1"/>
        <v>#N/A</v>
      </c>
      <c r="EYY538" s="22" t="e">
        <f ca="1"/>
        <v>#N/A</v>
      </c>
      <c r="EYZ538" s="22" t="e">
        <f ca="1"/>
        <v>#N/A</v>
      </c>
      <c r="EZA538" s="22" t="e">
        <f ca="1"/>
        <v>#N/A</v>
      </c>
      <c r="EZB538" s="22" t="e">
        <f ca="1"/>
        <v>#N/A</v>
      </c>
      <c r="EZC538" s="22" t="e">
        <f ca="1"/>
        <v>#N/A</v>
      </c>
      <c r="EZD538" s="22" t="e">
        <f ca="1"/>
        <v>#N/A</v>
      </c>
      <c r="EZE538" s="22" t="e">
        <f ca="1"/>
        <v>#N/A</v>
      </c>
      <c r="EZF538" s="22" t="e">
        <f ca="1"/>
        <v>#N/A</v>
      </c>
      <c r="EZG538" s="22" t="e">
        <f ca="1"/>
        <v>#N/A</v>
      </c>
      <c r="EZH538" s="22" t="e">
        <f ca="1"/>
        <v>#N/A</v>
      </c>
      <c r="EZI538" s="22" t="e">
        <f ca="1"/>
        <v>#N/A</v>
      </c>
      <c r="EZJ538" s="22" t="e">
        <f ca="1"/>
        <v>#N/A</v>
      </c>
      <c r="EZK538" s="22" t="e">
        <f ca="1"/>
        <v>#N/A</v>
      </c>
      <c r="EZL538" s="22" t="e">
        <f ca="1"/>
        <v>#N/A</v>
      </c>
      <c r="EZM538" s="22" t="e">
        <f ca="1"/>
        <v>#N/A</v>
      </c>
      <c r="EZN538" s="22" t="e">
        <f ca="1"/>
        <v>#N/A</v>
      </c>
      <c r="EZO538" s="22" t="e">
        <f ca="1"/>
        <v>#N/A</v>
      </c>
      <c r="EZP538" s="22" t="e">
        <f ca="1"/>
        <v>#N/A</v>
      </c>
      <c r="EZQ538" s="22" t="e">
        <f ca="1"/>
        <v>#N/A</v>
      </c>
      <c r="EZR538" s="22" t="e">
        <f ca="1"/>
        <v>#N/A</v>
      </c>
      <c r="EZS538" s="22" t="e">
        <f ca="1"/>
        <v>#N/A</v>
      </c>
      <c r="EZT538" s="22" t="e">
        <f ca="1"/>
        <v>#N/A</v>
      </c>
      <c r="EZU538" s="22" t="e">
        <f ca="1"/>
        <v>#N/A</v>
      </c>
      <c r="EZV538" s="22" t="e">
        <f ca="1"/>
        <v>#N/A</v>
      </c>
      <c r="EZW538" s="22" t="e">
        <f ca="1"/>
        <v>#N/A</v>
      </c>
      <c r="EZX538" s="22" t="e">
        <f ca="1"/>
        <v>#N/A</v>
      </c>
      <c r="EZY538" s="22" t="e">
        <f ca="1"/>
        <v>#N/A</v>
      </c>
      <c r="EZZ538" s="22" t="e">
        <f ca="1"/>
        <v>#N/A</v>
      </c>
      <c r="FAA538" s="22" t="e">
        <f ca="1"/>
        <v>#N/A</v>
      </c>
      <c r="FAB538" s="22" t="e">
        <f ca="1"/>
        <v>#N/A</v>
      </c>
      <c r="FAC538" s="22" t="e">
        <f ca="1"/>
        <v>#N/A</v>
      </c>
      <c r="FAD538" s="22" t="e">
        <f ca="1"/>
        <v>#N/A</v>
      </c>
      <c r="FAE538" s="22" t="e">
        <f ca="1"/>
        <v>#N/A</v>
      </c>
      <c r="FAF538" s="22" t="e">
        <f ca="1"/>
        <v>#N/A</v>
      </c>
      <c r="FAG538" s="22" t="e">
        <f ca="1"/>
        <v>#N/A</v>
      </c>
      <c r="FAH538" s="22" t="e">
        <f ca="1"/>
        <v>#N/A</v>
      </c>
      <c r="FAI538" s="22" t="e">
        <f ca="1"/>
        <v>#N/A</v>
      </c>
      <c r="FAJ538" s="22" t="e">
        <f ca="1"/>
        <v>#N/A</v>
      </c>
      <c r="FAK538" s="22" t="e">
        <f ca="1"/>
        <v>#N/A</v>
      </c>
      <c r="FAL538" s="22" t="e">
        <f ca="1"/>
        <v>#N/A</v>
      </c>
      <c r="FAM538" s="22" t="e">
        <f ca="1"/>
        <v>#N/A</v>
      </c>
      <c r="FAN538" s="22" t="e">
        <f ca="1"/>
        <v>#N/A</v>
      </c>
      <c r="FAO538" s="22" t="e">
        <f ca="1"/>
        <v>#N/A</v>
      </c>
      <c r="FAP538" s="22" t="e">
        <f ca="1"/>
        <v>#N/A</v>
      </c>
      <c r="FAQ538" s="22" t="e">
        <f ca="1"/>
        <v>#N/A</v>
      </c>
      <c r="FAR538" s="22" t="e">
        <f ca="1"/>
        <v>#N/A</v>
      </c>
      <c r="FAS538" s="22" t="e">
        <f ca="1"/>
        <v>#N/A</v>
      </c>
      <c r="FAT538" s="22" t="e">
        <f ca="1"/>
        <v>#N/A</v>
      </c>
      <c r="FAU538" s="22" t="e">
        <f ca="1"/>
        <v>#N/A</v>
      </c>
      <c r="FAV538" s="22" t="e">
        <f ca="1"/>
        <v>#N/A</v>
      </c>
      <c r="FAW538" s="22" t="e">
        <f ca="1"/>
        <v>#N/A</v>
      </c>
      <c r="FAX538" s="22" t="e">
        <f ca="1"/>
        <v>#N/A</v>
      </c>
      <c r="FAY538" s="22" t="e">
        <f ca="1"/>
        <v>#N/A</v>
      </c>
      <c r="FAZ538" s="22" t="e">
        <f ca="1"/>
        <v>#N/A</v>
      </c>
      <c r="FBA538" s="22" t="e">
        <f ca="1"/>
        <v>#N/A</v>
      </c>
      <c r="FBB538" s="22" t="e">
        <f ca="1"/>
        <v>#N/A</v>
      </c>
      <c r="FBC538" s="22" t="e">
        <f ca="1"/>
        <v>#N/A</v>
      </c>
      <c r="FBD538" s="22" t="e">
        <f ca="1"/>
        <v>#N/A</v>
      </c>
      <c r="FBE538" s="22" t="e">
        <f ca="1"/>
        <v>#N/A</v>
      </c>
      <c r="FBF538" s="22" t="e">
        <f ca="1"/>
        <v>#N/A</v>
      </c>
      <c r="FBG538" s="22" t="e">
        <f ca="1"/>
        <v>#N/A</v>
      </c>
      <c r="FBH538" s="22" t="e">
        <f ca="1"/>
        <v>#N/A</v>
      </c>
      <c r="FBI538" s="22" t="e">
        <f ca="1"/>
        <v>#N/A</v>
      </c>
      <c r="FBJ538" s="22" t="e">
        <f ca="1"/>
        <v>#N/A</v>
      </c>
      <c r="FBK538" s="22" t="e">
        <f ca="1"/>
        <v>#N/A</v>
      </c>
      <c r="FBL538" s="22" t="e">
        <f ca="1"/>
        <v>#N/A</v>
      </c>
      <c r="FBM538" s="22" t="e">
        <f ca="1"/>
        <v>#N/A</v>
      </c>
      <c r="FBN538" s="22" t="e">
        <f ca="1"/>
        <v>#N/A</v>
      </c>
      <c r="FBO538" s="22" t="e">
        <f ca="1"/>
        <v>#N/A</v>
      </c>
      <c r="FBP538" s="22" t="e">
        <f ca="1"/>
        <v>#N/A</v>
      </c>
      <c r="FBQ538" s="22" t="e">
        <f ca="1"/>
        <v>#N/A</v>
      </c>
      <c r="FBR538" s="22" t="e">
        <f ca="1"/>
        <v>#N/A</v>
      </c>
      <c r="FBS538" s="22" t="e">
        <f ca="1"/>
        <v>#N/A</v>
      </c>
      <c r="FBT538" s="22" t="e">
        <f ca="1"/>
        <v>#N/A</v>
      </c>
      <c r="FBU538" s="22" t="e">
        <f ca="1"/>
        <v>#N/A</v>
      </c>
      <c r="FBV538" s="22" t="e">
        <f ca="1"/>
        <v>#N/A</v>
      </c>
      <c r="FBW538" s="22" t="e">
        <f ca="1"/>
        <v>#N/A</v>
      </c>
      <c r="FBX538" s="22" t="e">
        <f ca="1"/>
        <v>#N/A</v>
      </c>
      <c r="FBY538" s="22" t="e">
        <f ca="1"/>
        <v>#N/A</v>
      </c>
      <c r="FBZ538" s="22" t="e">
        <f ca="1"/>
        <v>#N/A</v>
      </c>
      <c r="FCA538" s="22" t="e">
        <f ca="1"/>
        <v>#N/A</v>
      </c>
      <c r="FCB538" s="22" t="e">
        <f ca="1"/>
        <v>#N/A</v>
      </c>
      <c r="FCC538" s="22" t="e">
        <f ca="1"/>
        <v>#N/A</v>
      </c>
      <c r="FCD538" s="22" t="e">
        <f ca="1"/>
        <v>#N/A</v>
      </c>
      <c r="FCE538" s="22" t="e">
        <f ca="1"/>
        <v>#N/A</v>
      </c>
      <c r="FCF538" s="22" t="e">
        <f ca="1"/>
        <v>#N/A</v>
      </c>
      <c r="FCG538" s="22" t="e">
        <f ca="1"/>
        <v>#N/A</v>
      </c>
      <c r="FCH538" s="22" t="e">
        <f ca="1"/>
        <v>#N/A</v>
      </c>
      <c r="FCI538" s="22" t="e">
        <f ca="1"/>
        <v>#N/A</v>
      </c>
      <c r="FCJ538" s="22" t="e">
        <f ca="1"/>
        <v>#N/A</v>
      </c>
      <c r="FCK538" s="22" t="e">
        <f ca="1"/>
        <v>#N/A</v>
      </c>
      <c r="FCL538" s="22" t="e">
        <f ca="1"/>
        <v>#N/A</v>
      </c>
      <c r="FCM538" s="22" t="e">
        <f ca="1"/>
        <v>#N/A</v>
      </c>
      <c r="FCN538" s="22" t="e">
        <f ca="1"/>
        <v>#N/A</v>
      </c>
      <c r="FCO538" s="22" t="e">
        <f ca="1"/>
        <v>#N/A</v>
      </c>
      <c r="FCP538" s="22" t="e">
        <f ca="1"/>
        <v>#N/A</v>
      </c>
      <c r="FCQ538" s="22" t="e">
        <f ca="1"/>
        <v>#N/A</v>
      </c>
      <c r="FCR538" s="22" t="e">
        <f ca="1"/>
        <v>#N/A</v>
      </c>
      <c r="FCS538" s="22" t="e">
        <f ca="1"/>
        <v>#N/A</v>
      </c>
      <c r="FCT538" s="22" t="e">
        <f ca="1"/>
        <v>#N/A</v>
      </c>
      <c r="FCU538" s="22" t="e">
        <f ca="1"/>
        <v>#N/A</v>
      </c>
      <c r="FCV538" s="22" t="e">
        <f ca="1"/>
        <v>#N/A</v>
      </c>
      <c r="FCW538" s="22" t="e">
        <f ca="1"/>
        <v>#N/A</v>
      </c>
      <c r="FCX538" s="22" t="e">
        <f ca="1"/>
        <v>#N/A</v>
      </c>
      <c r="FCY538" s="22" t="e">
        <f ca="1"/>
        <v>#N/A</v>
      </c>
      <c r="FCZ538" s="22" t="e">
        <f ca="1"/>
        <v>#N/A</v>
      </c>
      <c r="FDA538" s="22" t="e">
        <f ca="1"/>
        <v>#N/A</v>
      </c>
      <c r="FDB538" s="22" t="e">
        <f ca="1"/>
        <v>#N/A</v>
      </c>
      <c r="FDC538" s="22" t="e">
        <f ca="1"/>
        <v>#N/A</v>
      </c>
      <c r="FDD538" s="22" t="e">
        <f ca="1"/>
        <v>#N/A</v>
      </c>
      <c r="FDE538" s="22" t="e">
        <f ca="1"/>
        <v>#N/A</v>
      </c>
      <c r="FDF538" s="22" t="e">
        <f ca="1"/>
        <v>#N/A</v>
      </c>
      <c r="FDG538" s="22" t="e">
        <f ca="1"/>
        <v>#N/A</v>
      </c>
      <c r="FDH538" s="22" t="e">
        <f ca="1"/>
        <v>#N/A</v>
      </c>
      <c r="FDI538" s="22" t="e">
        <f ca="1"/>
        <v>#N/A</v>
      </c>
      <c r="FDJ538" s="22" t="e">
        <f ca="1"/>
        <v>#N/A</v>
      </c>
      <c r="FDK538" s="22" t="e">
        <f ca="1"/>
        <v>#N/A</v>
      </c>
      <c r="FDL538" s="22" t="e">
        <f ca="1"/>
        <v>#N/A</v>
      </c>
      <c r="FDM538" s="22" t="e">
        <f ca="1"/>
        <v>#N/A</v>
      </c>
      <c r="FDN538" s="22" t="e">
        <f ca="1"/>
        <v>#N/A</v>
      </c>
      <c r="FDO538" s="22" t="e">
        <f ca="1"/>
        <v>#N/A</v>
      </c>
      <c r="FDP538" s="22" t="e">
        <f ca="1"/>
        <v>#N/A</v>
      </c>
      <c r="FDQ538" s="22" t="e">
        <f ca="1"/>
        <v>#N/A</v>
      </c>
      <c r="FDR538" s="22" t="e">
        <f ca="1"/>
        <v>#N/A</v>
      </c>
      <c r="FDS538" s="22" t="e">
        <f ca="1"/>
        <v>#N/A</v>
      </c>
      <c r="FDT538" s="22" t="e">
        <f ca="1"/>
        <v>#N/A</v>
      </c>
      <c r="FDU538" s="22" t="e">
        <f ca="1"/>
        <v>#N/A</v>
      </c>
      <c r="FDV538" s="22" t="e">
        <f ca="1"/>
        <v>#N/A</v>
      </c>
      <c r="FDW538" s="22" t="e">
        <f ca="1"/>
        <v>#N/A</v>
      </c>
      <c r="FDX538" s="22" t="e">
        <f ca="1"/>
        <v>#N/A</v>
      </c>
      <c r="FDY538" s="22" t="e">
        <f ca="1"/>
        <v>#N/A</v>
      </c>
      <c r="FDZ538" s="22" t="e">
        <f ca="1"/>
        <v>#N/A</v>
      </c>
      <c r="FEA538" s="22" t="e">
        <f ca="1"/>
        <v>#N/A</v>
      </c>
      <c r="FEB538" s="22" t="e">
        <f ca="1"/>
        <v>#N/A</v>
      </c>
      <c r="FEC538" s="22" t="e">
        <f ca="1"/>
        <v>#N/A</v>
      </c>
      <c r="FED538" s="22" t="e">
        <f ca="1"/>
        <v>#N/A</v>
      </c>
      <c r="FEE538" s="22" t="e">
        <f ca="1"/>
        <v>#N/A</v>
      </c>
      <c r="FEF538" s="22" t="e">
        <f ca="1"/>
        <v>#N/A</v>
      </c>
      <c r="FEG538" s="22" t="e">
        <f ca="1"/>
        <v>#N/A</v>
      </c>
      <c r="FEH538" s="22" t="e">
        <f ca="1"/>
        <v>#N/A</v>
      </c>
      <c r="FEI538" s="22" t="e">
        <f ca="1"/>
        <v>#N/A</v>
      </c>
      <c r="FEJ538" s="22" t="e">
        <f ca="1"/>
        <v>#N/A</v>
      </c>
      <c r="FEK538" s="22" t="e">
        <f ca="1"/>
        <v>#N/A</v>
      </c>
      <c r="FEL538" s="22" t="e">
        <f ca="1"/>
        <v>#N/A</v>
      </c>
      <c r="FEM538" s="22" t="e">
        <f ca="1"/>
        <v>#N/A</v>
      </c>
      <c r="FEN538" s="22" t="e">
        <f ca="1"/>
        <v>#N/A</v>
      </c>
      <c r="FEO538" s="22" t="e">
        <f ca="1"/>
        <v>#N/A</v>
      </c>
      <c r="FEP538" s="22" t="e">
        <f ca="1"/>
        <v>#N/A</v>
      </c>
      <c r="FEQ538" s="22" t="e">
        <f ca="1"/>
        <v>#N/A</v>
      </c>
      <c r="FER538" s="22" t="e">
        <f ca="1"/>
        <v>#N/A</v>
      </c>
      <c r="FES538" s="22" t="e">
        <f ca="1"/>
        <v>#N/A</v>
      </c>
      <c r="FET538" s="22" t="e">
        <f ca="1"/>
        <v>#N/A</v>
      </c>
      <c r="FEU538" s="22" t="e">
        <f ca="1"/>
        <v>#N/A</v>
      </c>
      <c r="FEV538" s="22" t="e">
        <f ca="1"/>
        <v>#N/A</v>
      </c>
      <c r="FEW538" s="22" t="e">
        <f ca="1"/>
        <v>#N/A</v>
      </c>
      <c r="FEX538" s="22" t="e">
        <f ca="1"/>
        <v>#N/A</v>
      </c>
      <c r="FEY538" s="22" t="e">
        <f ca="1"/>
        <v>#N/A</v>
      </c>
      <c r="FEZ538" s="22" t="e">
        <f ca="1"/>
        <v>#N/A</v>
      </c>
      <c r="FFA538" s="22" t="e">
        <f ca="1"/>
        <v>#N/A</v>
      </c>
      <c r="FFB538" s="22" t="e">
        <f ca="1"/>
        <v>#N/A</v>
      </c>
      <c r="FFC538" s="22" t="e">
        <f ca="1"/>
        <v>#N/A</v>
      </c>
      <c r="FFD538" s="22" t="e">
        <f ca="1"/>
        <v>#N/A</v>
      </c>
      <c r="FFE538" s="22" t="e">
        <f ca="1"/>
        <v>#N/A</v>
      </c>
      <c r="FFF538" s="22" t="e">
        <f ca="1"/>
        <v>#N/A</v>
      </c>
      <c r="FFG538" s="22" t="e">
        <f ca="1"/>
        <v>#N/A</v>
      </c>
      <c r="FFH538" s="22" t="e">
        <f ca="1"/>
        <v>#N/A</v>
      </c>
      <c r="FFI538" s="22" t="e">
        <f ca="1"/>
        <v>#N/A</v>
      </c>
      <c r="FFJ538" s="22" t="e">
        <f ca="1"/>
        <v>#N/A</v>
      </c>
      <c r="FFK538" s="22" t="e">
        <f ca="1"/>
        <v>#N/A</v>
      </c>
      <c r="FFL538" s="22" t="e">
        <f ca="1"/>
        <v>#N/A</v>
      </c>
      <c r="FFM538" s="22" t="e">
        <f ca="1"/>
        <v>#N/A</v>
      </c>
      <c r="FFN538" s="22" t="e">
        <f ca="1"/>
        <v>#N/A</v>
      </c>
      <c r="FFO538" s="22" t="e">
        <f ca="1"/>
        <v>#N/A</v>
      </c>
      <c r="FFP538" s="22" t="e">
        <f ca="1"/>
        <v>#N/A</v>
      </c>
      <c r="FFQ538" s="22" t="e">
        <f ca="1"/>
        <v>#N/A</v>
      </c>
      <c r="FFR538" s="22" t="e">
        <f ca="1"/>
        <v>#N/A</v>
      </c>
      <c r="FFS538" s="22" t="e">
        <f ca="1"/>
        <v>#N/A</v>
      </c>
      <c r="FFT538" s="22" t="e">
        <f ca="1"/>
        <v>#N/A</v>
      </c>
      <c r="FFU538" s="22" t="e">
        <f ca="1"/>
        <v>#N/A</v>
      </c>
      <c r="FFV538" s="22" t="e">
        <f ca="1"/>
        <v>#N/A</v>
      </c>
      <c r="FFW538" s="22" t="e">
        <f ca="1"/>
        <v>#N/A</v>
      </c>
      <c r="FFX538" s="22" t="e">
        <f ca="1"/>
        <v>#N/A</v>
      </c>
      <c r="FFY538" s="22" t="e">
        <f ca="1"/>
        <v>#N/A</v>
      </c>
      <c r="FFZ538" s="22" t="e">
        <f ca="1"/>
        <v>#N/A</v>
      </c>
      <c r="FGA538" s="22" t="e">
        <f ca="1"/>
        <v>#N/A</v>
      </c>
      <c r="FGB538" s="22" t="e">
        <f ca="1"/>
        <v>#N/A</v>
      </c>
      <c r="FGC538" s="22" t="e">
        <f ca="1"/>
        <v>#N/A</v>
      </c>
      <c r="FGD538" s="22" t="e">
        <f ca="1"/>
        <v>#N/A</v>
      </c>
      <c r="FGE538" s="22" t="e">
        <f ca="1"/>
        <v>#N/A</v>
      </c>
      <c r="FGF538" s="22" t="e">
        <f ca="1"/>
        <v>#N/A</v>
      </c>
      <c r="FGG538" s="22" t="e">
        <f ca="1"/>
        <v>#N/A</v>
      </c>
      <c r="FGH538" s="22" t="e">
        <f ca="1"/>
        <v>#N/A</v>
      </c>
      <c r="FGI538" s="22" t="e">
        <f ca="1"/>
        <v>#N/A</v>
      </c>
      <c r="FGJ538" s="22" t="e">
        <f ca="1"/>
        <v>#N/A</v>
      </c>
      <c r="FGK538" s="22" t="e">
        <f ca="1"/>
        <v>#N/A</v>
      </c>
      <c r="FGL538" s="22" t="e">
        <f ca="1"/>
        <v>#N/A</v>
      </c>
      <c r="FGM538" s="22" t="e">
        <f ca="1"/>
        <v>#N/A</v>
      </c>
      <c r="FGN538" s="22" t="e">
        <f ca="1"/>
        <v>#N/A</v>
      </c>
      <c r="FGO538" s="22" t="e">
        <f ca="1"/>
        <v>#N/A</v>
      </c>
      <c r="FGP538" s="22" t="e">
        <f ca="1"/>
        <v>#N/A</v>
      </c>
      <c r="FGQ538" s="22" t="e">
        <f ca="1"/>
        <v>#N/A</v>
      </c>
      <c r="FGR538" s="22" t="e">
        <f ca="1"/>
        <v>#N/A</v>
      </c>
      <c r="FGS538" s="22" t="e">
        <f ca="1"/>
        <v>#N/A</v>
      </c>
      <c r="FGT538" s="22" t="e">
        <f ca="1"/>
        <v>#N/A</v>
      </c>
      <c r="FGU538" s="22" t="e">
        <f ca="1"/>
        <v>#N/A</v>
      </c>
      <c r="FGV538" s="22" t="e">
        <f ca="1"/>
        <v>#N/A</v>
      </c>
      <c r="FGW538" s="22" t="e">
        <f ca="1"/>
        <v>#N/A</v>
      </c>
      <c r="FGX538" s="22" t="e">
        <f ca="1"/>
        <v>#N/A</v>
      </c>
      <c r="FGY538" s="22" t="e">
        <f ca="1"/>
        <v>#N/A</v>
      </c>
      <c r="FGZ538" s="22" t="e">
        <f ca="1"/>
        <v>#N/A</v>
      </c>
      <c r="FHA538" s="22" t="e">
        <f ca="1"/>
        <v>#N/A</v>
      </c>
      <c r="FHB538" s="22" t="e">
        <f ca="1"/>
        <v>#N/A</v>
      </c>
      <c r="FHC538" s="22" t="e">
        <f ca="1"/>
        <v>#N/A</v>
      </c>
      <c r="FHD538" s="22" t="e">
        <f ca="1"/>
        <v>#N/A</v>
      </c>
      <c r="FHE538" s="22" t="e">
        <f ca="1"/>
        <v>#N/A</v>
      </c>
      <c r="FHF538" s="22" t="e">
        <f ca="1"/>
        <v>#N/A</v>
      </c>
      <c r="FHG538" s="22" t="e">
        <f ca="1"/>
        <v>#N/A</v>
      </c>
      <c r="FHH538" s="22" t="e">
        <f ca="1"/>
        <v>#N/A</v>
      </c>
      <c r="FHI538" s="22" t="e">
        <f ca="1"/>
        <v>#N/A</v>
      </c>
      <c r="FHJ538" s="22" t="e">
        <f ca="1"/>
        <v>#N/A</v>
      </c>
      <c r="FHK538" s="22" t="e">
        <f ca="1"/>
        <v>#N/A</v>
      </c>
      <c r="FHL538" s="22" t="e">
        <f ca="1"/>
        <v>#N/A</v>
      </c>
      <c r="FHM538" s="22" t="e">
        <f ca="1"/>
        <v>#N/A</v>
      </c>
      <c r="FHN538" s="22" t="e">
        <f ca="1"/>
        <v>#N/A</v>
      </c>
      <c r="FHO538" s="22" t="e">
        <f ca="1"/>
        <v>#N/A</v>
      </c>
      <c r="FHP538" s="22" t="e">
        <f ca="1"/>
        <v>#N/A</v>
      </c>
      <c r="FHQ538" s="22" t="e">
        <f ca="1"/>
        <v>#N/A</v>
      </c>
      <c r="FHR538" s="22" t="e">
        <f ca="1"/>
        <v>#N/A</v>
      </c>
      <c r="FHS538" s="22" t="e">
        <f ca="1"/>
        <v>#N/A</v>
      </c>
      <c r="FHT538" s="22" t="e">
        <f ca="1"/>
        <v>#N/A</v>
      </c>
      <c r="FHU538" s="22" t="e">
        <f ca="1"/>
        <v>#N/A</v>
      </c>
      <c r="FHV538" s="22" t="e">
        <f ca="1"/>
        <v>#N/A</v>
      </c>
      <c r="FHW538" s="22" t="e">
        <f ca="1"/>
        <v>#N/A</v>
      </c>
      <c r="FHX538" s="22" t="e">
        <f ca="1"/>
        <v>#N/A</v>
      </c>
      <c r="FHY538" s="22" t="e">
        <f ca="1"/>
        <v>#N/A</v>
      </c>
      <c r="FHZ538" s="22" t="e">
        <f ca="1"/>
        <v>#N/A</v>
      </c>
      <c r="FIA538" s="22" t="e">
        <f ca="1"/>
        <v>#N/A</v>
      </c>
      <c r="FIB538" s="22" t="e">
        <f ca="1"/>
        <v>#N/A</v>
      </c>
      <c r="FIC538" s="22" t="e">
        <f ca="1"/>
        <v>#N/A</v>
      </c>
      <c r="FID538" s="22" t="e">
        <f ca="1"/>
        <v>#N/A</v>
      </c>
      <c r="FIE538" s="22" t="e">
        <f ca="1"/>
        <v>#N/A</v>
      </c>
      <c r="FIF538" s="22" t="e">
        <f ca="1"/>
        <v>#N/A</v>
      </c>
      <c r="FIG538" s="22" t="e">
        <f ca="1"/>
        <v>#N/A</v>
      </c>
      <c r="FIH538" s="22" t="e">
        <f ca="1"/>
        <v>#N/A</v>
      </c>
      <c r="FII538" s="22" t="e">
        <f ca="1"/>
        <v>#N/A</v>
      </c>
      <c r="FIJ538" s="22" t="e">
        <f ca="1"/>
        <v>#N/A</v>
      </c>
      <c r="FIK538" s="22" t="e">
        <f ca="1"/>
        <v>#N/A</v>
      </c>
      <c r="FIL538" s="22" t="e">
        <f ca="1"/>
        <v>#N/A</v>
      </c>
      <c r="FIM538" s="22" t="e">
        <f ca="1"/>
        <v>#N/A</v>
      </c>
      <c r="FIN538" s="22" t="e">
        <f ca="1"/>
        <v>#N/A</v>
      </c>
      <c r="FIO538" s="22" t="e">
        <f ca="1"/>
        <v>#N/A</v>
      </c>
      <c r="FIP538" s="22" t="e">
        <f ca="1"/>
        <v>#N/A</v>
      </c>
      <c r="FIQ538" s="22" t="e">
        <f ca="1"/>
        <v>#N/A</v>
      </c>
      <c r="FIR538" s="22" t="e">
        <f ca="1"/>
        <v>#N/A</v>
      </c>
      <c r="FIS538" s="22" t="e">
        <f ca="1"/>
        <v>#N/A</v>
      </c>
      <c r="FIT538" s="22" t="e">
        <f ca="1"/>
        <v>#N/A</v>
      </c>
      <c r="FIU538" s="22" t="e">
        <f ca="1"/>
        <v>#N/A</v>
      </c>
      <c r="FIV538" s="22" t="e">
        <f ca="1"/>
        <v>#N/A</v>
      </c>
      <c r="FIW538" s="22" t="e">
        <f ca="1"/>
        <v>#N/A</v>
      </c>
      <c r="FIX538" s="22" t="e">
        <f ca="1"/>
        <v>#N/A</v>
      </c>
      <c r="FIY538" s="22" t="e">
        <f ca="1"/>
        <v>#N/A</v>
      </c>
      <c r="FIZ538" s="22" t="e">
        <f ca="1"/>
        <v>#N/A</v>
      </c>
      <c r="FJA538" s="22" t="e">
        <f ca="1"/>
        <v>#N/A</v>
      </c>
      <c r="FJB538" s="22" t="e">
        <f ca="1"/>
        <v>#N/A</v>
      </c>
      <c r="FJC538" s="22" t="e">
        <f ca="1"/>
        <v>#N/A</v>
      </c>
      <c r="FJD538" s="22" t="e">
        <f ca="1"/>
        <v>#N/A</v>
      </c>
      <c r="FJE538" s="22" t="e">
        <f ca="1"/>
        <v>#N/A</v>
      </c>
      <c r="FJF538" s="22" t="e">
        <f ca="1"/>
        <v>#N/A</v>
      </c>
      <c r="FJG538" s="22" t="e">
        <f ca="1"/>
        <v>#N/A</v>
      </c>
      <c r="FJH538" s="22" t="e">
        <f ca="1"/>
        <v>#N/A</v>
      </c>
      <c r="FJI538" s="22" t="e">
        <f ca="1"/>
        <v>#N/A</v>
      </c>
      <c r="FJJ538" s="22" t="e">
        <f ca="1"/>
        <v>#N/A</v>
      </c>
      <c r="FJK538" s="22" t="e">
        <f ca="1"/>
        <v>#N/A</v>
      </c>
      <c r="FJL538" s="22" t="e">
        <f ca="1"/>
        <v>#N/A</v>
      </c>
      <c r="FJM538" s="22" t="e">
        <f ca="1"/>
        <v>#N/A</v>
      </c>
      <c r="FJN538" s="22" t="e">
        <f ca="1"/>
        <v>#N/A</v>
      </c>
      <c r="FJO538" s="22" t="e">
        <f ca="1"/>
        <v>#N/A</v>
      </c>
      <c r="FJP538" s="22" t="e">
        <f ca="1"/>
        <v>#N/A</v>
      </c>
      <c r="FJQ538" s="22" t="e">
        <f ca="1"/>
        <v>#N/A</v>
      </c>
      <c r="FJR538" s="22" t="e">
        <f ca="1"/>
        <v>#N/A</v>
      </c>
      <c r="FJS538" s="22" t="e">
        <f ca="1"/>
        <v>#N/A</v>
      </c>
      <c r="FJT538" s="22" t="e">
        <f ca="1"/>
        <v>#N/A</v>
      </c>
      <c r="FJU538" s="22" t="e">
        <f ca="1"/>
        <v>#N/A</v>
      </c>
      <c r="FJV538" s="22" t="e">
        <f ca="1"/>
        <v>#N/A</v>
      </c>
      <c r="FJW538" s="22" t="e">
        <f ca="1"/>
        <v>#N/A</v>
      </c>
      <c r="FJX538" s="22" t="e">
        <f ca="1"/>
        <v>#N/A</v>
      </c>
      <c r="FJY538" s="22" t="e">
        <f ca="1"/>
        <v>#N/A</v>
      </c>
      <c r="FJZ538" s="22" t="e">
        <f ca="1"/>
        <v>#N/A</v>
      </c>
      <c r="FKA538" s="22" t="e">
        <f ca="1"/>
        <v>#N/A</v>
      </c>
      <c r="FKB538" s="22" t="e">
        <f ca="1"/>
        <v>#N/A</v>
      </c>
      <c r="FKC538" s="22" t="e">
        <f ca="1"/>
        <v>#N/A</v>
      </c>
      <c r="FKD538" s="22" t="e">
        <f ca="1"/>
        <v>#N/A</v>
      </c>
      <c r="FKE538" s="22" t="e">
        <f ca="1"/>
        <v>#N/A</v>
      </c>
      <c r="FKF538" s="22" t="e">
        <f ca="1"/>
        <v>#N/A</v>
      </c>
      <c r="FKG538" s="22" t="e">
        <f ca="1"/>
        <v>#N/A</v>
      </c>
      <c r="FKH538" s="22" t="e">
        <f ca="1"/>
        <v>#N/A</v>
      </c>
      <c r="FKI538" s="22" t="e">
        <f ca="1"/>
        <v>#N/A</v>
      </c>
      <c r="FKJ538" s="22" t="e">
        <f ca="1"/>
        <v>#N/A</v>
      </c>
      <c r="FKK538" s="22" t="e">
        <f ca="1"/>
        <v>#N/A</v>
      </c>
      <c r="FKL538" s="22" t="e">
        <f ca="1"/>
        <v>#N/A</v>
      </c>
      <c r="FKM538" s="22" t="e">
        <f ca="1"/>
        <v>#N/A</v>
      </c>
      <c r="FKN538" s="22" t="e">
        <f ca="1"/>
        <v>#N/A</v>
      </c>
      <c r="FKO538" s="22" t="e">
        <f ca="1"/>
        <v>#N/A</v>
      </c>
      <c r="FKP538" s="22" t="e">
        <f ca="1"/>
        <v>#N/A</v>
      </c>
      <c r="FKQ538" s="22" t="e">
        <f ca="1"/>
        <v>#N/A</v>
      </c>
      <c r="FKR538" s="22" t="e">
        <f ca="1"/>
        <v>#N/A</v>
      </c>
      <c r="FKS538" s="22" t="e">
        <f ca="1"/>
        <v>#N/A</v>
      </c>
      <c r="FKT538" s="22" t="e">
        <f ca="1"/>
        <v>#N/A</v>
      </c>
      <c r="FKU538" s="22" t="e">
        <f ca="1"/>
        <v>#N/A</v>
      </c>
      <c r="FKV538" s="22" t="e">
        <f ca="1"/>
        <v>#N/A</v>
      </c>
      <c r="FKW538" s="22" t="e">
        <f ca="1"/>
        <v>#N/A</v>
      </c>
      <c r="FKX538" s="22" t="e">
        <f ca="1"/>
        <v>#N/A</v>
      </c>
      <c r="FKY538" s="22" t="e">
        <f ca="1"/>
        <v>#N/A</v>
      </c>
      <c r="FKZ538" s="22" t="e">
        <f ca="1"/>
        <v>#N/A</v>
      </c>
      <c r="FLA538" s="22" t="e">
        <f ca="1"/>
        <v>#N/A</v>
      </c>
      <c r="FLB538" s="22" t="e">
        <f ca="1"/>
        <v>#N/A</v>
      </c>
      <c r="FLC538" s="22" t="e">
        <f ca="1"/>
        <v>#N/A</v>
      </c>
      <c r="FLD538" s="22" t="e">
        <f ca="1"/>
        <v>#N/A</v>
      </c>
      <c r="FLE538" s="22" t="e">
        <f ca="1"/>
        <v>#N/A</v>
      </c>
      <c r="FLF538" s="22" t="e">
        <f ca="1"/>
        <v>#N/A</v>
      </c>
      <c r="FLG538" s="22" t="e">
        <f ca="1"/>
        <v>#N/A</v>
      </c>
      <c r="FLH538" s="22" t="e">
        <f ca="1"/>
        <v>#N/A</v>
      </c>
      <c r="FLI538" s="22" t="e">
        <f ca="1"/>
        <v>#N/A</v>
      </c>
      <c r="FLJ538" s="22" t="e">
        <f ca="1"/>
        <v>#N/A</v>
      </c>
      <c r="FLK538" s="22" t="e">
        <f ca="1"/>
        <v>#N/A</v>
      </c>
      <c r="FLL538" s="22" t="e">
        <f ca="1"/>
        <v>#N/A</v>
      </c>
      <c r="FLM538" s="22" t="e">
        <f ca="1"/>
        <v>#N/A</v>
      </c>
      <c r="FLN538" s="22" t="e">
        <f ca="1"/>
        <v>#N/A</v>
      </c>
      <c r="FLO538" s="22" t="e">
        <f ca="1"/>
        <v>#N/A</v>
      </c>
      <c r="FLP538" s="22" t="e">
        <f ca="1"/>
        <v>#N/A</v>
      </c>
      <c r="FLQ538" s="22" t="e">
        <f ca="1"/>
        <v>#N/A</v>
      </c>
      <c r="FLR538" s="22" t="e">
        <f ca="1"/>
        <v>#N/A</v>
      </c>
      <c r="FLS538" s="22" t="e">
        <f ca="1"/>
        <v>#N/A</v>
      </c>
      <c r="FLT538" s="22" t="e">
        <f ca="1"/>
        <v>#N/A</v>
      </c>
      <c r="FLU538" s="22" t="e">
        <f ca="1"/>
        <v>#N/A</v>
      </c>
      <c r="FLV538" s="22" t="e">
        <f ca="1"/>
        <v>#N/A</v>
      </c>
      <c r="FLW538" s="22" t="e">
        <f ca="1"/>
        <v>#N/A</v>
      </c>
      <c r="FLX538" s="22" t="e">
        <f ca="1"/>
        <v>#N/A</v>
      </c>
      <c r="FLY538" s="22" t="e">
        <f ca="1"/>
        <v>#N/A</v>
      </c>
      <c r="FLZ538" s="22" t="e">
        <f ca="1"/>
        <v>#N/A</v>
      </c>
      <c r="FMA538" s="22" t="e">
        <f ca="1"/>
        <v>#N/A</v>
      </c>
      <c r="FMB538" s="22" t="e">
        <f ca="1"/>
        <v>#N/A</v>
      </c>
      <c r="FMC538" s="22" t="e">
        <f ca="1"/>
        <v>#N/A</v>
      </c>
      <c r="FMD538" s="22" t="e">
        <f ca="1"/>
        <v>#N/A</v>
      </c>
      <c r="FME538" s="22" t="e">
        <f ca="1"/>
        <v>#N/A</v>
      </c>
      <c r="FMF538" s="22" t="e">
        <f ca="1"/>
        <v>#N/A</v>
      </c>
      <c r="FMG538" s="22" t="e">
        <f ca="1"/>
        <v>#N/A</v>
      </c>
      <c r="FMH538" s="22" t="e">
        <f ca="1"/>
        <v>#N/A</v>
      </c>
      <c r="FMI538" s="22" t="e">
        <f ca="1"/>
        <v>#N/A</v>
      </c>
      <c r="FMJ538" s="22" t="e">
        <f ca="1"/>
        <v>#N/A</v>
      </c>
      <c r="FMK538" s="22" t="e">
        <f ca="1"/>
        <v>#N/A</v>
      </c>
      <c r="FML538" s="22" t="e">
        <f ca="1"/>
        <v>#N/A</v>
      </c>
      <c r="FMM538" s="22" t="e">
        <f ca="1"/>
        <v>#N/A</v>
      </c>
      <c r="FMN538" s="22" t="e">
        <f ca="1"/>
        <v>#N/A</v>
      </c>
      <c r="FMO538" s="22" t="e">
        <f ca="1"/>
        <v>#N/A</v>
      </c>
      <c r="FMP538" s="22" t="e">
        <f ca="1"/>
        <v>#N/A</v>
      </c>
      <c r="FMQ538" s="22" t="e">
        <f ca="1"/>
        <v>#N/A</v>
      </c>
      <c r="FMR538" s="22" t="e">
        <f ca="1"/>
        <v>#N/A</v>
      </c>
      <c r="FMS538" s="22" t="e">
        <f ca="1"/>
        <v>#N/A</v>
      </c>
      <c r="FMT538" s="22" t="e">
        <f ca="1"/>
        <v>#N/A</v>
      </c>
      <c r="FMU538" s="22" t="e">
        <f ca="1"/>
        <v>#N/A</v>
      </c>
      <c r="FMV538" s="22" t="e">
        <f ca="1"/>
        <v>#N/A</v>
      </c>
      <c r="FMW538" s="22" t="e">
        <f ca="1"/>
        <v>#N/A</v>
      </c>
      <c r="FMX538" s="22" t="e">
        <f ca="1"/>
        <v>#N/A</v>
      </c>
      <c r="FMY538" s="22" t="e">
        <f ca="1"/>
        <v>#N/A</v>
      </c>
      <c r="FMZ538" s="22" t="e">
        <f ca="1"/>
        <v>#N/A</v>
      </c>
      <c r="FNA538" s="22" t="e">
        <f ca="1"/>
        <v>#N/A</v>
      </c>
      <c r="FNB538" s="22" t="e">
        <f ca="1"/>
        <v>#N/A</v>
      </c>
      <c r="FNC538" s="22" t="e">
        <f ca="1"/>
        <v>#N/A</v>
      </c>
      <c r="FND538" s="22" t="e">
        <f ca="1"/>
        <v>#N/A</v>
      </c>
      <c r="FNE538" s="22" t="e">
        <f ca="1"/>
        <v>#N/A</v>
      </c>
      <c r="FNF538" s="22" t="e">
        <f ca="1"/>
        <v>#N/A</v>
      </c>
      <c r="FNG538" s="22" t="e">
        <f ca="1"/>
        <v>#N/A</v>
      </c>
      <c r="FNH538" s="22" t="e">
        <f ca="1"/>
        <v>#N/A</v>
      </c>
      <c r="FNI538" s="22" t="e">
        <f ca="1"/>
        <v>#N/A</v>
      </c>
      <c r="FNJ538" s="22" t="e">
        <f ca="1"/>
        <v>#N/A</v>
      </c>
      <c r="FNK538" s="22" t="e">
        <f ca="1"/>
        <v>#N/A</v>
      </c>
      <c r="FNL538" s="22" t="e">
        <f ca="1"/>
        <v>#N/A</v>
      </c>
      <c r="FNM538" s="22" t="e">
        <f ca="1"/>
        <v>#N/A</v>
      </c>
      <c r="FNN538" s="22" t="e">
        <f ca="1"/>
        <v>#N/A</v>
      </c>
      <c r="FNO538" s="22" t="e">
        <f ca="1"/>
        <v>#N/A</v>
      </c>
      <c r="FNP538" s="22" t="e">
        <f ca="1"/>
        <v>#N/A</v>
      </c>
      <c r="FNQ538" s="22" t="e">
        <f ca="1"/>
        <v>#N/A</v>
      </c>
      <c r="FNR538" s="22" t="e">
        <f ca="1"/>
        <v>#N/A</v>
      </c>
      <c r="FNS538" s="22" t="e">
        <f ca="1"/>
        <v>#N/A</v>
      </c>
      <c r="FNT538" s="22" t="e">
        <f ca="1"/>
        <v>#N/A</v>
      </c>
      <c r="FNU538" s="22" t="e">
        <f ca="1"/>
        <v>#N/A</v>
      </c>
      <c r="FNV538" s="22" t="e">
        <f ca="1"/>
        <v>#N/A</v>
      </c>
      <c r="FNW538" s="22" t="e">
        <f ca="1"/>
        <v>#N/A</v>
      </c>
      <c r="FNX538" s="22" t="e">
        <f ca="1"/>
        <v>#N/A</v>
      </c>
      <c r="FNY538" s="22" t="e">
        <f ca="1"/>
        <v>#N/A</v>
      </c>
      <c r="FNZ538" s="22" t="e">
        <f ca="1"/>
        <v>#N/A</v>
      </c>
      <c r="FOA538" s="22" t="e">
        <f ca="1"/>
        <v>#N/A</v>
      </c>
      <c r="FOB538" s="22" t="e">
        <f ca="1"/>
        <v>#N/A</v>
      </c>
      <c r="FOC538" s="22" t="e">
        <f ca="1"/>
        <v>#N/A</v>
      </c>
      <c r="FOD538" s="22" t="e">
        <f ca="1"/>
        <v>#N/A</v>
      </c>
      <c r="FOE538" s="22" t="e">
        <f ca="1"/>
        <v>#N/A</v>
      </c>
      <c r="FOF538" s="22" t="e">
        <f ca="1"/>
        <v>#N/A</v>
      </c>
      <c r="FOG538" s="22" t="e">
        <f ca="1"/>
        <v>#N/A</v>
      </c>
      <c r="FOH538" s="22" t="e">
        <f ca="1"/>
        <v>#N/A</v>
      </c>
      <c r="FOI538" s="22" t="e">
        <f ca="1"/>
        <v>#N/A</v>
      </c>
      <c r="FOJ538" s="22" t="e">
        <f ca="1"/>
        <v>#N/A</v>
      </c>
      <c r="FOK538" s="22" t="e">
        <f ca="1"/>
        <v>#N/A</v>
      </c>
      <c r="FOL538" s="22" t="e">
        <f ca="1"/>
        <v>#N/A</v>
      </c>
      <c r="FOM538" s="22" t="e">
        <f ca="1"/>
        <v>#N/A</v>
      </c>
      <c r="FON538" s="22" t="e">
        <f ca="1"/>
        <v>#N/A</v>
      </c>
      <c r="FOO538" s="22" t="e">
        <f ca="1"/>
        <v>#N/A</v>
      </c>
      <c r="FOP538" s="22" t="e">
        <f ca="1"/>
        <v>#N/A</v>
      </c>
      <c r="FOQ538" s="22" t="e">
        <f ca="1"/>
        <v>#N/A</v>
      </c>
      <c r="FOR538" s="22" t="e">
        <f ca="1"/>
        <v>#N/A</v>
      </c>
      <c r="FOS538" s="22" t="e">
        <f ca="1"/>
        <v>#N/A</v>
      </c>
      <c r="FOT538" s="22" t="e">
        <f ca="1"/>
        <v>#N/A</v>
      </c>
      <c r="FOU538" s="22" t="e">
        <f ca="1"/>
        <v>#N/A</v>
      </c>
      <c r="FOV538" s="22" t="e">
        <f ca="1"/>
        <v>#N/A</v>
      </c>
      <c r="FOW538" s="22" t="e">
        <f ca="1"/>
        <v>#N/A</v>
      </c>
      <c r="FOX538" s="22" t="e">
        <f ca="1"/>
        <v>#N/A</v>
      </c>
      <c r="FOY538" s="22" t="e">
        <f ca="1"/>
        <v>#N/A</v>
      </c>
      <c r="FOZ538" s="22" t="e">
        <f ca="1"/>
        <v>#N/A</v>
      </c>
      <c r="FPA538" s="22" t="e">
        <f ca="1"/>
        <v>#N/A</v>
      </c>
      <c r="FPB538" s="22" t="e">
        <f ca="1"/>
        <v>#N/A</v>
      </c>
      <c r="FPC538" s="22" t="e">
        <f ca="1"/>
        <v>#N/A</v>
      </c>
      <c r="FPD538" s="22" t="e">
        <f ca="1"/>
        <v>#N/A</v>
      </c>
      <c r="FPE538" s="22" t="e">
        <f ca="1"/>
        <v>#N/A</v>
      </c>
      <c r="FPF538" s="22" t="e">
        <f ca="1"/>
        <v>#N/A</v>
      </c>
      <c r="FPG538" s="22" t="e">
        <f ca="1"/>
        <v>#N/A</v>
      </c>
      <c r="FPH538" s="22" t="e">
        <f ca="1"/>
        <v>#N/A</v>
      </c>
      <c r="FPI538" s="22" t="e">
        <f ca="1"/>
        <v>#N/A</v>
      </c>
      <c r="FPJ538" s="22" t="e">
        <f ca="1"/>
        <v>#N/A</v>
      </c>
      <c r="FPK538" s="22" t="e">
        <f ca="1"/>
        <v>#N/A</v>
      </c>
      <c r="FPL538" s="22" t="e">
        <f ca="1"/>
        <v>#N/A</v>
      </c>
      <c r="FPM538" s="22" t="e">
        <f ca="1"/>
        <v>#N/A</v>
      </c>
      <c r="FPN538" s="22" t="e">
        <f ca="1"/>
        <v>#N/A</v>
      </c>
      <c r="FPO538" s="22" t="e">
        <f ca="1"/>
        <v>#N/A</v>
      </c>
      <c r="FPP538" s="22" t="e">
        <f ca="1"/>
        <v>#N/A</v>
      </c>
      <c r="FPQ538" s="22" t="e">
        <f ca="1"/>
        <v>#N/A</v>
      </c>
      <c r="FPR538" s="22" t="e">
        <f ca="1"/>
        <v>#N/A</v>
      </c>
      <c r="FPS538" s="22" t="e">
        <f ca="1"/>
        <v>#N/A</v>
      </c>
      <c r="FPT538" s="22" t="e">
        <f ca="1"/>
        <v>#N/A</v>
      </c>
      <c r="FPU538" s="22" t="e">
        <f ca="1"/>
        <v>#N/A</v>
      </c>
      <c r="FPV538" s="22" t="e">
        <f ca="1"/>
        <v>#N/A</v>
      </c>
      <c r="FPW538" s="22" t="e">
        <f ca="1"/>
        <v>#N/A</v>
      </c>
      <c r="FPX538" s="22" t="e">
        <f ca="1"/>
        <v>#N/A</v>
      </c>
      <c r="FPY538" s="22" t="e">
        <f ca="1"/>
        <v>#N/A</v>
      </c>
      <c r="FPZ538" s="22" t="e">
        <f ca="1"/>
        <v>#N/A</v>
      </c>
      <c r="FQA538" s="22" t="e">
        <f ca="1"/>
        <v>#N/A</v>
      </c>
      <c r="FQB538" s="22" t="e">
        <f ca="1"/>
        <v>#N/A</v>
      </c>
      <c r="FQC538" s="22" t="e">
        <f ca="1"/>
        <v>#N/A</v>
      </c>
      <c r="FQD538" s="22" t="e">
        <f ca="1"/>
        <v>#N/A</v>
      </c>
      <c r="FQE538" s="22" t="e">
        <f ca="1"/>
        <v>#N/A</v>
      </c>
      <c r="FQF538" s="22" t="e">
        <f ca="1"/>
        <v>#N/A</v>
      </c>
      <c r="FQG538" s="22" t="e">
        <f ca="1"/>
        <v>#N/A</v>
      </c>
      <c r="FQH538" s="22" t="e">
        <f ca="1"/>
        <v>#N/A</v>
      </c>
      <c r="FQI538" s="22" t="e">
        <f ca="1"/>
        <v>#N/A</v>
      </c>
      <c r="FQJ538" s="22" t="e">
        <f ca="1"/>
        <v>#N/A</v>
      </c>
      <c r="FQK538" s="22" t="e">
        <f ca="1"/>
        <v>#N/A</v>
      </c>
      <c r="FQL538" s="22" t="e">
        <f ca="1"/>
        <v>#N/A</v>
      </c>
      <c r="FQM538" s="22" t="e">
        <f ca="1"/>
        <v>#N/A</v>
      </c>
      <c r="FQN538" s="22" t="e">
        <f ca="1"/>
        <v>#N/A</v>
      </c>
      <c r="FQO538" s="22" t="e">
        <f ca="1"/>
        <v>#N/A</v>
      </c>
      <c r="FQP538" s="22" t="e">
        <f ca="1"/>
        <v>#N/A</v>
      </c>
      <c r="FQQ538" s="22" t="e">
        <f ca="1"/>
        <v>#N/A</v>
      </c>
      <c r="FQR538" s="22" t="e">
        <f ca="1"/>
        <v>#N/A</v>
      </c>
      <c r="FQS538" s="22" t="e">
        <f ca="1"/>
        <v>#N/A</v>
      </c>
      <c r="FQT538" s="22" t="e">
        <f ca="1"/>
        <v>#N/A</v>
      </c>
      <c r="FQU538" s="22" t="e">
        <f ca="1"/>
        <v>#N/A</v>
      </c>
      <c r="FQV538" s="22" t="e">
        <f ca="1"/>
        <v>#N/A</v>
      </c>
      <c r="FQW538" s="22" t="e">
        <f ca="1"/>
        <v>#N/A</v>
      </c>
      <c r="FQX538" s="22" t="e">
        <f ca="1"/>
        <v>#N/A</v>
      </c>
      <c r="FQY538" s="22" t="e">
        <f ca="1"/>
        <v>#N/A</v>
      </c>
      <c r="FQZ538" s="22" t="e">
        <f ca="1"/>
        <v>#N/A</v>
      </c>
      <c r="FRA538" s="22" t="e">
        <f ca="1"/>
        <v>#N/A</v>
      </c>
      <c r="FRB538" s="22" t="e">
        <f ca="1"/>
        <v>#N/A</v>
      </c>
      <c r="FRC538" s="22" t="e">
        <f ca="1"/>
        <v>#N/A</v>
      </c>
      <c r="FRD538" s="22" t="e">
        <f ca="1"/>
        <v>#N/A</v>
      </c>
      <c r="FRE538" s="22" t="e">
        <f ca="1"/>
        <v>#N/A</v>
      </c>
      <c r="FRF538" s="22" t="e">
        <f ca="1"/>
        <v>#N/A</v>
      </c>
      <c r="FRG538" s="22" t="e">
        <f ca="1"/>
        <v>#N/A</v>
      </c>
      <c r="FRH538" s="22" t="e">
        <f ca="1"/>
        <v>#N/A</v>
      </c>
      <c r="FRI538" s="22" t="e">
        <f ca="1"/>
        <v>#N/A</v>
      </c>
      <c r="FRJ538" s="22" t="e">
        <f ca="1"/>
        <v>#N/A</v>
      </c>
      <c r="FRK538" s="22" t="e">
        <f ca="1"/>
        <v>#N/A</v>
      </c>
      <c r="FRL538" s="22" t="e">
        <f ca="1"/>
        <v>#N/A</v>
      </c>
      <c r="FRM538" s="22" t="e">
        <f ca="1"/>
        <v>#N/A</v>
      </c>
      <c r="FRN538" s="22" t="e">
        <f ca="1"/>
        <v>#N/A</v>
      </c>
      <c r="FRO538" s="22" t="e">
        <f ca="1"/>
        <v>#N/A</v>
      </c>
      <c r="FRP538" s="22" t="e">
        <f ca="1"/>
        <v>#N/A</v>
      </c>
      <c r="FRQ538" s="22" t="e">
        <f ca="1"/>
        <v>#N/A</v>
      </c>
      <c r="FRR538" s="22" t="e">
        <f ca="1"/>
        <v>#N/A</v>
      </c>
      <c r="FRS538" s="22" t="e">
        <f ca="1"/>
        <v>#N/A</v>
      </c>
      <c r="FRT538" s="22" t="e">
        <f ca="1"/>
        <v>#N/A</v>
      </c>
      <c r="FRU538" s="22" t="e">
        <f ca="1"/>
        <v>#N/A</v>
      </c>
      <c r="FRV538" s="22" t="e">
        <f ca="1"/>
        <v>#N/A</v>
      </c>
      <c r="FRW538" s="22" t="e">
        <f ca="1"/>
        <v>#N/A</v>
      </c>
      <c r="FRX538" s="22" t="e">
        <f ca="1"/>
        <v>#N/A</v>
      </c>
      <c r="FRY538" s="22" t="e">
        <f ca="1"/>
        <v>#N/A</v>
      </c>
      <c r="FRZ538" s="22" t="e">
        <f ca="1"/>
        <v>#N/A</v>
      </c>
      <c r="FSA538" s="22" t="e">
        <f ca="1"/>
        <v>#N/A</v>
      </c>
      <c r="FSB538" s="22" t="e">
        <f ca="1"/>
        <v>#N/A</v>
      </c>
      <c r="FSC538" s="22" t="e">
        <f ca="1"/>
        <v>#N/A</v>
      </c>
      <c r="FSD538" s="22" t="e">
        <f ca="1"/>
        <v>#N/A</v>
      </c>
      <c r="FSE538" s="22" t="e">
        <f ca="1"/>
        <v>#N/A</v>
      </c>
      <c r="FSF538" s="22" t="e">
        <f ca="1"/>
        <v>#N/A</v>
      </c>
      <c r="FSG538" s="22" t="e">
        <f ca="1"/>
        <v>#N/A</v>
      </c>
      <c r="FSH538" s="22" t="e">
        <f ca="1"/>
        <v>#N/A</v>
      </c>
      <c r="FSI538" s="22" t="e">
        <f ca="1"/>
        <v>#N/A</v>
      </c>
      <c r="FSJ538" s="22" t="e">
        <f ca="1"/>
        <v>#N/A</v>
      </c>
      <c r="FSK538" s="22" t="e">
        <f ca="1"/>
        <v>#N/A</v>
      </c>
      <c r="FSL538" s="22" t="e">
        <f ca="1"/>
        <v>#N/A</v>
      </c>
      <c r="FSM538" s="22" t="e">
        <f ca="1"/>
        <v>#N/A</v>
      </c>
      <c r="FSN538" s="22" t="e">
        <f ca="1"/>
        <v>#N/A</v>
      </c>
      <c r="FSO538" s="22" t="e">
        <f ca="1"/>
        <v>#N/A</v>
      </c>
      <c r="FSP538" s="22" t="e">
        <f ca="1"/>
        <v>#N/A</v>
      </c>
      <c r="FSQ538" s="22" t="e">
        <f ca="1"/>
        <v>#N/A</v>
      </c>
      <c r="FSR538" s="22" t="e">
        <f ca="1"/>
        <v>#N/A</v>
      </c>
      <c r="FSS538" s="22" t="e">
        <f ca="1"/>
        <v>#N/A</v>
      </c>
      <c r="FST538" s="22" t="e">
        <f ca="1"/>
        <v>#N/A</v>
      </c>
      <c r="FSU538" s="22" t="e">
        <f ca="1"/>
        <v>#N/A</v>
      </c>
      <c r="FSV538" s="22" t="e">
        <f ca="1"/>
        <v>#N/A</v>
      </c>
      <c r="FSW538" s="22" t="e">
        <f ca="1"/>
        <v>#N/A</v>
      </c>
      <c r="FSX538" s="22" t="e">
        <f ca="1"/>
        <v>#N/A</v>
      </c>
      <c r="FSY538" s="22" t="e">
        <f ca="1"/>
        <v>#N/A</v>
      </c>
      <c r="FSZ538" s="22" t="e">
        <f ca="1"/>
        <v>#N/A</v>
      </c>
      <c r="FTA538" s="22" t="e">
        <f ca="1"/>
        <v>#N/A</v>
      </c>
      <c r="FTB538" s="22" t="e">
        <f ca="1"/>
        <v>#N/A</v>
      </c>
      <c r="FTC538" s="22" t="e">
        <f ca="1"/>
        <v>#N/A</v>
      </c>
      <c r="FTD538" s="22" t="e">
        <f ca="1"/>
        <v>#N/A</v>
      </c>
      <c r="FTE538" s="22" t="e">
        <f ca="1"/>
        <v>#N/A</v>
      </c>
      <c r="FTF538" s="22" t="e">
        <f ca="1"/>
        <v>#N/A</v>
      </c>
      <c r="FTG538" s="22" t="e">
        <f ca="1"/>
        <v>#N/A</v>
      </c>
      <c r="FTH538" s="22" t="e">
        <f ca="1"/>
        <v>#N/A</v>
      </c>
      <c r="FTI538" s="22" t="e">
        <f ca="1"/>
        <v>#N/A</v>
      </c>
      <c r="FTJ538" s="22" t="e">
        <f ca="1"/>
        <v>#N/A</v>
      </c>
      <c r="FTK538" s="22" t="e">
        <f ca="1"/>
        <v>#N/A</v>
      </c>
      <c r="FTL538" s="22" t="e">
        <f ca="1"/>
        <v>#N/A</v>
      </c>
      <c r="FTM538" s="22" t="e">
        <f ca="1"/>
        <v>#N/A</v>
      </c>
      <c r="FTN538" s="22" t="e">
        <f ca="1"/>
        <v>#N/A</v>
      </c>
      <c r="FTO538" s="22" t="e">
        <f ca="1"/>
        <v>#N/A</v>
      </c>
      <c r="FTP538" s="22" t="e">
        <f ca="1"/>
        <v>#N/A</v>
      </c>
      <c r="FTQ538" s="22" t="e">
        <f ca="1"/>
        <v>#N/A</v>
      </c>
      <c r="FTR538" s="22" t="e">
        <f ca="1"/>
        <v>#N/A</v>
      </c>
      <c r="FTS538" s="22" t="e">
        <f ca="1"/>
        <v>#N/A</v>
      </c>
      <c r="FTT538" s="22" t="e">
        <f ca="1"/>
        <v>#N/A</v>
      </c>
      <c r="FTU538" s="22" t="e">
        <f ca="1"/>
        <v>#N/A</v>
      </c>
      <c r="FTV538" s="22" t="e">
        <f ca="1"/>
        <v>#N/A</v>
      </c>
      <c r="FTW538" s="22" t="e">
        <f ca="1"/>
        <v>#N/A</v>
      </c>
      <c r="FTX538" s="22" t="e">
        <f ca="1"/>
        <v>#N/A</v>
      </c>
      <c r="FTY538" s="22" t="e">
        <f ca="1"/>
        <v>#N/A</v>
      </c>
      <c r="FTZ538" s="22" t="e">
        <f ca="1"/>
        <v>#N/A</v>
      </c>
      <c r="FUA538" s="22" t="e">
        <f ca="1"/>
        <v>#N/A</v>
      </c>
      <c r="FUB538" s="22" t="e">
        <f ca="1"/>
        <v>#N/A</v>
      </c>
      <c r="FUC538" s="22" t="e">
        <f ca="1"/>
        <v>#N/A</v>
      </c>
      <c r="FUD538" s="22" t="e">
        <f ca="1"/>
        <v>#N/A</v>
      </c>
      <c r="FUE538" s="22" t="e">
        <f ca="1"/>
        <v>#N/A</v>
      </c>
      <c r="FUF538" s="22" t="e">
        <f ca="1"/>
        <v>#N/A</v>
      </c>
      <c r="FUG538" s="22" t="e">
        <f ca="1"/>
        <v>#N/A</v>
      </c>
      <c r="FUH538" s="22" t="e">
        <f ca="1"/>
        <v>#N/A</v>
      </c>
      <c r="FUI538" s="22" t="e">
        <f ca="1"/>
        <v>#N/A</v>
      </c>
      <c r="FUJ538" s="22" t="e">
        <f ca="1"/>
        <v>#N/A</v>
      </c>
      <c r="FUK538" s="22" t="e">
        <f ca="1"/>
        <v>#N/A</v>
      </c>
      <c r="FUL538" s="22" t="e">
        <f ca="1"/>
        <v>#N/A</v>
      </c>
      <c r="FUM538" s="22" t="e">
        <f ca="1"/>
        <v>#N/A</v>
      </c>
      <c r="FUN538" s="22" t="e">
        <f ca="1"/>
        <v>#N/A</v>
      </c>
      <c r="FUO538" s="22" t="e">
        <f ca="1"/>
        <v>#N/A</v>
      </c>
      <c r="FUP538" s="22" t="e">
        <f ca="1"/>
        <v>#N/A</v>
      </c>
      <c r="FUQ538" s="22" t="e">
        <f ca="1"/>
        <v>#N/A</v>
      </c>
      <c r="FUR538" s="22" t="e">
        <f ca="1"/>
        <v>#N/A</v>
      </c>
      <c r="FUS538" s="22" t="e">
        <f ca="1"/>
        <v>#N/A</v>
      </c>
      <c r="FUT538" s="22" t="e">
        <f ca="1"/>
        <v>#N/A</v>
      </c>
      <c r="FUU538" s="22" t="e">
        <f ca="1"/>
        <v>#N/A</v>
      </c>
      <c r="FUV538" s="22" t="e">
        <f ca="1"/>
        <v>#N/A</v>
      </c>
      <c r="FUW538" s="22" t="e">
        <f ca="1"/>
        <v>#N/A</v>
      </c>
      <c r="FUX538" s="22" t="e">
        <f ca="1"/>
        <v>#N/A</v>
      </c>
      <c r="FUY538" s="22" t="e">
        <f ca="1"/>
        <v>#N/A</v>
      </c>
      <c r="FUZ538" s="22" t="e">
        <f ca="1"/>
        <v>#N/A</v>
      </c>
      <c r="FVA538" s="22" t="e">
        <f ca="1"/>
        <v>#N/A</v>
      </c>
      <c r="FVB538" s="22" t="e">
        <f ca="1"/>
        <v>#N/A</v>
      </c>
      <c r="FVC538" s="22" t="e">
        <f ca="1"/>
        <v>#N/A</v>
      </c>
      <c r="FVD538" s="22" t="e">
        <f ca="1"/>
        <v>#N/A</v>
      </c>
      <c r="FVE538" s="22" t="e">
        <f ca="1"/>
        <v>#N/A</v>
      </c>
      <c r="FVF538" s="22" t="e">
        <f ca="1"/>
        <v>#N/A</v>
      </c>
      <c r="FVG538" s="22" t="e">
        <f ca="1"/>
        <v>#N/A</v>
      </c>
      <c r="FVH538" s="22" t="e">
        <f ca="1"/>
        <v>#N/A</v>
      </c>
      <c r="FVI538" s="22" t="e">
        <f ca="1"/>
        <v>#N/A</v>
      </c>
      <c r="FVJ538" s="22" t="e">
        <f ca="1"/>
        <v>#N/A</v>
      </c>
      <c r="FVK538" s="22" t="e">
        <f ca="1"/>
        <v>#N/A</v>
      </c>
      <c r="FVL538" s="22" t="e">
        <f ca="1"/>
        <v>#N/A</v>
      </c>
      <c r="FVM538" s="22" t="e">
        <f ca="1"/>
        <v>#N/A</v>
      </c>
      <c r="FVN538" s="22" t="e">
        <f ca="1"/>
        <v>#N/A</v>
      </c>
      <c r="FVO538" s="22" t="e">
        <f ca="1"/>
        <v>#N/A</v>
      </c>
      <c r="FVP538" s="22" t="e">
        <f ca="1"/>
        <v>#N/A</v>
      </c>
      <c r="FVQ538" s="22" t="e">
        <f ca="1"/>
        <v>#N/A</v>
      </c>
      <c r="FVR538" s="22" t="e">
        <f ca="1"/>
        <v>#N/A</v>
      </c>
      <c r="FVS538" s="22" t="e">
        <f ca="1"/>
        <v>#N/A</v>
      </c>
      <c r="FVT538" s="22" t="e">
        <f ca="1"/>
        <v>#N/A</v>
      </c>
      <c r="FVU538" s="22" t="e">
        <f ca="1"/>
        <v>#N/A</v>
      </c>
      <c r="FVV538" s="22" t="e">
        <f ca="1"/>
        <v>#N/A</v>
      </c>
      <c r="FVW538" s="22" t="e">
        <f ca="1"/>
        <v>#N/A</v>
      </c>
      <c r="FVX538" s="22" t="e">
        <f ca="1"/>
        <v>#N/A</v>
      </c>
      <c r="FVY538" s="22" t="e">
        <f ca="1"/>
        <v>#N/A</v>
      </c>
      <c r="FVZ538" s="22" t="e">
        <f ca="1"/>
        <v>#N/A</v>
      </c>
      <c r="FWA538" s="22" t="e">
        <f ca="1"/>
        <v>#N/A</v>
      </c>
      <c r="FWB538" s="22" t="e">
        <f ca="1"/>
        <v>#N/A</v>
      </c>
      <c r="FWC538" s="22" t="e">
        <f ca="1"/>
        <v>#N/A</v>
      </c>
      <c r="FWD538" s="22" t="e">
        <f ca="1"/>
        <v>#N/A</v>
      </c>
      <c r="FWE538" s="22" t="e">
        <f ca="1"/>
        <v>#N/A</v>
      </c>
      <c r="FWF538" s="22" t="e">
        <f ca="1"/>
        <v>#N/A</v>
      </c>
      <c r="FWG538" s="22" t="e">
        <f ca="1"/>
        <v>#N/A</v>
      </c>
      <c r="FWH538" s="22" t="e">
        <f ca="1"/>
        <v>#N/A</v>
      </c>
      <c r="FWI538" s="22" t="e">
        <f ca="1"/>
        <v>#N/A</v>
      </c>
      <c r="FWJ538" s="22" t="e">
        <f ca="1"/>
        <v>#N/A</v>
      </c>
      <c r="FWK538" s="22" t="e">
        <f ca="1"/>
        <v>#N/A</v>
      </c>
      <c r="FWL538" s="22" t="e">
        <f ca="1"/>
        <v>#N/A</v>
      </c>
      <c r="FWM538" s="22" t="e">
        <f ca="1"/>
        <v>#N/A</v>
      </c>
      <c r="FWN538" s="22" t="e">
        <f ca="1"/>
        <v>#N/A</v>
      </c>
      <c r="FWO538" s="22" t="e">
        <f ca="1"/>
        <v>#N/A</v>
      </c>
      <c r="FWP538" s="22" t="e">
        <f ca="1"/>
        <v>#N/A</v>
      </c>
      <c r="FWQ538" s="22" t="e">
        <f ca="1"/>
        <v>#N/A</v>
      </c>
      <c r="FWR538" s="22" t="e">
        <f ca="1"/>
        <v>#N/A</v>
      </c>
      <c r="FWS538" s="22" t="e">
        <f ca="1"/>
        <v>#N/A</v>
      </c>
      <c r="FWT538" s="22" t="e">
        <f ca="1"/>
        <v>#N/A</v>
      </c>
      <c r="FWU538" s="22" t="e">
        <f ca="1"/>
        <v>#N/A</v>
      </c>
      <c r="FWV538" s="22" t="e">
        <f ca="1"/>
        <v>#N/A</v>
      </c>
      <c r="FWW538" s="22" t="e">
        <f ca="1"/>
        <v>#N/A</v>
      </c>
      <c r="FWX538" s="22" t="e">
        <f ca="1"/>
        <v>#N/A</v>
      </c>
      <c r="FWY538" s="22" t="e">
        <f ca="1"/>
        <v>#N/A</v>
      </c>
      <c r="FWZ538" s="22" t="e">
        <f ca="1"/>
        <v>#N/A</v>
      </c>
      <c r="FXA538" s="22" t="e">
        <f ca="1"/>
        <v>#N/A</v>
      </c>
      <c r="FXB538" s="22" t="e">
        <f ca="1"/>
        <v>#N/A</v>
      </c>
      <c r="FXC538" s="22" t="e">
        <f ca="1"/>
        <v>#N/A</v>
      </c>
      <c r="FXD538" s="22" t="e">
        <f ca="1"/>
        <v>#N/A</v>
      </c>
      <c r="FXE538" s="22" t="e">
        <f ca="1"/>
        <v>#N/A</v>
      </c>
      <c r="FXF538" s="22" t="e">
        <f ca="1"/>
        <v>#N/A</v>
      </c>
      <c r="FXG538" s="22" t="e">
        <f ca="1"/>
        <v>#N/A</v>
      </c>
      <c r="FXH538" s="22" t="e">
        <f ca="1"/>
        <v>#N/A</v>
      </c>
      <c r="FXI538" s="22" t="e">
        <f ca="1"/>
        <v>#N/A</v>
      </c>
      <c r="FXJ538" s="22" t="e">
        <f ca="1"/>
        <v>#N/A</v>
      </c>
      <c r="FXK538" s="22" t="e">
        <f ca="1"/>
        <v>#N/A</v>
      </c>
      <c r="FXL538" s="22" t="e">
        <f ca="1"/>
        <v>#N/A</v>
      </c>
      <c r="FXM538" s="22" t="e">
        <f ca="1"/>
        <v>#N/A</v>
      </c>
      <c r="FXN538" s="22" t="e">
        <f ca="1"/>
        <v>#N/A</v>
      </c>
      <c r="FXO538" s="22" t="e">
        <f ca="1"/>
        <v>#N/A</v>
      </c>
      <c r="FXP538" s="22" t="e">
        <f ca="1"/>
        <v>#N/A</v>
      </c>
      <c r="FXQ538" s="22" t="e">
        <f ca="1"/>
        <v>#N/A</v>
      </c>
      <c r="FXR538" s="22" t="e">
        <f ca="1"/>
        <v>#N/A</v>
      </c>
      <c r="FXS538" s="22" t="e">
        <f ca="1"/>
        <v>#N/A</v>
      </c>
      <c r="FXT538" s="22" t="e">
        <f ca="1"/>
        <v>#N/A</v>
      </c>
      <c r="FXU538" s="22" t="e">
        <f ca="1"/>
        <v>#N/A</v>
      </c>
      <c r="FXV538" s="22" t="e">
        <f ca="1"/>
        <v>#N/A</v>
      </c>
      <c r="FXW538" s="22" t="e">
        <f ca="1"/>
        <v>#N/A</v>
      </c>
      <c r="FXX538" s="22" t="e">
        <f ca="1"/>
        <v>#N/A</v>
      </c>
      <c r="FXY538" s="22" t="e">
        <f ca="1"/>
        <v>#N/A</v>
      </c>
      <c r="FXZ538" s="22" t="e">
        <f ca="1"/>
        <v>#N/A</v>
      </c>
      <c r="FYA538" s="22" t="e">
        <f ca="1"/>
        <v>#N/A</v>
      </c>
      <c r="FYB538" s="22" t="e">
        <f ca="1"/>
        <v>#N/A</v>
      </c>
      <c r="FYC538" s="22" t="e">
        <f ca="1"/>
        <v>#N/A</v>
      </c>
      <c r="FYD538" s="22" t="e">
        <f ca="1"/>
        <v>#N/A</v>
      </c>
      <c r="FYE538" s="22" t="e">
        <f ca="1"/>
        <v>#N/A</v>
      </c>
      <c r="FYF538" s="22" t="e">
        <f ca="1"/>
        <v>#N/A</v>
      </c>
      <c r="FYG538" s="22" t="e">
        <f ca="1"/>
        <v>#N/A</v>
      </c>
      <c r="FYH538" s="22" t="e">
        <f ca="1"/>
        <v>#N/A</v>
      </c>
      <c r="FYI538" s="22" t="e">
        <f ca="1"/>
        <v>#N/A</v>
      </c>
      <c r="FYJ538" s="22" t="e">
        <f ca="1"/>
        <v>#N/A</v>
      </c>
      <c r="FYK538" s="22" t="e">
        <f ca="1"/>
        <v>#N/A</v>
      </c>
      <c r="FYL538" s="22" t="e">
        <f ca="1"/>
        <v>#N/A</v>
      </c>
      <c r="FYM538" s="22" t="e">
        <f ca="1"/>
        <v>#N/A</v>
      </c>
      <c r="FYN538" s="22" t="e">
        <f ca="1"/>
        <v>#N/A</v>
      </c>
      <c r="FYO538" s="22" t="e">
        <f ca="1"/>
        <v>#N/A</v>
      </c>
      <c r="FYP538" s="22" t="e">
        <f ca="1"/>
        <v>#N/A</v>
      </c>
      <c r="FYQ538" s="22" t="e">
        <f ca="1"/>
        <v>#N/A</v>
      </c>
      <c r="FYR538" s="22" t="e">
        <f ca="1"/>
        <v>#N/A</v>
      </c>
      <c r="FYS538" s="22" t="e">
        <f ca="1"/>
        <v>#N/A</v>
      </c>
      <c r="FYT538" s="22" t="e">
        <f ca="1"/>
        <v>#N/A</v>
      </c>
      <c r="FYU538" s="22" t="e">
        <f ca="1"/>
        <v>#N/A</v>
      </c>
      <c r="FYV538" s="22" t="e">
        <f ca="1"/>
        <v>#N/A</v>
      </c>
      <c r="FYW538" s="22" t="e">
        <f ca="1"/>
        <v>#N/A</v>
      </c>
      <c r="FYX538" s="22" t="e">
        <f ca="1"/>
        <v>#N/A</v>
      </c>
      <c r="FYY538" s="22" t="e">
        <f ca="1"/>
        <v>#N/A</v>
      </c>
      <c r="FYZ538" s="22" t="e">
        <f ca="1"/>
        <v>#N/A</v>
      </c>
      <c r="FZA538" s="22" t="e">
        <f ca="1"/>
        <v>#N/A</v>
      </c>
      <c r="FZB538" s="22" t="e">
        <f ca="1"/>
        <v>#N/A</v>
      </c>
      <c r="FZC538" s="22" t="e">
        <f ca="1"/>
        <v>#N/A</v>
      </c>
      <c r="FZD538" s="22" t="e">
        <f ca="1"/>
        <v>#N/A</v>
      </c>
      <c r="FZE538" s="22" t="e">
        <f ca="1"/>
        <v>#N/A</v>
      </c>
      <c r="FZF538" s="22" t="e">
        <f ca="1"/>
        <v>#N/A</v>
      </c>
      <c r="FZG538" s="22" t="e">
        <f ca="1"/>
        <v>#N/A</v>
      </c>
      <c r="FZH538" s="22" t="e">
        <f ca="1"/>
        <v>#N/A</v>
      </c>
      <c r="FZI538" s="22" t="e">
        <f ca="1"/>
        <v>#N/A</v>
      </c>
      <c r="FZJ538" s="22" t="e">
        <f ca="1"/>
        <v>#N/A</v>
      </c>
      <c r="FZK538" s="22" t="e">
        <f ca="1"/>
        <v>#N/A</v>
      </c>
      <c r="FZL538" s="22" t="e">
        <f ca="1"/>
        <v>#N/A</v>
      </c>
      <c r="FZM538" s="22" t="e">
        <f ca="1"/>
        <v>#N/A</v>
      </c>
      <c r="FZN538" s="22" t="e">
        <f ca="1"/>
        <v>#N/A</v>
      </c>
      <c r="FZO538" s="22" t="e">
        <f ca="1"/>
        <v>#N/A</v>
      </c>
      <c r="FZP538" s="22" t="e">
        <f ca="1"/>
        <v>#N/A</v>
      </c>
      <c r="FZQ538" s="22" t="e">
        <f ca="1"/>
        <v>#N/A</v>
      </c>
      <c r="FZR538" s="22" t="e">
        <f ca="1"/>
        <v>#N/A</v>
      </c>
      <c r="FZS538" s="22" t="e">
        <f ca="1"/>
        <v>#N/A</v>
      </c>
      <c r="FZT538" s="22" t="e">
        <f ca="1"/>
        <v>#N/A</v>
      </c>
      <c r="FZU538" s="22" t="e">
        <f ca="1"/>
        <v>#N/A</v>
      </c>
      <c r="FZV538" s="22" t="e">
        <f ca="1"/>
        <v>#N/A</v>
      </c>
      <c r="FZW538" s="22" t="e">
        <f ca="1"/>
        <v>#N/A</v>
      </c>
      <c r="FZX538" s="22" t="e">
        <f ca="1"/>
        <v>#N/A</v>
      </c>
      <c r="FZY538" s="22" t="e">
        <f ca="1"/>
        <v>#N/A</v>
      </c>
      <c r="FZZ538" s="22" t="e">
        <f ca="1"/>
        <v>#N/A</v>
      </c>
      <c r="GAA538" s="22" t="e">
        <f ca="1"/>
        <v>#N/A</v>
      </c>
      <c r="GAB538" s="22" t="e">
        <f ca="1"/>
        <v>#N/A</v>
      </c>
      <c r="GAC538" s="22" t="e">
        <f ca="1"/>
        <v>#N/A</v>
      </c>
      <c r="GAD538" s="22" t="e">
        <f ca="1"/>
        <v>#N/A</v>
      </c>
      <c r="GAE538" s="22" t="e">
        <f ca="1"/>
        <v>#N/A</v>
      </c>
      <c r="GAF538" s="22" t="e">
        <f ca="1"/>
        <v>#N/A</v>
      </c>
      <c r="GAG538" s="22" t="e">
        <f ca="1"/>
        <v>#N/A</v>
      </c>
      <c r="GAH538" s="22" t="e">
        <f ca="1"/>
        <v>#N/A</v>
      </c>
      <c r="GAI538" s="22" t="e">
        <f ca="1"/>
        <v>#N/A</v>
      </c>
      <c r="GAJ538" s="22" t="e">
        <f ca="1"/>
        <v>#N/A</v>
      </c>
      <c r="GAK538" s="22" t="e">
        <f ca="1"/>
        <v>#N/A</v>
      </c>
      <c r="GAL538" s="22" t="e">
        <f ca="1"/>
        <v>#N/A</v>
      </c>
      <c r="GAM538" s="22" t="e">
        <f ca="1"/>
        <v>#N/A</v>
      </c>
      <c r="GAN538" s="22" t="e">
        <f ca="1"/>
        <v>#N/A</v>
      </c>
      <c r="GAO538" s="22" t="e">
        <f ca="1"/>
        <v>#N/A</v>
      </c>
      <c r="GAP538" s="22" t="e">
        <f ca="1"/>
        <v>#N/A</v>
      </c>
      <c r="GAQ538" s="22" t="e">
        <f ca="1"/>
        <v>#N/A</v>
      </c>
      <c r="GAR538" s="22" t="e">
        <f ca="1"/>
        <v>#N/A</v>
      </c>
      <c r="GAS538" s="22" t="e">
        <f ca="1"/>
        <v>#N/A</v>
      </c>
      <c r="GAT538" s="22" t="e">
        <f ca="1"/>
        <v>#N/A</v>
      </c>
      <c r="GAU538" s="22" t="e">
        <f ca="1"/>
        <v>#N/A</v>
      </c>
      <c r="GAV538" s="22" t="e">
        <f ca="1"/>
        <v>#N/A</v>
      </c>
      <c r="GAW538" s="22" t="e">
        <f ca="1"/>
        <v>#N/A</v>
      </c>
      <c r="GAX538" s="22" t="e">
        <f ca="1"/>
        <v>#N/A</v>
      </c>
      <c r="GAY538" s="22" t="e">
        <f ca="1"/>
        <v>#N/A</v>
      </c>
      <c r="GAZ538" s="22" t="e">
        <f ca="1"/>
        <v>#N/A</v>
      </c>
      <c r="GBA538" s="22" t="e">
        <f ca="1"/>
        <v>#N/A</v>
      </c>
      <c r="GBB538" s="22" t="e">
        <f ca="1"/>
        <v>#N/A</v>
      </c>
      <c r="GBC538" s="22" t="e">
        <f ca="1"/>
        <v>#N/A</v>
      </c>
      <c r="GBD538" s="22" t="e">
        <f ca="1"/>
        <v>#N/A</v>
      </c>
      <c r="GBE538" s="22" t="e">
        <f ca="1"/>
        <v>#N/A</v>
      </c>
      <c r="GBF538" s="22" t="e">
        <f ca="1"/>
        <v>#N/A</v>
      </c>
      <c r="GBG538" s="22" t="e">
        <f ca="1"/>
        <v>#N/A</v>
      </c>
      <c r="GBH538" s="22" t="e">
        <f ca="1"/>
        <v>#N/A</v>
      </c>
      <c r="GBI538" s="22" t="e">
        <f ca="1"/>
        <v>#N/A</v>
      </c>
      <c r="GBJ538" s="22" t="e">
        <f ca="1"/>
        <v>#N/A</v>
      </c>
      <c r="GBK538" s="22" t="e">
        <f ca="1"/>
        <v>#N/A</v>
      </c>
      <c r="GBL538" s="22" t="e">
        <f ca="1"/>
        <v>#N/A</v>
      </c>
      <c r="GBM538" s="22" t="e">
        <f ca="1"/>
        <v>#N/A</v>
      </c>
      <c r="GBN538" s="22" t="e">
        <f ca="1"/>
        <v>#N/A</v>
      </c>
      <c r="GBO538" s="22" t="e">
        <f ca="1"/>
        <v>#N/A</v>
      </c>
      <c r="GBP538" s="22" t="e">
        <f ca="1"/>
        <v>#N/A</v>
      </c>
      <c r="GBQ538" s="22" t="e">
        <f ca="1"/>
        <v>#N/A</v>
      </c>
      <c r="GBR538" s="22" t="e">
        <f ca="1"/>
        <v>#N/A</v>
      </c>
      <c r="GBS538" s="22" t="e">
        <f ca="1"/>
        <v>#N/A</v>
      </c>
      <c r="GBT538" s="22" t="e">
        <f ca="1"/>
        <v>#N/A</v>
      </c>
      <c r="GBU538" s="22" t="e">
        <f ca="1"/>
        <v>#N/A</v>
      </c>
      <c r="GBV538" s="22" t="e">
        <f ca="1"/>
        <v>#N/A</v>
      </c>
      <c r="GBW538" s="22" t="e">
        <f ca="1"/>
        <v>#N/A</v>
      </c>
      <c r="GBX538" s="22" t="e">
        <f ca="1"/>
        <v>#N/A</v>
      </c>
      <c r="GBY538" s="22" t="e">
        <f ca="1"/>
        <v>#N/A</v>
      </c>
      <c r="GBZ538" s="22" t="e">
        <f ca="1"/>
        <v>#N/A</v>
      </c>
      <c r="GCA538" s="22" t="e">
        <f ca="1"/>
        <v>#N/A</v>
      </c>
      <c r="GCB538" s="22" t="e">
        <f ca="1"/>
        <v>#N/A</v>
      </c>
      <c r="GCC538" s="22" t="e">
        <f ca="1"/>
        <v>#N/A</v>
      </c>
      <c r="GCD538" s="22" t="e">
        <f ca="1"/>
        <v>#N/A</v>
      </c>
      <c r="GCE538" s="22" t="e">
        <f ca="1"/>
        <v>#N/A</v>
      </c>
      <c r="GCF538" s="22" t="e">
        <f ca="1"/>
        <v>#N/A</v>
      </c>
      <c r="GCG538" s="22" t="e">
        <f ca="1"/>
        <v>#N/A</v>
      </c>
      <c r="GCH538" s="22" t="e">
        <f ca="1"/>
        <v>#N/A</v>
      </c>
      <c r="GCI538" s="22" t="e">
        <f ca="1"/>
        <v>#N/A</v>
      </c>
      <c r="GCJ538" s="22" t="e">
        <f ca="1"/>
        <v>#N/A</v>
      </c>
      <c r="GCK538" s="22" t="e">
        <f ca="1"/>
        <v>#N/A</v>
      </c>
      <c r="GCL538" s="22" t="e">
        <f ca="1"/>
        <v>#N/A</v>
      </c>
      <c r="GCM538" s="22" t="e">
        <f ca="1"/>
        <v>#N/A</v>
      </c>
      <c r="GCN538" s="22" t="e">
        <f ca="1"/>
        <v>#N/A</v>
      </c>
      <c r="GCO538" s="22" t="e">
        <f ca="1"/>
        <v>#N/A</v>
      </c>
      <c r="GCP538" s="22" t="e">
        <f ca="1"/>
        <v>#N/A</v>
      </c>
      <c r="GCQ538" s="22" t="e">
        <f ca="1"/>
        <v>#N/A</v>
      </c>
      <c r="GCR538" s="22" t="e">
        <f ca="1"/>
        <v>#N/A</v>
      </c>
      <c r="GCS538" s="22" t="e">
        <f ca="1"/>
        <v>#N/A</v>
      </c>
      <c r="GCT538" s="22" t="e">
        <f ca="1"/>
        <v>#N/A</v>
      </c>
      <c r="GCU538" s="22" t="e">
        <f ca="1"/>
        <v>#N/A</v>
      </c>
      <c r="GCV538" s="22" t="e">
        <f ca="1"/>
        <v>#N/A</v>
      </c>
      <c r="GCW538" s="22" t="e">
        <f ca="1"/>
        <v>#N/A</v>
      </c>
      <c r="GCX538" s="22" t="e">
        <f ca="1"/>
        <v>#N/A</v>
      </c>
      <c r="GCY538" s="22" t="e">
        <f ca="1"/>
        <v>#N/A</v>
      </c>
      <c r="GCZ538" s="22" t="e">
        <f ca="1"/>
        <v>#N/A</v>
      </c>
      <c r="GDA538" s="22" t="e">
        <f ca="1"/>
        <v>#N/A</v>
      </c>
      <c r="GDB538" s="22" t="e">
        <f ca="1"/>
        <v>#N/A</v>
      </c>
      <c r="GDC538" s="22" t="e">
        <f ca="1"/>
        <v>#N/A</v>
      </c>
      <c r="GDD538" s="22" t="e">
        <f ca="1"/>
        <v>#N/A</v>
      </c>
      <c r="GDE538" s="22" t="e">
        <f ca="1"/>
        <v>#N/A</v>
      </c>
      <c r="GDF538" s="22" t="e">
        <f ca="1"/>
        <v>#N/A</v>
      </c>
      <c r="GDG538" s="22" t="e">
        <f ca="1"/>
        <v>#N/A</v>
      </c>
      <c r="GDH538" s="22" t="e">
        <f ca="1"/>
        <v>#N/A</v>
      </c>
      <c r="GDI538" s="22" t="e">
        <f ca="1"/>
        <v>#N/A</v>
      </c>
      <c r="GDJ538" s="22" t="e">
        <f ca="1"/>
        <v>#N/A</v>
      </c>
      <c r="GDK538" s="22" t="e">
        <f ca="1"/>
        <v>#N/A</v>
      </c>
      <c r="GDL538" s="22" t="e">
        <f ca="1"/>
        <v>#N/A</v>
      </c>
      <c r="GDM538" s="22" t="e">
        <f ca="1"/>
        <v>#N/A</v>
      </c>
      <c r="GDN538" s="22" t="e">
        <f ca="1"/>
        <v>#N/A</v>
      </c>
      <c r="GDO538" s="22" t="e">
        <f ca="1"/>
        <v>#N/A</v>
      </c>
      <c r="GDP538" s="22" t="e">
        <f ca="1"/>
        <v>#N/A</v>
      </c>
      <c r="GDQ538" s="22" t="e">
        <f ca="1"/>
        <v>#N/A</v>
      </c>
      <c r="GDR538" s="22" t="e">
        <f ca="1"/>
        <v>#N/A</v>
      </c>
      <c r="GDS538" s="22" t="e">
        <f ca="1"/>
        <v>#N/A</v>
      </c>
      <c r="GDT538" s="22" t="e">
        <f ca="1"/>
        <v>#N/A</v>
      </c>
      <c r="GDU538" s="22" t="e">
        <f ca="1"/>
        <v>#N/A</v>
      </c>
      <c r="GDV538" s="22" t="e">
        <f ca="1"/>
        <v>#N/A</v>
      </c>
      <c r="GDW538" s="22" t="e">
        <f ca="1"/>
        <v>#N/A</v>
      </c>
      <c r="GDX538" s="22" t="e">
        <f ca="1"/>
        <v>#N/A</v>
      </c>
      <c r="GDY538" s="22" t="e">
        <f ca="1"/>
        <v>#N/A</v>
      </c>
      <c r="GDZ538" s="22" t="e">
        <f ca="1"/>
        <v>#N/A</v>
      </c>
      <c r="GEA538" s="22" t="e">
        <f ca="1"/>
        <v>#N/A</v>
      </c>
      <c r="GEB538" s="22" t="e">
        <f ca="1"/>
        <v>#N/A</v>
      </c>
      <c r="GEC538" s="22" t="e">
        <f ca="1"/>
        <v>#N/A</v>
      </c>
      <c r="GED538" s="22" t="e">
        <f ca="1"/>
        <v>#N/A</v>
      </c>
      <c r="GEE538" s="22" t="e">
        <f ca="1"/>
        <v>#N/A</v>
      </c>
      <c r="GEF538" s="22" t="e">
        <f ca="1"/>
        <v>#N/A</v>
      </c>
      <c r="GEG538" s="22" t="e">
        <f ca="1"/>
        <v>#N/A</v>
      </c>
      <c r="GEH538" s="22" t="e">
        <f ca="1"/>
        <v>#N/A</v>
      </c>
      <c r="GEI538" s="22" t="e">
        <f ca="1"/>
        <v>#N/A</v>
      </c>
      <c r="GEJ538" s="22" t="e">
        <f ca="1"/>
        <v>#N/A</v>
      </c>
      <c r="GEK538" s="22" t="e">
        <f ca="1"/>
        <v>#N/A</v>
      </c>
      <c r="GEL538" s="22" t="e">
        <f ca="1"/>
        <v>#N/A</v>
      </c>
      <c r="GEM538" s="22" t="e">
        <f ca="1"/>
        <v>#N/A</v>
      </c>
      <c r="GEN538" s="22" t="e">
        <f ca="1"/>
        <v>#N/A</v>
      </c>
      <c r="GEO538" s="22" t="e">
        <f ca="1"/>
        <v>#N/A</v>
      </c>
      <c r="GEP538" s="22" t="e">
        <f ca="1"/>
        <v>#N/A</v>
      </c>
      <c r="GEQ538" s="22" t="e">
        <f ca="1"/>
        <v>#N/A</v>
      </c>
      <c r="GER538" s="22" t="e">
        <f ca="1"/>
        <v>#N/A</v>
      </c>
      <c r="GES538" s="22" t="e">
        <f ca="1"/>
        <v>#N/A</v>
      </c>
      <c r="GET538" s="22" t="e">
        <f ca="1"/>
        <v>#N/A</v>
      </c>
      <c r="GEU538" s="22" t="e">
        <f ca="1"/>
        <v>#N/A</v>
      </c>
      <c r="GEV538" s="22" t="e">
        <f ca="1"/>
        <v>#N/A</v>
      </c>
      <c r="GEW538" s="22" t="e">
        <f ca="1"/>
        <v>#N/A</v>
      </c>
      <c r="GEX538" s="22" t="e">
        <f ca="1"/>
        <v>#N/A</v>
      </c>
      <c r="GEY538" s="22" t="e">
        <f ca="1"/>
        <v>#N/A</v>
      </c>
      <c r="GEZ538" s="22" t="e">
        <f ca="1"/>
        <v>#N/A</v>
      </c>
      <c r="GFA538" s="22" t="e">
        <f ca="1"/>
        <v>#N/A</v>
      </c>
      <c r="GFB538" s="22" t="e">
        <f ca="1"/>
        <v>#N/A</v>
      </c>
      <c r="GFC538" s="22" t="e">
        <f ca="1"/>
        <v>#N/A</v>
      </c>
      <c r="GFD538" s="22" t="e">
        <f ca="1"/>
        <v>#N/A</v>
      </c>
      <c r="GFE538" s="22" t="e">
        <f ca="1"/>
        <v>#N/A</v>
      </c>
      <c r="GFF538" s="22" t="e">
        <f ca="1"/>
        <v>#N/A</v>
      </c>
      <c r="GFG538" s="22" t="e">
        <f ca="1"/>
        <v>#N/A</v>
      </c>
      <c r="GFH538" s="22" t="e">
        <f ca="1"/>
        <v>#N/A</v>
      </c>
      <c r="GFI538" s="22" t="e">
        <f ca="1"/>
        <v>#N/A</v>
      </c>
      <c r="GFJ538" s="22" t="e">
        <f ca="1"/>
        <v>#N/A</v>
      </c>
      <c r="GFK538" s="22" t="e">
        <f ca="1"/>
        <v>#N/A</v>
      </c>
      <c r="GFL538" s="22" t="e">
        <f ca="1"/>
        <v>#N/A</v>
      </c>
      <c r="GFM538" s="22" t="e">
        <f ca="1"/>
        <v>#N/A</v>
      </c>
      <c r="GFN538" s="22" t="e">
        <f ca="1"/>
        <v>#N/A</v>
      </c>
      <c r="GFO538" s="22" t="e">
        <f ca="1"/>
        <v>#N/A</v>
      </c>
      <c r="GFP538" s="22" t="e">
        <f ca="1"/>
        <v>#N/A</v>
      </c>
      <c r="GFQ538" s="22" t="e">
        <f ca="1"/>
        <v>#N/A</v>
      </c>
      <c r="GFR538" s="22" t="e">
        <f ca="1"/>
        <v>#N/A</v>
      </c>
      <c r="GFS538" s="22" t="e">
        <f ca="1"/>
        <v>#N/A</v>
      </c>
      <c r="GFT538" s="22" t="e">
        <f ca="1"/>
        <v>#N/A</v>
      </c>
      <c r="GFU538" s="22" t="e">
        <f ca="1"/>
        <v>#N/A</v>
      </c>
      <c r="GFV538" s="22" t="e">
        <f ca="1"/>
        <v>#N/A</v>
      </c>
      <c r="GFW538" s="22" t="e">
        <f ca="1"/>
        <v>#N/A</v>
      </c>
      <c r="GFX538" s="22" t="e">
        <f ca="1"/>
        <v>#N/A</v>
      </c>
      <c r="GFY538" s="22" t="e">
        <f ca="1"/>
        <v>#N/A</v>
      </c>
      <c r="GFZ538" s="22" t="e">
        <f ca="1"/>
        <v>#N/A</v>
      </c>
      <c r="GGA538" s="22" t="e">
        <f ca="1"/>
        <v>#N/A</v>
      </c>
      <c r="GGB538" s="22" t="e">
        <f ca="1"/>
        <v>#N/A</v>
      </c>
      <c r="GGC538" s="22" t="e">
        <f ca="1"/>
        <v>#N/A</v>
      </c>
      <c r="GGD538" s="22" t="e">
        <f ca="1"/>
        <v>#N/A</v>
      </c>
      <c r="GGE538" s="22" t="e">
        <f ca="1"/>
        <v>#N/A</v>
      </c>
      <c r="GGF538" s="22" t="e">
        <f ca="1"/>
        <v>#N/A</v>
      </c>
      <c r="GGG538" s="22" t="e">
        <f ca="1"/>
        <v>#N/A</v>
      </c>
      <c r="GGH538" s="22" t="e">
        <f ca="1"/>
        <v>#N/A</v>
      </c>
      <c r="GGI538" s="22" t="e">
        <f ca="1"/>
        <v>#N/A</v>
      </c>
      <c r="GGJ538" s="22" t="e">
        <f ca="1"/>
        <v>#N/A</v>
      </c>
      <c r="GGK538" s="22" t="e">
        <f ca="1"/>
        <v>#N/A</v>
      </c>
      <c r="GGL538" s="22" t="e">
        <f ca="1"/>
        <v>#N/A</v>
      </c>
      <c r="GGM538" s="22" t="e">
        <f ca="1"/>
        <v>#N/A</v>
      </c>
      <c r="GGN538" s="22" t="e">
        <f ca="1"/>
        <v>#N/A</v>
      </c>
      <c r="GGO538" s="22" t="e">
        <f ca="1"/>
        <v>#N/A</v>
      </c>
      <c r="GGP538" s="22" t="e">
        <f ca="1"/>
        <v>#N/A</v>
      </c>
      <c r="GGQ538" s="22" t="e">
        <f ca="1"/>
        <v>#N/A</v>
      </c>
      <c r="GGR538" s="22" t="e">
        <f ca="1"/>
        <v>#N/A</v>
      </c>
      <c r="GGS538" s="22" t="e">
        <f ca="1"/>
        <v>#N/A</v>
      </c>
      <c r="GGT538" s="22" t="e">
        <f ca="1"/>
        <v>#N/A</v>
      </c>
      <c r="GGU538" s="22" t="e">
        <f ca="1"/>
        <v>#N/A</v>
      </c>
      <c r="GGV538" s="22" t="e">
        <f ca="1"/>
        <v>#N/A</v>
      </c>
      <c r="GGW538" s="22" t="e">
        <f ca="1"/>
        <v>#N/A</v>
      </c>
      <c r="GGX538" s="22" t="e">
        <f ca="1"/>
        <v>#N/A</v>
      </c>
      <c r="GGY538" s="22" t="e">
        <f ca="1"/>
        <v>#N/A</v>
      </c>
      <c r="GGZ538" s="22" t="e">
        <f ca="1"/>
        <v>#N/A</v>
      </c>
      <c r="GHA538" s="22" t="e">
        <f ca="1"/>
        <v>#N/A</v>
      </c>
      <c r="GHB538" s="22" t="e">
        <f ca="1"/>
        <v>#N/A</v>
      </c>
      <c r="GHC538" s="22" t="e">
        <f ca="1"/>
        <v>#N/A</v>
      </c>
      <c r="GHD538" s="22" t="e">
        <f ca="1"/>
        <v>#N/A</v>
      </c>
      <c r="GHE538" s="22" t="e">
        <f ca="1"/>
        <v>#N/A</v>
      </c>
      <c r="GHF538" s="22" t="e">
        <f ca="1"/>
        <v>#N/A</v>
      </c>
      <c r="GHG538" s="22" t="e">
        <f ca="1"/>
        <v>#N/A</v>
      </c>
      <c r="GHH538" s="22" t="e">
        <f ca="1"/>
        <v>#N/A</v>
      </c>
      <c r="GHI538" s="22" t="e">
        <f ca="1"/>
        <v>#N/A</v>
      </c>
      <c r="GHJ538" s="22" t="e">
        <f ca="1"/>
        <v>#N/A</v>
      </c>
      <c r="GHK538" s="22" t="e">
        <f ca="1"/>
        <v>#N/A</v>
      </c>
      <c r="GHL538" s="22" t="e">
        <f ca="1"/>
        <v>#N/A</v>
      </c>
      <c r="GHM538" s="22" t="e">
        <f ca="1"/>
        <v>#N/A</v>
      </c>
      <c r="GHN538" s="22" t="e">
        <f ca="1"/>
        <v>#N/A</v>
      </c>
      <c r="GHO538" s="22" t="e">
        <f ca="1"/>
        <v>#N/A</v>
      </c>
      <c r="GHP538" s="22" t="e">
        <f ca="1"/>
        <v>#N/A</v>
      </c>
      <c r="GHQ538" s="22" t="e">
        <f ca="1"/>
        <v>#N/A</v>
      </c>
      <c r="GHR538" s="22" t="e">
        <f ca="1"/>
        <v>#N/A</v>
      </c>
      <c r="GHS538" s="22" t="e">
        <f ca="1"/>
        <v>#N/A</v>
      </c>
      <c r="GHT538" s="22" t="e">
        <f ca="1"/>
        <v>#N/A</v>
      </c>
      <c r="GHU538" s="22" t="e">
        <f ca="1"/>
        <v>#N/A</v>
      </c>
      <c r="GHV538" s="22" t="e">
        <f ca="1"/>
        <v>#N/A</v>
      </c>
      <c r="GHW538" s="22" t="e">
        <f ca="1"/>
        <v>#N/A</v>
      </c>
      <c r="GHX538" s="22" t="e">
        <f ca="1"/>
        <v>#N/A</v>
      </c>
      <c r="GHY538" s="22" t="e">
        <f ca="1"/>
        <v>#N/A</v>
      </c>
      <c r="GHZ538" s="22" t="e">
        <f ca="1"/>
        <v>#N/A</v>
      </c>
      <c r="GIA538" s="22" t="e">
        <f ca="1"/>
        <v>#N/A</v>
      </c>
      <c r="GIB538" s="22" t="e">
        <f ca="1"/>
        <v>#N/A</v>
      </c>
      <c r="GIC538" s="22" t="e">
        <f ca="1"/>
        <v>#N/A</v>
      </c>
      <c r="GID538" s="22" t="e">
        <f ca="1"/>
        <v>#N/A</v>
      </c>
      <c r="GIE538" s="22" t="e">
        <f ca="1"/>
        <v>#N/A</v>
      </c>
      <c r="GIF538" s="22" t="e">
        <f ca="1"/>
        <v>#N/A</v>
      </c>
      <c r="GIG538" s="22" t="e">
        <f ca="1"/>
        <v>#N/A</v>
      </c>
      <c r="GIH538" s="22" t="e">
        <f ca="1"/>
        <v>#N/A</v>
      </c>
      <c r="GII538" s="22" t="e">
        <f ca="1"/>
        <v>#N/A</v>
      </c>
      <c r="GIJ538" s="22" t="e">
        <f ca="1"/>
        <v>#N/A</v>
      </c>
      <c r="GIK538" s="22" t="e">
        <f ca="1"/>
        <v>#N/A</v>
      </c>
      <c r="GIL538" s="22" t="e">
        <f ca="1"/>
        <v>#N/A</v>
      </c>
      <c r="GIM538" s="22" t="e">
        <f ca="1"/>
        <v>#N/A</v>
      </c>
      <c r="GIN538" s="22" t="e">
        <f ca="1"/>
        <v>#N/A</v>
      </c>
      <c r="GIO538" s="22" t="e">
        <f ca="1"/>
        <v>#N/A</v>
      </c>
      <c r="GIP538" s="22" t="e">
        <f ca="1"/>
        <v>#N/A</v>
      </c>
      <c r="GIQ538" s="22" t="e">
        <f ca="1"/>
        <v>#N/A</v>
      </c>
      <c r="GIR538" s="22" t="e">
        <f ca="1"/>
        <v>#N/A</v>
      </c>
      <c r="GIS538" s="22" t="e">
        <f ca="1"/>
        <v>#N/A</v>
      </c>
      <c r="GIT538" s="22" t="e">
        <f ca="1"/>
        <v>#N/A</v>
      </c>
      <c r="GIU538" s="22" t="e">
        <f ca="1"/>
        <v>#N/A</v>
      </c>
      <c r="GIV538" s="22" t="e">
        <f ca="1"/>
        <v>#N/A</v>
      </c>
      <c r="GIW538" s="22" t="e">
        <f ca="1"/>
        <v>#N/A</v>
      </c>
      <c r="GIX538" s="22" t="e">
        <f ca="1"/>
        <v>#N/A</v>
      </c>
      <c r="GIY538" s="22" t="e">
        <f ca="1"/>
        <v>#N/A</v>
      </c>
      <c r="GIZ538" s="22" t="e">
        <f ca="1"/>
        <v>#N/A</v>
      </c>
      <c r="GJA538" s="22" t="e">
        <f ca="1"/>
        <v>#N/A</v>
      </c>
      <c r="GJB538" s="22" t="e">
        <f ca="1"/>
        <v>#N/A</v>
      </c>
      <c r="GJC538" s="22" t="e">
        <f ca="1"/>
        <v>#N/A</v>
      </c>
      <c r="GJD538" s="22" t="e">
        <f ca="1"/>
        <v>#N/A</v>
      </c>
      <c r="GJE538" s="22" t="e">
        <f ca="1"/>
        <v>#N/A</v>
      </c>
      <c r="GJF538" s="22" t="e">
        <f ca="1"/>
        <v>#N/A</v>
      </c>
      <c r="GJG538" s="22" t="e">
        <f ca="1"/>
        <v>#N/A</v>
      </c>
      <c r="GJH538" s="22" t="e">
        <f ca="1"/>
        <v>#N/A</v>
      </c>
      <c r="GJI538" s="22" t="e">
        <f ca="1"/>
        <v>#N/A</v>
      </c>
      <c r="GJJ538" s="22" t="e">
        <f ca="1"/>
        <v>#N/A</v>
      </c>
      <c r="GJK538" s="22" t="e">
        <f ca="1"/>
        <v>#N/A</v>
      </c>
      <c r="GJL538" s="22" t="e">
        <f ca="1"/>
        <v>#N/A</v>
      </c>
      <c r="GJM538" s="22" t="e">
        <f ca="1"/>
        <v>#N/A</v>
      </c>
      <c r="GJN538" s="22" t="e">
        <f ca="1"/>
        <v>#N/A</v>
      </c>
      <c r="GJO538" s="22" t="e">
        <f ca="1"/>
        <v>#N/A</v>
      </c>
      <c r="GJP538" s="22" t="e">
        <f ca="1"/>
        <v>#N/A</v>
      </c>
      <c r="GJQ538" s="22" t="e">
        <f ca="1"/>
        <v>#N/A</v>
      </c>
      <c r="GJR538" s="22" t="e">
        <f ca="1"/>
        <v>#N/A</v>
      </c>
      <c r="GJS538" s="22" t="e">
        <f ca="1"/>
        <v>#N/A</v>
      </c>
      <c r="GJT538" s="22" t="e">
        <f ca="1"/>
        <v>#N/A</v>
      </c>
      <c r="GJU538" s="22" t="e">
        <f ca="1"/>
        <v>#N/A</v>
      </c>
      <c r="GJV538" s="22" t="e">
        <f ca="1"/>
        <v>#N/A</v>
      </c>
      <c r="GJW538" s="22" t="e">
        <f ca="1"/>
        <v>#N/A</v>
      </c>
      <c r="GJX538" s="22" t="e">
        <f ca="1"/>
        <v>#N/A</v>
      </c>
      <c r="GJY538" s="22" t="e">
        <f ca="1"/>
        <v>#N/A</v>
      </c>
      <c r="GJZ538" s="22" t="e">
        <f ca="1"/>
        <v>#N/A</v>
      </c>
      <c r="GKA538" s="22" t="e">
        <f ca="1"/>
        <v>#N/A</v>
      </c>
      <c r="GKB538" s="22" t="e">
        <f ca="1"/>
        <v>#N/A</v>
      </c>
      <c r="GKC538" s="22" t="e">
        <f ca="1"/>
        <v>#N/A</v>
      </c>
      <c r="GKD538" s="22" t="e">
        <f ca="1"/>
        <v>#N/A</v>
      </c>
      <c r="GKE538" s="22" t="e">
        <f ca="1"/>
        <v>#N/A</v>
      </c>
      <c r="GKF538" s="22" t="e">
        <f ca="1"/>
        <v>#N/A</v>
      </c>
      <c r="GKG538" s="22" t="e">
        <f ca="1"/>
        <v>#N/A</v>
      </c>
      <c r="GKH538" s="22" t="e">
        <f ca="1"/>
        <v>#N/A</v>
      </c>
      <c r="GKI538" s="22" t="e">
        <f ca="1"/>
        <v>#N/A</v>
      </c>
      <c r="GKJ538" s="22" t="e">
        <f ca="1"/>
        <v>#N/A</v>
      </c>
      <c r="GKK538" s="22" t="e">
        <f ca="1"/>
        <v>#N/A</v>
      </c>
      <c r="GKL538" s="22" t="e">
        <f ca="1"/>
        <v>#N/A</v>
      </c>
      <c r="GKM538" s="22" t="e">
        <f ca="1"/>
        <v>#N/A</v>
      </c>
      <c r="GKN538" s="22" t="e">
        <f ca="1"/>
        <v>#N/A</v>
      </c>
      <c r="GKO538" s="22" t="e">
        <f ca="1"/>
        <v>#N/A</v>
      </c>
      <c r="GKP538" s="22" t="e">
        <f ca="1"/>
        <v>#N/A</v>
      </c>
      <c r="GKQ538" s="22" t="e">
        <f ca="1"/>
        <v>#N/A</v>
      </c>
      <c r="GKR538" s="22" t="e">
        <f ca="1"/>
        <v>#N/A</v>
      </c>
      <c r="GKS538" s="22" t="e">
        <f ca="1"/>
        <v>#N/A</v>
      </c>
      <c r="GKT538" s="22" t="e">
        <f ca="1"/>
        <v>#N/A</v>
      </c>
      <c r="GKU538" s="22" t="e">
        <f ca="1"/>
        <v>#N/A</v>
      </c>
      <c r="GKV538" s="22" t="e">
        <f ca="1"/>
        <v>#N/A</v>
      </c>
      <c r="GKW538" s="22" t="e">
        <f ca="1"/>
        <v>#N/A</v>
      </c>
      <c r="GKX538" s="22" t="e">
        <f ca="1"/>
        <v>#N/A</v>
      </c>
      <c r="GKY538" s="22" t="e">
        <f ca="1"/>
        <v>#N/A</v>
      </c>
      <c r="GKZ538" s="22" t="e">
        <f ca="1"/>
        <v>#N/A</v>
      </c>
      <c r="GLA538" s="22" t="e">
        <f ca="1"/>
        <v>#N/A</v>
      </c>
      <c r="GLB538" s="22" t="e">
        <f ca="1"/>
        <v>#N/A</v>
      </c>
      <c r="GLC538" s="22" t="e">
        <f ca="1"/>
        <v>#N/A</v>
      </c>
      <c r="GLD538" s="22" t="e">
        <f ca="1"/>
        <v>#N/A</v>
      </c>
      <c r="GLE538" s="22" t="e">
        <f ca="1"/>
        <v>#N/A</v>
      </c>
      <c r="GLF538" s="22" t="e">
        <f ca="1"/>
        <v>#N/A</v>
      </c>
      <c r="GLG538" s="22" t="e">
        <f ca="1"/>
        <v>#N/A</v>
      </c>
      <c r="GLH538" s="22" t="e">
        <f ca="1"/>
        <v>#N/A</v>
      </c>
      <c r="GLI538" s="22" t="e">
        <f ca="1"/>
        <v>#N/A</v>
      </c>
      <c r="GLJ538" s="22" t="e">
        <f ca="1"/>
        <v>#N/A</v>
      </c>
      <c r="GLK538" s="22" t="e">
        <f ca="1"/>
        <v>#N/A</v>
      </c>
      <c r="GLL538" s="22" t="e">
        <f ca="1"/>
        <v>#N/A</v>
      </c>
      <c r="GLM538" s="22" t="e">
        <f ca="1"/>
        <v>#N/A</v>
      </c>
      <c r="GLN538" s="22" t="e">
        <f ca="1"/>
        <v>#N/A</v>
      </c>
      <c r="GLO538" s="22" t="e">
        <f ca="1"/>
        <v>#N/A</v>
      </c>
      <c r="GLP538" s="22" t="e">
        <f ca="1"/>
        <v>#N/A</v>
      </c>
      <c r="GLQ538" s="22" t="e">
        <f ca="1"/>
        <v>#N/A</v>
      </c>
      <c r="GLR538" s="22" t="e">
        <f ca="1"/>
        <v>#N/A</v>
      </c>
      <c r="GLS538" s="22" t="e">
        <f ca="1"/>
        <v>#N/A</v>
      </c>
      <c r="GLT538" s="22" t="e">
        <f ca="1"/>
        <v>#N/A</v>
      </c>
      <c r="GLU538" s="22" t="e">
        <f ca="1"/>
        <v>#N/A</v>
      </c>
      <c r="GLV538" s="22" t="e">
        <f ca="1"/>
        <v>#N/A</v>
      </c>
      <c r="GLW538" s="22" t="e">
        <f ca="1"/>
        <v>#N/A</v>
      </c>
      <c r="GLX538" s="22" t="e">
        <f ca="1"/>
        <v>#N/A</v>
      </c>
      <c r="GLY538" s="22" t="e">
        <f ca="1"/>
        <v>#N/A</v>
      </c>
      <c r="GLZ538" s="22" t="e">
        <f ca="1"/>
        <v>#N/A</v>
      </c>
      <c r="GMA538" s="22" t="e">
        <f ca="1"/>
        <v>#N/A</v>
      </c>
      <c r="GMB538" s="22" t="e">
        <f ca="1"/>
        <v>#N/A</v>
      </c>
      <c r="GMC538" s="22" t="e">
        <f ca="1"/>
        <v>#N/A</v>
      </c>
      <c r="GMD538" s="22" t="e">
        <f ca="1"/>
        <v>#N/A</v>
      </c>
      <c r="GME538" s="22" t="e">
        <f ca="1"/>
        <v>#N/A</v>
      </c>
      <c r="GMF538" s="22" t="e">
        <f ca="1"/>
        <v>#N/A</v>
      </c>
      <c r="GMG538" s="22" t="e">
        <f ca="1"/>
        <v>#N/A</v>
      </c>
      <c r="GMH538" s="22" t="e">
        <f ca="1"/>
        <v>#N/A</v>
      </c>
      <c r="GMI538" s="22" t="e">
        <f ca="1"/>
        <v>#N/A</v>
      </c>
      <c r="GMJ538" s="22" t="e">
        <f ca="1"/>
        <v>#N/A</v>
      </c>
      <c r="GMK538" s="22" t="e">
        <f ca="1"/>
        <v>#N/A</v>
      </c>
      <c r="GML538" s="22" t="e">
        <f ca="1"/>
        <v>#N/A</v>
      </c>
      <c r="GMM538" s="22" t="e">
        <f ca="1"/>
        <v>#N/A</v>
      </c>
      <c r="GMN538" s="22" t="e">
        <f ca="1"/>
        <v>#N/A</v>
      </c>
      <c r="GMO538" s="22" t="e">
        <f ca="1"/>
        <v>#N/A</v>
      </c>
      <c r="GMP538" s="22" t="e">
        <f ca="1"/>
        <v>#N/A</v>
      </c>
      <c r="GMQ538" s="22" t="e">
        <f ca="1"/>
        <v>#N/A</v>
      </c>
      <c r="GMR538" s="22" t="e">
        <f ca="1"/>
        <v>#N/A</v>
      </c>
      <c r="GMS538" s="22" t="e">
        <f ca="1"/>
        <v>#N/A</v>
      </c>
      <c r="GMT538" s="22" t="e">
        <f ca="1"/>
        <v>#N/A</v>
      </c>
      <c r="GMU538" s="22" t="e">
        <f ca="1"/>
        <v>#N/A</v>
      </c>
      <c r="GMV538" s="22" t="e">
        <f ca="1"/>
        <v>#N/A</v>
      </c>
      <c r="GMW538" s="22" t="e">
        <f ca="1"/>
        <v>#N/A</v>
      </c>
      <c r="GMX538" s="22" t="e">
        <f ca="1"/>
        <v>#N/A</v>
      </c>
      <c r="GMY538" s="22" t="e">
        <f ca="1"/>
        <v>#N/A</v>
      </c>
      <c r="GMZ538" s="22" t="e">
        <f ca="1"/>
        <v>#N/A</v>
      </c>
      <c r="GNA538" s="22" t="e">
        <f ca="1"/>
        <v>#N/A</v>
      </c>
      <c r="GNB538" s="22" t="e">
        <f ca="1"/>
        <v>#N/A</v>
      </c>
      <c r="GNC538" s="22" t="e">
        <f ca="1"/>
        <v>#N/A</v>
      </c>
      <c r="GND538" s="22" t="e">
        <f ca="1"/>
        <v>#N/A</v>
      </c>
      <c r="GNE538" s="22" t="e">
        <f ca="1"/>
        <v>#N/A</v>
      </c>
      <c r="GNF538" s="22" t="e">
        <f ca="1"/>
        <v>#N/A</v>
      </c>
      <c r="GNG538" s="22" t="e">
        <f ca="1"/>
        <v>#N/A</v>
      </c>
      <c r="GNH538" s="22" t="e">
        <f ca="1"/>
        <v>#N/A</v>
      </c>
      <c r="GNI538" s="22" t="e">
        <f ca="1"/>
        <v>#N/A</v>
      </c>
      <c r="GNJ538" s="22" t="e">
        <f ca="1"/>
        <v>#N/A</v>
      </c>
      <c r="GNK538" s="22" t="e">
        <f ca="1"/>
        <v>#N/A</v>
      </c>
      <c r="GNL538" s="22" t="e">
        <f ca="1"/>
        <v>#N/A</v>
      </c>
      <c r="GNM538" s="22" t="e">
        <f ca="1"/>
        <v>#N/A</v>
      </c>
      <c r="GNN538" s="22" t="e">
        <f ca="1"/>
        <v>#N/A</v>
      </c>
      <c r="GNO538" s="22" t="e">
        <f ca="1"/>
        <v>#N/A</v>
      </c>
      <c r="GNP538" s="22" t="e">
        <f ca="1"/>
        <v>#N/A</v>
      </c>
      <c r="GNQ538" s="22" t="e">
        <f ca="1"/>
        <v>#N/A</v>
      </c>
      <c r="GNR538" s="22" t="e">
        <f ca="1"/>
        <v>#N/A</v>
      </c>
      <c r="GNS538" s="22" t="e">
        <f ca="1"/>
        <v>#N/A</v>
      </c>
      <c r="GNT538" s="22" t="e">
        <f ca="1"/>
        <v>#N/A</v>
      </c>
      <c r="GNU538" s="22" t="e">
        <f ca="1"/>
        <v>#N/A</v>
      </c>
      <c r="GNV538" s="22" t="e">
        <f ca="1"/>
        <v>#N/A</v>
      </c>
      <c r="GNW538" s="22" t="e">
        <f ca="1"/>
        <v>#N/A</v>
      </c>
      <c r="GNX538" s="22" t="e">
        <f ca="1"/>
        <v>#N/A</v>
      </c>
      <c r="GNY538" s="22" t="e">
        <f ca="1"/>
        <v>#N/A</v>
      </c>
      <c r="GNZ538" s="22" t="e">
        <f ca="1"/>
        <v>#N/A</v>
      </c>
      <c r="GOA538" s="22" t="e">
        <f ca="1"/>
        <v>#N/A</v>
      </c>
      <c r="GOB538" s="22" t="e">
        <f ca="1"/>
        <v>#N/A</v>
      </c>
      <c r="GOC538" s="22" t="e">
        <f ca="1"/>
        <v>#N/A</v>
      </c>
      <c r="GOD538" s="22" t="e">
        <f ca="1"/>
        <v>#N/A</v>
      </c>
      <c r="GOE538" s="22" t="e">
        <f ca="1"/>
        <v>#N/A</v>
      </c>
      <c r="GOF538" s="22" t="e">
        <f ca="1"/>
        <v>#N/A</v>
      </c>
      <c r="GOG538" s="22" t="e">
        <f ca="1"/>
        <v>#N/A</v>
      </c>
      <c r="GOH538" s="22" t="e">
        <f ca="1"/>
        <v>#N/A</v>
      </c>
      <c r="GOI538" s="22" t="e">
        <f ca="1"/>
        <v>#N/A</v>
      </c>
      <c r="GOJ538" s="22" t="e">
        <f ca="1"/>
        <v>#N/A</v>
      </c>
      <c r="GOK538" s="22" t="e">
        <f ca="1"/>
        <v>#N/A</v>
      </c>
      <c r="GOL538" s="22" t="e">
        <f ca="1"/>
        <v>#N/A</v>
      </c>
      <c r="GOM538" s="22" t="e">
        <f ca="1"/>
        <v>#N/A</v>
      </c>
      <c r="GON538" s="22" t="e">
        <f ca="1"/>
        <v>#N/A</v>
      </c>
      <c r="GOO538" s="22" t="e">
        <f ca="1"/>
        <v>#N/A</v>
      </c>
      <c r="GOP538" s="22" t="e">
        <f ca="1"/>
        <v>#N/A</v>
      </c>
      <c r="GOQ538" s="22" t="e">
        <f ca="1"/>
        <v>#N/A</v>
      </c>
      <c r="GOR538" s="22" t="e">
        <f ca="1"/>
        <v>#N/A</v>
      </c>
      <c r="GOS538" s="22" t="e">
        <f ca="1"/>
        <v>#N/A</v>
      </c>
      <c r="GOT538" s="22" t="e">
        <f ca="1"/>
        <v>#N/A</v>
      </c>
      <c r="GOU538" s="22" t="e">
        <f ca="1"/>
        <v>#N/A</v>
      </c>
      <c r="GOV538" s="22" t="e">
        <f ca="1"/>
        <v>#N/A</v>
      </c>
      <c r="GOW538" s="22" t="e">
        <f ca="1"/>
        <v>#N/A</v>
      </c>
      <c r="GOX538" s="22" t="e">
        <f ca="1"/>
        <v>#N/A</v>
      </c>
      <c r="GOY538" s="22" t="e">
        <f ca="1"/>
        <v>#N/A</v>
      </c>
      <c r="GOZ538" s="22" t="e">
        <f ca="1"/>
        <v>#N/A</v>
      </c>
      <c r="GPA538" s="22" t="e">
        <f ca="1"/>
        <v>#N/A</v>
      </c>
      <c r="GPB538" s="22" t="e">
        <f ca="1"/>
        <v>#N/A</v>
      </c>
      <c r="GPC538" s="22" t="e">
        <f ca="1"/>
        <v>#N/A</v>
      </c>
      <c r="GPD538" s="22" t="e">
        <f ca="1"/>
        <v>#N/A</v>
      </c>
      <c r="GPE538" s="22" t="e">
        <f ca="1"/>
        <v>#N/A</v>
      </c>
      <c r="GPF538" s="22" t="e">
        <f ca="1"/>
        <v>#N/A</v>
      </c>
      <c r="GPG538" s="22" t="e">
        <f ca="1"/>
        <v>#N/A</v>
      </c>
      <c r="GPH538" s="22" t="e">
        <f ca="1"/>
        <v>#N/A</v>
      </c>
      <c r="GPI538" s="22" t="e">
        <f ca="1"/>
        <v>#N/A</v>
      </c>
      <c r="GPJ538" s="22" t="e">
        <f ca="1"/>
        <v>#N/A</v>
      </c>
      <c r="GPK538" s="22" t="e">
        <f ca="1"/>
        <v>#N/A</v>
      </c>
      <c r="GPL538" s="22" t="e">
        <f ca="1"/>
        <v>#N/A</v>
      </c>
      <c r="GPM538" s="22" t="e">
        <f ca="1"/>
        <v>#N/A</v>
      </c>
      <c r="GPN538" s="22" t="e">
        <f ca="1"/>
        <v>#N/A</v>
      </c>
      <c r="GPO538" s="22" t="e">
        <f ca="1"/>
        <v>#N/A</v>
      </c>
      <c r="GPP538" s="22" t="e">
        <f ca="1"/>
        <v>#N/A</v>
      </c>
      <c r="GPQ538" s="22" t="e">
        <f ca="1"/>
        <v>#N/A</v>
      </c>
      <c r="GPR538" s="22" t="e">
        <f ca="1"/>
        <v>#N/A</v>
      </c>
      <c r="GPS538" s="22" t="e">
        <f ca="1"/>
        <v>#N/A</v>
      </c>
      <c r="GPT538" s="22" t="e">
        <f ca="1"/>
        <v>#N/A</v>
      </c>
      <c r="GPU538" s="22" t="e">
        <f ca="1"/>
        <v>#N/A</v>
      </c>
      <c r="GPV538" s="22" t="e">
        <f ca="1"/>
        <v>#N/A</v>
      </c>
      <c r="GPW538" s="22" t="e">
        <f ca="1"/>
        <v>#N/A</v>
      </c>
      <c r="GPX538" s="22" t="e">
        <f ca="1"/>
        <v>#N/A</v>
      </c>
      <c r="GPY538" s="22" t="e">
        <f ca="1"/>
        <v>#N/A</v>
      </c>
      <c r="GPZ538" s="22" t="e">
        <f ca="1"/>
        <v>#N/A</v>
      </c>
      <c r="GQA538" s="22" t="e">
        <f ca="1"/>
        <v>#N/A</v>
      </c>
      <c r="GQB538" s="22" t="e">
        <f ca="1"/>
        <v>#N/A</v>
      </c>
      <c r="GQC538" s="22" t="e">
        <f ca="1"/>
        <v>#N/A</v>
      </c>
      <c r="GQD538" s="22" t="e">
        <f ca="1"/>
        <v>#N/A</v>
      </c>
      <c r="GQE538" s="22" t="e">
        <f ca="1"/>
        <v>#N/A</v>
      </c>
      <c r="GQF538" s="22" t="e">
        <f ca="1"/>
        <v>#N/A</v>
      </c>
      <c r="GQG538" s="22" t="e">
        <f ca="1"/>
        <v>#N/A</v>
      </c>
      <c r="GQH538" s="22" t="e">
        <f ca="1"/>
        <v>#N/A</v>
      </c>
      <c r="GQI538" s="22" t="e">
        <f ca="1"/>
        <v>#N/A</v>
      </c>
      <c r="GQJ538" s="22" t="e">
        <f ca="1"/>
        <v>#N/A</v>
      </c>
      <c r="GQK538" s="22" t="e">
        <f ca="1"/>
        <v>#N/A</v>
      </c>
      <c r="GQL538" s="22" t="e">
        <f ca="1"/>
        <v>#N/A</v>
      </c>
      <c r="GQM538" s="22" t="e">
        <f ca="1"/>
        <v>#N/A</v>
      </c>
      <c r="GQN538" s="22" t="e">
        <f ca="1"/>
        <v>#N/A</v>
      </c>
      <c r="GQO538" s="22" t="e">
        <f ca="1"/>
        <v>#N/A</v>
      </c>
      <c r="GQP538" s="22" t="e">
        <f ca="1"/>
        <v>#N/A</v>
      </c>
      <c r="GQQ538" s="22" t="e">
        <f ca="1"/>
        <v>#N/A</v>
      </c>
      <c r="GQR538" s="22" t="e">
        <f ca="1"/>
        <v>#N/A</v>
      </c>
      <c r="GQS538" s="22" t="e">
        <f ca="1"/>
        <v>#N/A</v>
      </c>
      <c r="GQT538" s="22" t="e">
        <f ca="1"/>
        <v>#N/A</v>
      </c>
      <c r="GQU538" s="22" t="e">
        <f ca="1"/>
        <v>#N/A</v>
      </c>
      <c r="GQV538" s="22" t="e">
        <f ca="1"/>
        <v>#N/A</v>
      </c>
      <c r="GQW538" s="22" t="e">
        <f ca="1"/>
        <v>#N/A</v>
      </c>
      <c r="GQX538" s="22" t="e">
        <f ca="1"/>
        <v>#N/A</v>
      </c>
      <c r="GQY538" s="22" t="e">
        <f ca="1"/>
        <v>#N/A</v>
      </c>
      <c r="GQZ538" s="22" t="e">
        <f ca="1"/>
        <v>#N/A</v>
      </c>
      <c r="GRA538" s="22" t="e">
        <f ca="1"/>
        <v>#N/A</v>
      </c>
      <c r="GRB538" s="22" t="e">
        <f ca="1"/>
        <v>#N/A</v>
      </c>
      <c r="GRC538" s="22" t="e">
        <f ca="1"/>
        <v>#N/A</v>
      </c>
      <c r="GRD538" s="22" t="e">
        <f ca="1"/>
        <v>#N/A</v>
      </c>
      <c r="GRE538" s="22" t="e">
        <f ca="1"/>
        <v>#N/A</v>
      </c>
      <c r="GRF538" s="22" t="e">
        <f ca="1"/>
        <v>#N/A</v>
      </c>
      <c r="GRG538" s="22" t="e">
        <f ca="1"/>
        <v>#N/A</v>
      </c>
      <c r="GRH538" s="22" t="e">
        <f ca="1"/>
        <v>#N/A</v>
      </c>
      <c r="GRI538" s="22" t="e">
        <f ca="1"/>
        <v>#N/A</v>
      </c>
      <c r="GRJ538" s="22" t="e">
        <f ca="1"/>
        <v>#N/A</v>
      </c>
      <c r="GRK538" s="22" t="e">
        <f ca="1"/>
        <v>#N/A</v>
      </c>
      <c r="GRL538" s="22" t="e">
        <f ca="1"/>
        <v>#N/A</v>
      </c>
      <c r="GRM538" s="22" t="e">
        <f ca="1"/>
        <v>#N/A</v>
      </c>
      <c r="GRN538" s="22" t="e">
        <f ca="1"/>
        <v>#N/A</v>
      </c>
      <c r="GRO538" s="22" t="e">
        <f ca="1"/>
        <v>#N/A</v>
      </c>
      <c r="GRP538" s="22" t="e">
        <f ca="1"/>
        <v>#N/A</v>
      </c>
      <c r="GRQ538" s="22" t="e">
        <f ca="1"/>
        <v>#N/A</v>
      </c>
      <c r="GRR538" s="22" t="e">
        <f ca="1"/>
        <v>#N/A</v>
      </c>
      <c r="GRS538" s="22" t="e">
        <f ca="1"/>
        <v>#N/A</v>
      </c>
      <c r="GRT538" s="22" t="e">
        <f ca="1"/>
        <v>#N/A</v>
      </c>
      <c r="GRU538" s="22" t="e">
        <f ca="1"/>
        <v>#N/A</v>
      </c>
      <c r="GRV538" s="22" t="e">
        <f ca="1"/>
        <v>#N/A</v>
      </c>
      <c r="GRW538" s="22" t="e">
        <f ca="1"/>
        <v>#N/A</v>
      </c>
      <c r="GRX538" s="22" t="e">
        <f ca="1"/>
        <v>#N/A</v>
      </c>
      <c r="GRY538" s="22" t="e">
        <f ca="1"/>
        <v>#N/A</v>
      </c>
      <c r="GRZ538" s="22" t="e">
        <f ca="1"/>
        <v>#N/A</v>
      </c>
      <c r="GSA538" s="22" t="e">
        <f ca="1"/>
        <v>#N/A</v>
      </c>
      <c r="GSB538" s="22" t="e">
        <f ca="1"/>
        <v>#N/A</v>
      </c>
      <c r="GSC538" s="22" t="e">
        <f ca="1"/>
        <v>#N/A</v>
      </c>
      <c r="GSD538" s="22" t="e">
        <f ca="1"/>
        <v>#N/A</v>
      </c>
      <c r="GSE538" s="22" t="e">
        <f ca="1"/>
        <v>#N/A</v>
      </c>
      <c r="GSF538" s="22" t="e">
        <f ca="1"/>
        <v>#N/A</v>
      </c>
      <c r="GSG538" s="22" t="e">
        <f ca="1"/>
        <v>#N/A</v>
      </c>
      <c r="GSH538" s="22" t="e">
        <f ca="1"/>
        <v>#N/A</v>
      </c>
      <c r="GSI538" s="22" t="e">
        <f ca="1"/>
        <v>#N/A</v>
      </c>
      <c r="GSJ538" s="22" t="e">
        <f ca="1"/>
        <v>#N/A</v>
      </c>
      <c r="GSK538" s="22" t="e">
        <f ca="1"/>
        <v>#N/A</v>
      </c>
      <c r="GSL538" s="22" t="e">
        <f ca="1"/>
        <v>#N/A</v>
      </c>
      <c r="GSM538" s="22" t="e">
        <f ca="1"/>
        <v>#N/A</v>
      </c>
      <c r="GSN538" s="22" t="e">
        <f ca="1"/>
        <v>#N/A</v>
      </c>
      <c r="GSO538" s="22" t="e">
        <f ca="1"/>
        <v>#N/A</v>
      </c>
      <c r="GSP538" s="22" t="e">
        <f ca="1"/>
        <v>#N/A</v>
      </c>
      <c r="GSQ538" s="22" t="e">
        <f ca="1"/>
        <v>#N/A</v>
      </c>
      <c r="GSR538" s="22" t="e">
        <f ca="1"/>
        <v>#N/A</v>
      </c>
      <c r="GSS538" s="22" t="e">
        <f ca="1"/>
        <v>#N/A</v>
      </c>
      <c r="GST538" s="22" t="e">
        <f ca="1"/>
        <v>#N/A</v>
      </c>
      <c r="GSU538" s="22" t="e">
        <f ca="1"/>
        <v>#N/A</v>
      </c>
      <c r="GSV538" s="22" t="e">
        <f ca="1"/>
        <v>#N/A</v>
      </c>
      <c r="GSW538" s="22" t="e">
        <f ca="1"/>
        <v>#N/A</v>
      </c>
      <c r="GSX538" s="22" t="e">
        <f ca="1"/>
        <v>#N/A</v>
      </c>
      <c r="GSY538" s="22" t="e">
        <f ca="1"/>
        <v>#N/A</v>
      </c>
      <c r="GSZ538" s="22" t="e">
        <f ca="1"/>
        <v>#N/A</v>
      </c>
      <c r="GTA538" s="22" t="e">
        <f ca="1"/>
        <v>#N/A</v>
      </c>
      <c r="GTB538" s="22" t="e">
        <f ca="1"/>
        <v>#N/A</v>
      </c>
      <c r="GTC538" s="22" t="e">
        <f ca="1"/>
        <v>#N/A</v>
      </c>
      <c r="GTD538" s="22" t="e">
        <f ca="1"/>
        <v>#N/A</v>
      </c>
      <c r="GTE538" s="22" t="e">
        <f ca="1"/>
        <v>#N/A</v>
      </c>
      <c r="GTF538" s="22" t="e">
        <f ca="1"/>
        <v>#N/A</v>
      </c>
      <c r="GTG538" s="22" t="e">
        <f ca="1"/>
        <v>#N/A</v>
      </c>
      <c r="GTH538" s="22" t="e">
        <f ca="1"/>
        <v>#N/A</v>
      </c>
      <c r="GTI538" s="22" t="e">
        <f ca="1"/>
        <v>#N/A</v>
      </c>
      <c r="GTJ538" s="22" t="e">
        <f ca="1"/>
        <v>#N/A</v>
      </c>
      <c r="GTK538" s="22" t="e">
        <f ca="1"/>
        <v>#N/A</v>
      </c>
      <c r="GTL538" s="22" t="e">
        <f ca="1"/>
        <v>#N/A</v>
      </c>
      <c r="GTM538" s="22" t="e">
        <f ca="1"/>
        <v>#N/A</v>
      </c>
      <c r="GTN538" s="22" t="e">
        <f ca="1"/>
        <v>#N/A</v>
      </c>
      <c r="GTO538" s="22" t="e">
        <f ca="1"/>
        <v>#N/A</v>
      </c>
      <c r="GTP538" s="22" t="e">
        <f ca="1"/>
        <v>#N/A</v>
      </c>
      <c r="GTQ538" s="22" t="e">
        <f ca="1"/>
        <v>#N/A</v>
      </c>
      <c r="GTR538" s="22" t="e">
        <f ca="1"/>
        <v>#N/A</v>
      </c>
      <c r="GTS538" s="22" t="e">
        <f ca="1"/>
        <v>#N/A</v>
      </c>
      <c r="GTT538" s="22" t="e">
        <f ca="1"/>
        <v>#N/A</v>
      </c>
      <c r="GTU538" s="22" t="e">
        <f ca="1"/>
        <v>#N/A</v>
      </c>
      <c r="GTV538" s="22" t="e">
        <f ca="1"/>
        <v>#N/A</v>
      </c>
      <c r="GTW538" s="22" t="e">
        <f ca="1"/>
        <v>#N/A</v>
      </c>
      <c r="GTX538" s="22" t="e">
        <f ca="1"/>
        <v>#N/A</v>
      </c>
      <c r="GTY538" s="22" t="e">
        <f ca="1"/>
        <v>#N/A</v>
      </c>
      <c r="GTZ538" s="22" t="e">
        <f ca="1"/>
        <v>#N/A</v>
      </c>
      <c r="GUA538" s="22" t="e">
        <f ca="1"/>
        <v>#N/A</v>
      </c>
      <c r="GUB538" s="22" t="e">
        <f ca="1"/>
        <v>#N/A</v>
      </c>
      <c r="GUC538" s="22" t="e">
        <f ca="1"/>
        <v>#N/A</v>
      </c>
      <c r="GUD538" s="22" t="e">
        <f ca="1"/>
        <v>#N/A</v>
      </c>
      <c r="GUE538" s="22" t="e">
        <f ca="1"/>
        <v>#N/A</v>
      </c>
      <c r="GUF538" s="22" t="e">
        <f ca="1"/>
        <v>#N/A</v>
      </c>
      <c r="GUG538" s="22" t="e">
        <f ca="1"/>
        <v>#N/A</v>
      </c>
      <c r="GUH538" s="22" t="e">
        <f ca="1"/>
        <v>#N/A</v>
      </c>
      <c r="GUI538" s="22" t="e">
        <f ca="1"/>
        <v>#N/A</v>
      </c>
      <c r="GUJ538" s="22" t="e">
        <f ca="1"/>
        <v>#N/A</v>
      </c>
      <c r="GUK538" s="22" t="e">
        <f ca="1"/>
        <v>#N/A</v>
      </c>
      <c r="GUL538" s="22" t="e">
        <f ca="1"/>
        <v>#N/A</v>
      </c>
      <c r="GUM538" s="22" t="e">
        <f ca="1"/>
        <v>#N/A</v>
      </c>
      <c r="GUN538" s="22" t="e">
        <f ca="1"/>
        <v>#N/A</v>
      </c>
      <c r="GUO538" s="22" t="e">
        <f ca="1"/>
        <v>#N/A</v>
      </c>
      <c r="GUP538" s="22" t="e">
        <f ca="1"/>
        <v>#N/A</v>
      </c>
      <c r="GUQ538" s="22" t="e">
        <f ca="1"/>
        <v>#N/A</v>
      </c>
      <c r="GUR538" s="22" t="e">
        <f ca="1"/>
        <v>#N/A</v>
      </c>
      <c r="GUS538" s="22" t="e">
        <f ca="1"/>
        <v>#N/A</v>
      </c>
      <c r="GUT538" s="22" t="e">
        <f ca="1"/>
        <v>#N/A</v>
      </c>
      <c r="GUU538" s="22" t="e">
        <f ca="1"/>
        <v>#N/A</v>
      </c>
      <c r="GUV538" s="22" t="e">
        <f ca="1"/>
        <v>#N/A</v>
      </c>
      <c r="GUW538" s="22" t="e">
        <f ca="1"/>
        <v>#N/A</v>
      </c>
      <c r="GUX538" s="22" t="e">
        <f ca="1"/>
        <v>#N/A</v>
      </c>
      <c r="GUY538" s="22" t="e">
        <f ca="1"/>
        <v>#N/A</v>
      </c>
      <c r="GUZ538" s="22" t="e">
        <f ca="1"/>
        <v>#N/A</v>
      </c>
      <c r="GVA538" s="22" t="e">
        <f ca="1"/>
        <v>#N/A</v>
      </c>
      <c r="GVB538" s="22" t="e">
        <f ca="1"/>
        <v>#N/A</v>
      </c>
      <c r="GVC538" s="22" t="e">
        <f ca="1"/>
        <v>#N/A</v>
      </c>
      <c r="GVD538" s="22" t="e">
        <f ca="1"/>
        <v>#N/A</v>
      </c>
      <c r="GVE538" s="22" t="e">
        <f ca="1"/>
        <v>#N/A</v>
      </c>
      <c r="GVF538" s="22" t="e">
        <f ca="1"/>
        <v>#N/A</v>
      </c>
      <c r="GVG538" s="22" t="e">
        <f ca="1"/>
        <v>#N/A</v>
      </c>
      <c r="GVH538" s="22" t="e">
        <f ca="1"/>
        <v>#N/A</v>
      </c>
      <c r="GVI538" s="22" t="e">
        <f ca="1"/>
        <v>#N/A</v>
      </c>
      <c r="GVJ538" s="22" t="e">
        <f ca="1"/>
        <v>#N/A</v>
      </c>
      <c r="GVK538" s="22" t="e">
        <f ca="1"/>
        <v>#N/A</v>
      </c>
      <c r="GVL538" s="22" t="e">
        <f ca="1"/>
        <v>#N/A</v>
      </c>
      <c r="GVM538" s="22" t="e">
        <f ca="1"/>
        <v>#N/A</v>
      </c>
      <c r="GVN538" s="22" t="e">
        <f ca="1"/>
        <v>#N/A</v>
      </c>
      <c r="GVO538" s="22" t="e">
        <f ca="1"/>
        <v>#N/A</v>
      </c>
      <c r="GVP538" s="22" t="e">
        <f ca="1"/>
        <v>#N/A</v>
      </c>
      <c r="GVQ538" s="22" t="e">
        <f ca="1"/>
        <v>#N/A</v>
      </c>
      <c r="GVR538" s="22" t="e">
        <f ca="1"/>
        <v>#N/A</v>
      </c>
      <c r="GVS538" s="22" t="e">
        <f ca="1"/>
        <v>#N/A</v>
      </c>
      <c r="GVT538" s="22" t="e">
        <f ca="1"/>
        <v>#N/A</v>
      </c>
      <c r="GVU538" s="22" t="e">
        <f ca="1"/>
        <v>#N/A</v>
      </c>
      <c r="GVV538" s="22" t="e">
        <f ca="1"/>
        <v>#N/A</v>
      </c>
      <c r="GVW538" s="22" t="e">
        <f ca="1"/>
        <v>#N/A</v>
      </c>
      <c r="GVX538" s="22" t="e">
        <f ca="1"/>
        <v>#N/A</v>
      </c>
      <c r="GVY538" s="22" t="e">
        <f ca="1"/>
        <v>#N/A</v>
      </c>
      <c r="GVZ538" s="22" t="e">
        <f ca="1"/>
        <v>#N/A</v>
      </c>
      <c r="GWA538" s="22" t="e">
        <f ca="1"/>
        <v>#N/A</v>
      </c>
      <c r="GWB538" s="22" t="e">
        <f ca="1"/>
        <v>#N/A</v>
      </c>
      <c r="GWC538" s="22" t="e">
        <f ca="1"/>
        <v>#N/A</v>
      </c>
      <c r="GWD538" s="22" t="e">
        <f ca="1"/>
        <v>#N/A</v>
      </c>
      <c r="GWE538" s="22" t="e">
        <f ca="1"/>
        <v>#N/A</v>
      </c>
      <c r="GWF538" s="22" t="e">
        <f ca="1"/>
        <v>#N/A</v>
      </c>
      <c r="GWG538" s="22" t="e">
        <f ca="1"/>
        <v>#N/A</v>
      </c>
      <c r="GWH538" s="22" t="e">
        <f ca="1"/>
        <v>#N/A</v>
      </c>
      <c r="GWI538" s="22" t="e">
        <f ca="1"/>
        <v>#N/A</v>
      </c>
      <c r="GWJ538" s="22" t="e">
        <f ca="1"/>
        <v>#N/A</v>
      </c>
      <c r="GWK538" s="22" t="e">
        <f ca="1"/>
        <v>#N/A</v>
      </c>
      <c r="GWL538" s="22" t="e">
        <f ca="1"/>
        <v>#N/A</v>
      </c>
      <c r="GWM538" s="22" t="e">
        <f ca="1"/>
        <v>#N/A</v>
      </c>
      <c r="GWN538" s="22" t="e">
        <f ca="1"/>
        <v>#N/A</v>
      </c>
      <c r="GWO538" s="22" t="e">
        <f ca="1"/>
        <v>#N/A</v>
      </c>
      <c r="GWP538" s="22" t="e">
        <f ca="1"/>
        <v>#N/A</v>
      </c>
      <c r="GWQ538" s="22" t="e">
        <f ca="1"/>
        <v>#N/A</v>
      </c>
      <c r="GWR538" s="22" t="e">
        <f ca="1"/>
        <v>#N/A</v>
      </c>
      <c r="GWS538" s="22" t="e">
        <f ca="1"/>
        <v>#N/A</v>
      </c>
      <c r="GWT538" s="22" t="e">
        <f ca="1"/>
        <v>#N/A</v>
      </c>
      <c r="GWU538" s="22" t="e">
        <f ca="1"/>
        <v>#N/A</v>
      </c>
      <c r="GWV538" s="22" t="e">
        <f ca="1"/>
        <v>#N/A</v>
      </c>
      <c r="GWW538" s="22" t="e">
        <f ca="1"/>
        <v>#N/A</v>
      </c>
      <c r="GWX538" s="22" t="e">
        <f ca="1"/>
        <v>#N/A</v>
      </c>
      <c r="GWY538" s="22" t="e">
        <f ca="1"/>
        <v>#N/A</v>
      </c>
      <c r="GWZ538" s="22" t="e">
        <f ca="1"/>
        <v>#N/A</v>
      </c>
      <c r="GXA538" s="22" t="e">
        <f ca="1"/>
        <v>#N/A</v>
      </c>
      <c r="GXB538" s="22" t="e">
        <f ca="1"/>
        <v>#N/A</v>
      </c>
      <c r="GXC538" s="22" t="e">
        <f ca="1"/>
        <v>#N/A</v>
      </c>
      <c r="GXD538" s="22" t="e">
        <f ca="1"/>
        <v>#N/A</v>
      </c>
      <c r="GXE538" s="22" t="e">
        <f ca="1"/>
        <v>#N/A</v>
      </c>
      <c r="GXF538" s="22" t="e">
        <f ca="1"/>
        <v>#N/A</v>
      </c>
      <c r="GXG538" s="22" t="e">
        <f ca="1"/>
        <v>#N/A</v>
      </c>
      <c r="GXH538" s="22" t="e">
        <f ca="1"/>
        <v>#N/A</v>
      </c>
      <c r="GXI538" s="22" t="e">
        <f ca="1"/>
        <v>#N/A</v>
      </c>
      <c r="GXJ538" s="22" t="e">
        <f ca="1"/>
        <v>#N/A</v>
      </c>
      <c r="GXK538" s="22" t="e">
        <f ca="1"/>
        <v>#N/A</v>
      </c>
      <c r="GXL538" s="22" t="e">
        <f ca="1"/>
        <v>#N/A</v>
      </c>
      <c r="GXM538" s="22" t="e">
        <f ca="1"/>
        <v>#N/A</v>
      </c>
      <c r="GXN538" s="22" t="e">
        <f ca="1"/>
        <v>#N/A</v>
      </c>
      <c r="GXO538" s="22" t="e">
        <f ca="1"/>
        <v>#N/A</v>
      </c>
      <c r="GXP538" s="22" t="e">
        <f ca="1"/>
        <v>#N/A</v>
      </c>
      <c r="GXQ538" s="22" t="e">
        <f ca="1"/>
        <v>#N/A</v>
      </c>
      <c r="GXR538" s="22" t="e">
        <f ca="1"/>
        <v>#N/A</v>
      </c>
      <c r="GXS538" s="22" t="e">
        <f ca="1"/>
        <v>#N/A</v>
      </c>
      <c r="GXT538" s="22" t="e">
        <f ca="1"/>
        <v>#N/A</v>
      </c>
      <c r="GXU538" s="22" t="e">
        <f ca="1"/>
        <v>#N/A</v>
      </c>
      <c r="GXV538" s="22" t="e">
        <f ca="1"/>
        <v>#N/A</v>
      </c>
      <c r="GXW538" s="22" t="e">
        <f ca="1"/>
        <v>#N/A</v>
      </c>
      <c r="GXX538" s="22" t="e">
        <f ca="1"/>
        <v>#N/A</v>
      </c>
      <c r="GXY538" s="22" t="e">
        <f ca="1"/>
        <v>#N/A</v>
      </c>
      <c r="GXZ538" s="22" t="e">
        <f ca="1"/>
        <v>#N/A</v>
      </c>
      <c r="GYA538" s="22" t="e">
        <f ca="1"/>
        <v>#N/A</v>
      </c>
      <c r="GYB538" s="22" t="e">
        <f ca="1"/>
        <v>#N/A</v>
      </c>
      <c r="GYC538" s="22" t="e">
        <f ca="1"/>
        <v>#N/A</v>
      </c>
      <c r="GYD538" s="22" t="e">
        <f ca="1"/>
        <v>#N/A</v>
      </c>
      <c r="GYE538" s="22" t="e">
        <f ca="1"/>
        <v>#N/A</v>
      </c>
      <c r="GYF538" s="22" t="e">
        <f ca="1"/>
        <v>#N/A</v>
      </c>
      <c r="GYG538" s="22" t="e">
        <f ca="1"/>
        <v>#N/A</v>
      </c>
      <c r="GYH538" s="22" t="e">
        <f ca="1"/>
        <v>#N/A</v>
      </c>
      <c r="GYI538" s="22" t="e">
        <f ca="1"/>
        <v>#N/A</v>
      </c>
      <c r="GYJ538" s="22" t="e">
        <f ca="1"/>
        <v>#N/A</v>
      </c>
      <c r="GYK538" s="22" t="e">
        <f ca="1"/>
        <v>#N/A</v>
      </c>
      <c r="GYL538" s="22" t="e">
        <f ca="1"/>
        <v>#N/A</v>
      </c>
      <c r="GYM538" s="22" t="e">
        <f ca="1"/>
        <v>#N/A</v>
      </c>
      <c r="GYN538" s="22" t="e">
        <f ca="1"/>
        <v>#N/A</v>
      </c>
      <c r="GYO538" s="22" t="e">
        <f ca="1"/>
        <v>#N/A</v>
      </c>
      <c r="GYP538" s="22" t="e">
        <f ca="1"/>
        <v>#N/A</v>
      </c>
      <c r="GYQ538" s="22" t="e">
        <f ca="1"/>
        <v>#N/A</v>
      </c>
      <c r="GYR538" s="22" t="e">
        <f ca="1"/>
        <v>#N/A</v>
      </c>
      <c r="GYS538" s="22" t="e">
        <f ca="1"/>
        <v>#N/A</v>
      </c>
      <c r="GYT538" s="22" t="e">
        <f ca="1"/>
        <v>#N/A</v>
      </c>
      <c r="GYU538" s="22" t="e">
        <f ca="1"/>
        <v>#N/A</v>
      </c>
      <c r="GYV538" s="22" t="e">
        <f ca="1"/>
        <v>#N/A</v>
      </c>
      <c r="GYW538" s="22" t="e">
        <f ca="1"/>
        <v>#N/A</v>
      </c>
      <c r="GYX538" s="22" t="e">
        <f ca="1"/>
        <v>#N/A</v>
      </c>
      <c r="GYY538" s="22" t="e">
        <f ca="1"/>
        <v>#N/A</v>
      </c>
      <c r="GYZ538" s="22" t="e">
        <f ca="1"/>
        <v>#N/A</v>
      </c>
      <c r="GZA538" s="22" t="e">
        <f ca="1"/>
        <v>#N/A</v>
      </c>
      <c r="GZB538" s="22" t="e">
        <f ca="1"/>
        <v>#N/A</v>
      </c>
      <c r="GZC538" s="22" t="e">
        <f ca="1"/>
        <v>#N/A</v>
      </c>
      <c r="GZD538" s="22" t="e">
        <f ca="1"/>
        <v>#N/A</v>
      </c>
      <c r="GZE538" s="22" t="e">
        <f ca="1"/>
        <v>#N/A</v>
      </c>
      <c r="GZF538" s="22" t="e">
        <f ca="1"/>
        <v>#N/A</v>
      </c>
      <c r="GZG538" s="22" t="e">
        <f ca="1"/>
        <v>#N/A</v>
      </c>
      <c r="GZH538" s="22" t="e">
        <f ca="1"/>
        <v>#N/A</v>
      </c>
      <c r="GZI538" s="22" t="e">
        <f ca="1"/>
        <v>#N/A</v>
      </c>
      <c r="GZJ538" s="22" t="e">
        <f ca="1"/>
        <v>#N/A</v>
      </c>
      <c r="GZK538" s="22" t="e">
        <f ca="1"/>
        <v>#N/A</v>
      </c>
      <c r="GZL538" s="22" t="e">
        <f ca="1"/>
        <v>#N/A</v>
      </c>
      <c r="GZM538" s="22" t="e">
        <f ca="1"/>
        <v>#N/A</v>
      </c>
      <c r="GZN538" s="22" t="e">
        <f ca="1"/>
        <v>#N/A</v>
      </c>
      <c r="GZO538" s="22" t="e">
        <f ca="1"/>
        <v>#N/A</v>
      </c>
      <c r="GZP538" s="22" t="e">
        <f ca="1"/>
        <v>#N/A</v>
      </c>
      <c r="GZQ538" s="22" t="e">
        <f ca="1"/>
        <v>#N/A</v>
      </c>
      <c r="GZR538" s="22" t="e">
        <f ca="1"/>
        <v>#N/A</v>
      </c>
      <c r="GZS538" s="22" t="e">
        <f ca="1"/>
        <v>#N/A</v>
      </c>
      <c r="GZT538" s="22" t="e">
        <f ca="1"/>
        <v>#N/A</v>
      </c>
      <c r="GZU538" s="22" t="e">
        <f ca="1"/>
        <v>#N/A</v>
      </c>
      <c r="GZV538" s="22" t="e">
        <f ca="1"/>
        <v>#N/A</v>
      </c>
      <c r="GZW538" s="22" t="e">
        <f ca="1"/>
        <v>#N/A</v>
      </c>
      <c r="GZX538" s="22" t="e">
        <f ca="1"/>
        <v>#N/A</v>
      </c>
      <c r="GZY538" s="22" t="e">
        <f ca="1"/>
        <v>#N/A</v>
      </c>
      <c r="GZZ538" s="22" t="e">
        <f ca="1"/>
        <v>#N/A</v>
      </c>
      <c r="HAA538" s="22" t="e">
        <f ca="1"/>
        <v>#N/A</v>
      </c>
      <c r="HAB538" s="22" t="e">
        <f ca="1"/>
        <v>#N/A</v>
      </c>
      <c r="HAC538" s="22" t="e">
        <f ca="1"/>
        <v>#N/A</v>
      </c>
      <c r="HAD538" s="22" t="e">
        <f ca="1"/>
        <v>#N/A</v>
      </c>
      <c r="HAE538" s="22" t="e">
        <f ca="1"/>
        <v>#N/A</v>
      </c>
      <c r="HAF538" s="22" t="e">
        <f ca="1"/>
        <v>#N/A</v>
      </c>
      <c r="HAG538" s="22" t="e">
        <f ca="1"/>
        <v>#N/A</v>
      </c>
      <c r="HAH538" s="22" t="e">
        <f ca="1"/>
        <v>#N/A</v>
      </c>
      <c r="HAI538" s="22" t="e">
        <f ca="1"/>
        <v>#N/A</v>
      </c>
      <c r="HAJ538" s="22" t="e">
        <f ca="1"/>
        <v>#N/A</v>
      </c>
      <c r="HAK538" s="22" t="e">
        <f ca="1"/>
        <v>#N/A</v>
      </c>
      <c r="HAL538" s="22" t="e">
        <f ca="1"/>
        <v>#N/A</v>
      </c>
      <c r="HAM538" s="22" t="e">
        <f ca="1"/>
        <v>#N/A</v>
      </c>
      <c r="HAN538" s="22" t="e">
        <f ca="1"/>
        <v>#N/A</v>
      </c>
      <c r="HAO538" s="22" t="e">
        <f ca="1"/>
        <v>#N/A</v>
      </c>
      <c r="HAP538" s="22" t="e">
        <f ca="1"/>
        <v>#N/A</v>
      </c>
      <c r="HAQ538" s="22" t="e">
        <f ca="1"/>
        <v>#N/A</v>
      </c>
      <c r="HAR538" s="22" t="e">
        <f ca="1"/>
        <v>#N/A</v>
      </c>
      <c r="HAS538" s="22" t="e">
        <f ca="1"/>
        <v>#N/A</v>
      </c>
      <c r="HAT538" s="22" t="e">
        <f ca="1"/>
        <v>#N/A</v>
      </c>
      <c r="HAU538" s="22" t="e">
        <f ca="1"/>
        <v>#N/A</v>
      </c>
      <c r="HAV538" s="22" t="e">
        <f ca="1"/>
        <v>#N/A</v>
      </c>
      <c r="HAW538" s="22" t="e">
        <f ca="1"/>
        <v>#N/A</v>
      </c>
      <c r="HAX538" s="22" t="e">
        <f ca="1"/>
        <v>#N/A</v>
      </c>
      <c r="HAY538" s="22" t="e">
        <f ca="1"/>
        <v>#N/A</v>
      </c>
      <c r="HAZ538" s="22" t="e">
        <f ca="1"/>
        <v>#N/A</v>
      </c>
      <c r="HBA538" s="22" t="e">
        <f ca="1"/>
        <v>#N/A</v>
      </c>
      <c r="HBB538" s="22" t="e">
        <f ca="1"/>
        <v>#N/A</v>
      </c>
      <c r="HBC538" s="22" t="e">
        <f ca="1"/>
        <v>#N/A</v>
      </c>
      <c r="HBD538" s="22" t="e">
        <f ca="1"/>
        <v>#N/A</v>
      </c>
      <c r="HBE538" s="22" t="e">
        <f ca="1"/>
        <v>#N/A</v>
      </c>
      <c r="HBF538" s="22" t="e">
        <f ca="1"/>
        <v>#N/A</v>
      </c>
      <c r="HBG538" s="22" t="e">
        <f ca="1"/>
        <v>#N/A</v>
      </c>
      <c r="HBH538" s="22" t="e">
        <f ca="1"/>
        <v>#N/A</v>
      </c>
      <c r="HBI538" s="22" t="e">
        <f ca="1"/>
        <v>#N/A</v>
      </c>
      <c r="HBJ538" s="22" t="e">
        <f ca="1"/>
        <v>#N/A</v>
      </c>
      <c r="HBK538" s="22" t="e">
        <f ca="1"/>
        <v>#N/A</v>
      </c>
      <c r="HBL538" s="22" t="e">
        <f ca="1"/>
        <v>#N/A</v>
      </c>
      <c r="HBM538" s="22" t="e">
        <f ca="1"/>
        <v>#N/A</v>
      </c>
      <c r="HBN538" s="22" t="e">
        <f ca="1"/>
        <v>#N/A</v>
      </c>
      <c r="HBO538" s="22" t="e">
        <f ca="1"/>
        <v>#N/A</v>
      </c>
      <c r="HBP538" s="22" t="e">
        <f ca="1"/>
        <v>#N/A</v>
      </c>
      <c r="HBQ538" s="22" t="e">
        <f ca="1"/>
        <v>#N/A</v>
      </c>
      <c r="HBR538" s="22" t="e">
        <f ca="1"/>
        <v>#N/A</v>
      </c>
      <c r="HBS538" s="22" t="e">
        <f ca="1"/>
        <v>#N/A</v>
      </c>
      <c r="HBT538" s="22" t="e">
        <f ca="1"/>
        <v>#N/A</v>
      </c>
      <c r="HBU538" s="22" t="e">
        <f ca="1"/>
        <v>#N/A</v>
      </c>
      <c r="HBV538" s="22" t="e">
        <f ca="1"/>
        <v>#N/A</v>
      </c>
      <c r="HBW538" s="22" t="e">
        <f ca="1"/>
        <v>#N/A</v>
      </c>
      <c r="HBX538" s="22" t="e">
        <f ca="1"/>
        <v>#N/A</v>
      </c>
      <c r="HBY538" s="22" t="e">
        <f ca="1"/>
        <v>#N/A</v>
      </c>
      <c r="HBZ538" s="22" t="e">
        <f ca="1"/>
        <v>#N/A</v>
      </c>
      <c r="HCA538" s="22" t="e">
        <f ca="1"/>
        <v>#N/A</v>
      </c>
      <c r="HCB538" s="22" t="e">
        <f ca="1"/>
        <v>#N/A</v>
      </c>
      <c r="HCC538" s="22" t="e">
        <f ca="1"/>
        <v>#N/A</v>
      </c>
      <c r="HCD538" s="22" t="e">
        <f ca="1"/>
        <v>#N/A</v>
      </c>
      <c r="HCE538" s="22" t="e">
        <f ca="1"/>
        <v>#N/A</v>
      </c>
      <c r="HCF538" s="22" t="e">
        <f ca="1"/>
        <v>#N/A</v>
      </c>
      <c r="HCG538" s="22" t="e">
        <f ca="1"/>
        <v>#N/A</v>
      </c>
      <c r="HCH538" s="22" t="e">
        <f ca="1"/>
        <v>#N/A</v>
      </c>
      <c r="HCI538" s="22" t="e">
        <f ca="1"/>
        <v>#N/A</v>
      </c>
      <c r="HCJ538" s="22" t="e">
        <f ca="1"/>
        <v>#N/A</v>
      </c>
      <c r="HCK538" s="22" t="e">
        <f ca="1"/>
        <v>#N/A</v>
      </c>
      <c r="HCL538" s="22" t="e">
        <f ca="1"/>
        <v>#N/A</v>
      </c>
      <c r="HCM538" s="22" t="e">
        <f ca="1"/>
        <v>#N/A</v>
      </c>
      <c r="HCN538" s="22" t="e">
        <f ca="1"/>
        <v>#N/A</v>
      </c>
      <c r="HCO538" s="22" t="e">
        <f ca="1"/>
        <v>#N/A</v>
      </c>
      <c r="HCP538" s="22" t="e">
        <f ca="1"/>
        <v>#N/A</v>
      </c>
      <c r="HCQ538" s="22" t="e">
        <f ca="1"/>
        <v>#N/A</v>
      </c>
      <c r="HCR538" s="22" t="e">
        <f ca="1"/>
        <v>#N/A</v>
      </c>
      <c r="HCS538" s="22" t="e">
        <f ca="1"/>
        <v>#N/A</v>
      </c>
      <c r="HCT538" s="22" t="e">
        <f ca="1"/>
        <v>#N/A</v>
      </c>
      <c r="HCU538" s="22" t="e">
        <f ca="1"/>
        <v>#N/A</v>
      </c>
      <c r="HCV538" s="22" t="e">
        <f ca="1"/>
        <v>#N/A</v>
      </c>
      <c r="HCW538" s="22" t="e">
        <f ca="1"/>
        <v>#N/A</v>
      </c>
      <c r="HCX538" s="22" t="e">
        <f ca="1"/>
        <v>#N/A</v>
      </c>
      <c r="HCY538" s="22" t="e">
        <f ca="1"/>
        <v>#N/A</v>
      </c>
      <c r="HCZ538" s="22" t="e">
        <f ca="1"/>
        <v>#N/A</v>
      </c>
      <c r="HDA538" s="22" t="e">
        <f ca="1"/>
        <v>#N/A</v>
      </c>
      <c r="HDB538" s="22" t="e">
        <f ca="1"/>
        <v>#N/A</v>
      </c>
      <c r="HDC538" s="22" t="e">
        <f ca="1"/>
        <v>#N/A</v>
      </c>
      <c r="HDD538" s="22" t="e">
        <f ca="1"/>
        <v>#N/A</v>
      </c>
      <c r="HDE538" s="22" t="e">
        <f ca="1"/>
        <v>#N/A</v>
      </c>
      <c r="HDF538" s="22" t="e">
        <f ca="1"/>
        <v>#N/A</v>
      </c>
      <c r="HDG538" s="22" t="e">
        <f ca="1"/>
        <v>#N/A</v>
      </c>
      <c r="HDH538" s="22" t="e">
        <f ca="1"/>
        <v>#N/A</v>
      </c>
      <c r="HDI538" s="22" t="e">
        <f ca="1"/>
        <v>#N/A</v>
      </c>
      <c r="HDJ538" s="22" t="e">
        <f ca="1"/>
        <v>#N/A</v>
      </c>
      <c r="HDK538" s="22" t="e">
        <f ca="1"/>
        <v>#N/A</v>
      </c>
      <c r="HDL538" s="22" t="e">
        <f ca="1"/>
        <v>#N/A</v>
      </c>
      <c r="HDM538" s="22" t="e">
        <f ca="1"/>
        <v>#N/A</v>
      </c>
      <c r="HDN538" s="22" t="e">
        <f ca="1"/>
        <v>#N/A</v>
      </c>
      <c r="HDO538" s="22" t="e">
        <f ca="1"/>
        <v>#N/A</v>
      </c>
      <c r="HDP538" s="22" t="e">
        <f ca="1"/>
        <v>#N/A</v>
      </c>
      <c r="HDQ538" s="22" t="e">
        <f ca="1"/>
        <v>#N/A</v>
      </c>
      <c r="HDR538" s="22" t="e">
        <f ca="1"/>
        <v>#N/A</v>
      </c>
      <c r="HDS538" s="22" t="e">
        <f ca="1"/>
        <v>#N/A</v>
      </c>
      <c r="HDT538" s="22" t="e">
        <f ca="1"/>
        <v>#N/A</v>
      </c>
      <c r="HDU538" s="22" t="e">
        <f ca="1"/>
        <v>#N/A</v>
      </c>
      <c r="HDV538" s="22" t="e">
        <f ca="1"/>
        <v>#N/A</v>
      </c>
      <c r="HDW538" s="22" t="e">
        <f ca="1"/>
        <v>#N/A</v>
      </c>
      <c r="HDX538" s="22" t="e">
        <f ca="1"/>
        <v>#N/A</v>
      </c>
      <c r="HDY538" s="22" t="e">
        <f ca="1"/>
        <v>#N/A</v>
      </c>
      <c r="HDZ538" s="22" t="e">
        <f ca="1"/>
        <v>#N/A</v>
      </c>
      <c r="HEA538" s="22" t="e">
        <f ca="1"/>
        <v>#N/A</v>
      </c>
      <c r="HEB538" s="22" t="e">
        <f ca="1"/>
        <v>#N/A</v>
      </c>
      <c r="HEC538" s="22" t="e">
        <f ca="1"/>
        <v>#N/A</v>
      </c>
      <c r="HED538" s="22" t="e">
        <f ca="1"/>
        <v>#N/A</v>
      </c>
      <c r="HEE538" s="22" t="e">
        <f ca="1"/>
        <v>#N/A</v>
      </c>
      <c r="HEF538" s="22" t="e">
        <f ca="1"/>
        <v>#N/A</v>
      </c>
      <c r="HEG538" s="22" t="e">
        <f ca="1"/>
        <v>#N/A</v>
      </c>
      <c r="HEH538" s="22" t="e">
        <f ca="1"/>
        <v>#N/A</v>
      </c>
      <c r="HEI538" s="22" t="e">
        <f ca="1"/>
        <v>#N/A</v>
      </c>
      <c r="HEJ538" s="22" t="e">
        <f ca="1"/>
        <v>#N/A</v>
      </c>
      <c r="HEK538" s="22" t="e">
        <f ca="1"/>
        <v>#N/A</v>
      </c>
      <c r="HEL538" s="22" t="e">
        <f ca="1"/>
        <v>#N/A</v>
      </c>
      <c r="HEM538" s="22" t="e">
        <f ca="1"/>
        <v>#N/A</v>
      </c>
      <c r="HEN538" s="22" t="e">
        <f ca="1"/>
        <v>#N/A</v>
      </c>
      <c r="HEO538" s="22" t="e">
        <f ca="1"/>
        <v>#N/A</v>
      </c>
      <c r="HEP538" s="22" t="e">
        <f ca="1"/>
        <v>#N/A</v>
      </c>
      <c r="HEQ538" s="22" t="e">
        <f ca="1"/>
        <v>#N/A</v>
      </c>
      <c r="HER538" s="22" t="e">
        <f ca="1"/>
        <v>#N/A</v>
      </c>
      <c r="HES538" s="22" t="e">
        <f ca="1"/>
        <v>#N/A</v>
      </c>
      <c r="HET538" s="22" t="e">
        <f ca="1"/>
        <v>#N/A</v>
      </c>
      <c r="HEU538" s="22" t="e">
        <f ca="1"/>
        <v>#N/A</v>
      </c>
      <c r="HEV538" s="22" t="e">
        <f ca="1"/>
        <v>#N/A</v>
      </c>
      <c r="HEW538" s="22" t="e">
        <f ca="1"/>
        <v>#N/A</v>
      </c>
      <c r="HEX538" s="22" t="e">
        <f ca="1"/>
        <v>#N/A</v>
      </c>
      <c r="HEY538" s="22" t="e">
        <f ca="1"/>
        <v>#N/A</v>
      </c>
      <c r="HEZ538" s="22" t="e">
        <f ca="1"/>
        <v>#N/A</v>
      </c>
      <c r="HFA538" s="22" t="e">
        <f ca="1"/>
        <v>#N/A</v>
      </c>
      <c r="HFB538" s="22" t="e">
        <f ca="1"/>
        <v>#N/A</v>
      </c>
      <c r="HFC538" s="22" t="e">
        <f ca="1"/>
        <v>#N/A</v>
      </c>
      <c r="HFD538" s="22" t="e">
        <f ca="1"/>
        <v>#N/A</v>
      </c>
      <c r="HFE538" s="22" t="e">
        <f ca="1"/>
        <v>#N/A</v>
      </c>
      <c r="HFF538" s="22" t="e">
        <f ca="1"/>
        <v>#N/A</v>
      </c>
      <c r="HFG538" s="22" t="e">
        <f ca="1"/>
        <v>#N/A</v>
      </c>
      <c r="HFH538" s="22" t="e">
        <f ca="1"/>
        <v>#N/A</v>
      </c>
      <c r="HFI538" s="22" t="e">
        <f ca="1"/>
        <v>#N/A</v>
      </c>
      <c r="HFJ538" s="22" t="e">
        <f ca="1"/>
        <v>#N/A</v>
      </c>
      <c r="HFK538" s="22" t="e">
        <f ca="1"/>
        <v>#N/A</v>
      </c>
      <c r="HFL538" s="22" t="e">
        <f ca="1"/>
        <v>#N/A</v>
      </c>
      <c r="HFM538" s="22" t="e">
        <f ca="1"/>
        <v>#N/A</v>
      </c>
      <c r="HFN538" s="22" t="e">
        <f ca="1"/>
        <v>#N/A</v>
      </c>
      <c r="HFO538" s="22" t="e">
        <f ca="1"/>
        <v>#N/A</v>
      </c>
      <c r="HFP538" s="22" t="e">
        <f ca="1"/>
        <v>#N/A</v>
      </c>
      <c r="HFQ538" s="22" t="e">
        <f ca="1"/>
        <v>#N/A</v>
      </c>
      <c r="HFR538" s="22" t="e">
        <f ca="1"/>
        <v>#N/A</v>
      </c>
      <c r="HFS538" s="22" t="e">
        <f ca="1"/>
        <v>#N/A</v>
      </c>
      <c r="HFT538" s="22" t="e">
        <f ca="1"/>
        <v>#N/A</v>
      </c>
      <c r="HFU538" s="22" t="e">
        <f ca="1"/>
        <v>#N/A</v>
      </c>
      <c r="HFV538" s="22" t="e">
        <f ca="1"/>
        <v>#N/A</v>
      </c>
      <c r="HFW538" s="22" t="e">
        <f ca="1"/>
        <v>#N/A</v>
      </c>
      <c r="HFX538" s="22" t="e">
        <f ca="1"/>
        <v>#N/A</v>
      </c>
      <c r="HFY538" s="22" t="e">
        <f ca="1"/>
        <v>#N/A</v>
      </c>
      <c r="HFZ538" s="22" t="e">
        <f ca="1"/>
        <v>#N/A</v>
      </c>
      <c r="HGA538" s="22" t="e">
        <f ca="1"/>
        <v>#N/A</v>
      </c>
      <c r="HGB538" s="22" t="e">
        <f ca="1"/>
        <v>#N/A</v>
      </c>
      <c r="HGC538" s="22" t="e">
        <f ca="1"/>
        <v>#N/A</v>
      </c>
      <c r="HGD538" s="22" t="e">
        <f ca="1"/>
        <v>#N/A</v>
      </c>
      <c r="HGE538" s="22" t="e">
        <f ca="1"/>
        <v>#N/A</v>
      </c>
      <c r="HGF538" s="22" t="e">
        <f ca="1"/>
        <v>#N/A</v>
      </c>
      <c r="HGG538" s="22" t="e">
        <f ca="1"/>
        <v>#N/A</v>
      </c>
      <c r="HGH538" s="22" t="e">
        <f ca="1"/>
        <v>#N/A</v>
      </c>
      <c r="HGI538" s="22" t="e">
        <f ca="1"/>
        <v>#N/A</v>
      </c>
      <c r="HGJ538" s="22" t="e">
        <f ca="1"/>
        <v>#N/A</v>
      </c>
      <c r="HGK538" s="22" t="e">
        <f ca="1"/>
        <v>#N/A</v>
      </c>
      <c r="HGL538" s="22" t="e">
        <f ca="1"/>
        <v>#N/A</v>
      </c>
      <c r="HGM538" s="22" t="e">
        <f ca="1"/>
        <v>#N/A</v>
      </c>
      <c r="HGN538" s="22" t="e">
        <f ca="1"/>
        <v>#N/A</v>
      </c>
      <c r="HGO538" s="22" t="e">
        <f ca="1"/>
        <v>#N/A</v>
      </c>
      <c r="HGP538" s="22" t="e">
        <f ca="1"/>
        <v>#N/A</v>
      </c>
      <c r="HGQ538" s="22" t="e">
        <f ca="1"/>
        <v>#N/A</v>
      </c>
      <c r="HGR538" s="22" t="e">
        <f ca="1"/>
        <v>#N/A</v>
      </c>
      <c r="HGS538" s="22" t="e">
        <f ca="1"/>
        <v>#N/A</v>
      </c>
      <c r="HGT538" s="22" t="e">
        <f ca="1"/>
        <v>#N/A</v>
      </c>
      <c r="HGU538" s="22" t="e">
        <f ca="1"/>
        <v>#N/A</v>
      </c>
      <c r="HGV538" s="22" t="e">
        <f ca="1"/>
        <v>#N/A</v>
      </c>
      <c r="HGW538" s="22" t="e">
        <f ca="1"/>
        <v>#N/A</v>
      </c>
      <c r="HGX538" s="22" t="e">
        <f ca="1"/>
        <v>#N/A</v>
      </c>
      <c r="HGY538" s="22" t="e">
        <f ca="1"/>
        <v>#N/A</v>
      </c>
      <c r="HGZ538" s="22" t="e">
        <f ca="1"/>
        <v>#N/A</v>
      </c>
      <c r="HHA538" s="22" t="e">
        <f ca="1"/>
        <v>#N/A</v>
      </c>
      <c r="HHB538" s="22" t="e">
        <f ca="1"/>
        <v>#N/A</v>
      </c>
      <c r="HHC538" s="22" t="e">
        <f ca="1"/>
        <v>#N/A</v>
      </c>
      <c r="HHD538" s="22" t="e">
        <f ca="1"/>
        <v>#N/A</v>
      </c>
      <c r="HHE538" s="22" t="e">
        <f ca="1"/>
        <v>#N/A</v>
      </c>
      <c r="HHF538" s="22" t="e">
        <f ca="1"/>
        <v>#N/A</v>
      </c>
      <c r="HHG538" s="22" t="e">
        <f ca="1"/>
        <v>#N/A</v>
      </c>
      <c r="HHH538" s="22" t="e">
        <f ca="1"/>
        <v>#N/A</v>
      </c>
      <c r="HHI538" s="22" t="e">
        <f ca="1"/>
        <v>#N/A</v>
      </c>
      <c r="HHJ538" s="22" t="e">
        <f ca="1"/>
        <v>#N/A</v>
      </c>
      <c r="HHK538" s="22" t="e">
        <f ca="1"/>
        <v>#N/A</v>
      </c>
      <c r="HHL538" s="22" t="e">
        <f ca="1"/>
        <v>#N/A</v>
      </c>
      <c r="HHM538" s="22" t="e">
        <f ca="1"/>
        <v>#N/A</v>
      </c>
      <c r="HHN538" s="22" t="e">
        <f ca="1"/>
        <v>#N/A</v>
      </c>
      <c r="HHO538" s="22" t="e">
        <f ca="1"/>
        <v>#N/A</v>
      </c>
      <c r="HHP538" s="22" t="e">
        <f ca="1"/>
        <v>#N/A</v>
      </c>
      <c r="HHQ538" s="22" t="e">
        <f ca="1"/>
        <v>#N/A</v>
      </c>
      <c r="HHR538" s="22" t="e">
        <f ca="1"/>
        <v>#N/A</v>
      </c>
      <c r="HHS538" s="22" t="e">
        <f ca="1"/>
        <v>#N/A</v>
      </c>
      <c r="HHT538" s="22" t="e">
        <f ca="1"/>
        <v>#N/A</v>
      </c>
      <c r="HHU538" s="22" t="e">
        <f ca="1"/>
        <v>#N/A</v>
      </c>
      <c r="HHV538" s="22" t="e">
        <f ca="1"/>
        <v>#N/A</v>
      </c>
      <c r="HHW538" s="22" t="e">
        <f ca="1"/>
        <v>#N/A</v>
      </c>
      <c r="HHX538" s="22" t="e">
        <f ca="1"/>
        <v>#N/A</v>
      </c>
      <c r="HHY538" s="22" t="e">
        <f ca="1"/>
        <v>#N/A</v>
      </c>
      <c r="HHZ538" s="22" t="e">
        <f ca="1"/>
        <v>#N/A</v>
      </c>
      <c r="HIA538" s="22" t="e">
        <f ca="1"/>
        <v>#N/A</v>
      </c>
      <c r="HIB538" s="22" t="e">
        <f ca="1"/>
        <v>#N/A</v>
      </c>
      <c r="HIC538" s="22" t="e">
        <f ca="1"/>
        <v>#N/A</v>
      </c>
      <c r="HID538" s="22" t="e">
        <f ca="1"/>
        <v>#N/A</v>
      </c>
      <c r="HIE538" s="22" t="e">
        <f ca="1"/>
        <v>#N/A</v>
      </c>
      <c r="HIF538" s="22" t="e">
        <f ca="1"/>
        <v>#N/A</v>
      </c>
      <c r="HIG538" s="22" t="e">
        <f ca="1"/>
        <v>#N/A</v>
      </c>
      <c r="HIH538" s="22" t="e">
        <f ca="1"/>
        <v>#N/A</v>
      </c>
      <c r="HII538" s="22" t="e">
        <f ca="1"/>
        <v>#N/A</v>
      </c>
      <c r="HIJ538" s="22" t="e">
        <f ca="1"/>
        <v>#N/A</v>
      </c>
      <c r="HIK538" s="22" t="e">
        <f ca="1"/>
        <v>#N/A</v>
      </c>
      <c r="HIL538" s="22" t="e">
        <f ca="1"/>
        <v>#N/A</v>
      </c>
      <c r="HIM538" s="22" t="e">
        <f ca="1"/>
        <v>#N/A</v>
      </c>
      <c r="HIN538" s="22" t="e">
        <f ca="1"/>
        <v>#N/A</v>
      </c>
      <c r="HIO538" s="22" t="e">
        <f ca="1"/>
        <v>#N/A</v>
      </c>
      <c r="HIP538" s="22" t="e">
        <f ca="1"/>
        <v>#N/A</v>
      </c>
      <c r="HIQ538" s="22" t="e">
        <f ca="1"/>
        <v>#N/A</v>
      </c>
      <c r="HIR538" s="22" t="e">
        <f ca="1"/>
        <v>#N/A</v>
      </c>
      <c r="HIS538" s="22" t="e">
        <f ca="1"/>
        <v>#N/A</v>
      </c>
      <c r="HIT538" s="22" t="e">
        <f ca="1"/>
        <v>#N/A</v>
      </c>
      <c r="HIU538" s="22" t="e">
        <f ca="1"/>
        <v>#N/A</v>
      </c>
      <c r="HIV538" s="22" t="e">
        <f ca="1"/>
        <v>#N/A</v>
      </c>
      <c r="HIW538" s="22" t="e">
        <f ca="1"/>
        <v>#N/A</v>
      </c>
      <c r="HIX538" s="22" t="e">
        <f ca="1"/>
        <v>#N/A</v>
      </c>
      <c r="HIY538" s="22" t="e">
        <f ca="1"/>
        <v>#N/A</v>
      </c>
      <c r="HIZ538" s="22" t="e">
        <f ca="1"/>
        <v>#N/A</v>
      </c>
      <c r="HJA538" s="22" t="e">
        <f ca="1"/>
        <v>#N/A</v>
      </c>
      <c r="HJB538" s="22" t="e">
        <f ca="1"/>
        <v>#N/A</v>
      </c>
      <c r="HJC538" s="22" t="e">
        <f ca="1"/>
        <v>#N/A</v>
      </c>
      <c r="HJD538" s="22" t="e">
        <f ca="1"/>
        <v>#N/A</v>
      </c>
      <c r="HJE538" s="22" t="e">
        <f ca="1"/>
        <v>#N/A</v>
      </c>
      <c r="HJF538" s="22" t="e">
        <f ca="1"/>
        <v>#N/A</v>
      </c>
      <c r="HJG538" s="22" t="e">
        <f ca="1"/>
        <v>#N/A</v>
      </c>
      <c r="HJH538" s="22" t="e">
        <f ca="1"/>
        <v>#N/A</v>
      </c>
      <c r="HJI538" s="22" t="e">
        <f ca="1"/>
        <v>#N/A</v>
      </c>
      <c r="HJJ538" s="22" t="e">
        <f ca="1"/>
        <v>#N/A</v>
      </c>
      <c r="HJK538" s="22" t="e">
        <f ca="1"/>
        <v>#N/A</v>
      </c>
      <c r="HJL538" s="22" t="e">
        <f ca="1"/>
        <v>#N/A</v>
      </c>
      <c r="HJM538" s="22" t="e">
        <f ca="1"/>
        <v>#N/A</v>
      </c>
      <c r="HJN538" s="22" t="e">
        <f ca="1"/>
        <v>#N/A</v>
      </c>
      <c r="HJO538" s="22" t="e">
        <f ca="1"/>
        <v>#N/A</v>
      </c>
      <c r="HJP538" s="22" t="e">
        <f ca="1"/>
        <v>#N/A</v>
      </c>
      <c r="HJQ538" s="22" t="e">
        <f ca="1"/>
        <v>#N/A</v>
      </c>
      <c r="HJR538" s="22" t="e">
        <f ca="1"/>
        <v>#N/A</v>
      </c>
      <c r="HJS538" s="22" t="e">
        <f ca="1"/>
        <v>#N/A</v>
      </c>
      <c r="HJT538" s="22" t="e">
        <f ca="1"/>
        <v>#N/A</v>
      </c>
      <c r="HJU538" s="22" t="e">
        <f ca="1"/>
        <v>#N/A</v>
      </c>
      <c r="HJV538" s="22" t="e">
        <f ca="1"/>
        <v>#N/A</v>
      </c>
      <c r="HJW538" s="22" t="e">
        <f ca="1"/>
        <v>#N/A</v>
      </c>
      <c r="HJX538" s="22" t="e">
        <f ca="1"/>
        <v>#N/A</v>
      </c>
      <c r="HJY538" s="22" t="e">
        <f ca="1"/>
        <v>#N/A</v>
      </c>
      <c r="HJZ538" s="22" t="e">
        <f ca="1"/>
        <v>#N/A</v>
      </c>
      <c r="HKA538" s="22" t="e">
        <f ca="1"/>
        <v>#N/A</v>
      </c>
      <c r="HKB538" s="22" t="e">
        <f ca="1"/>
        <v>#N/A</v>
      </c>
      <c r="HKC538" s="22" t="e">
        <f ca="1"/>
        <v>#N/A</v>
      </c>
      <c r="HKD538" s="22" t="e">
        <f ca="1"/>
        <v>#N/A</v>
      </c>
      <c r="HKE538" s="22" t="e">
        <f ca="1"/>
        <v>#N/A</v>
      </c>
      <c r="HKF538" s="22" t="e">
        <f ca="1"/>
        <v>#N/A</v>
      </c>
      <c r="HKG538" s="22" t="e">
        <f ca="1"/>
        <v>#N/A</v>
      </c>
      <c r="HKH538" s="22" t="e">
        <f ca="1"/>
        <v>#N/A</v>
      </c>
      <c r="HKI538" s="22" t="e">
        <f ca="1"/>
        <v>#N/A</v>
      </c>
      <c r="HKJ538" s="22" t="e">
        <f ca="1"/>
        <v>#N/A</v>
      </c>
      <c r="HKK538" s="22" t="e">
        <f ca="1"/>
        <v>#N/A</v>
      </c>
      <c r="HKL538" s="22" t="e">
        <f ca="1"/>
        <v>#N/A</v>
      </c>
      <c r="HKM538" s="22" t="e">
        <f ca="1"/>
        <v>#N/A</v>
      </c>
      <c r="HKN538" s="22" t="e">
        <f ca="1"/>
        <v>#N/A</v>
      </c>
      <c r="HKO538" s="22" t="e">
        <f ca="1"/>
        <v>#N/A</v>
      </c>
      <c r="HKP538" s="22" t="e">
        <f ca="1"/>
        <v>#N/A</v>
      </c>
      <c r="HKQ538" s="22" t="e">
        <f ca="1"/>
        <v>#N/A</v>
      </c>
      <c r="HKR538" s="22" t="e">
        <f ca="1"/>
        <v>#N/A</v>
      </c>
      <c r="HKS538" s="22" t="e">
        <f ca="1"/>
        <v>#N/A</v>
      </c>
      <c r="HKT538" s="22" t="e">
        <f ca="1"/>
        <v>#N/A</v>
      </c>
      <c r="HKU538" s="22" t="e">
        <f ca="1"/>
        <v>#N/A</v>
      </c>
      <c r="HKV538" s="22" t="e">
        <f ca="1"/>
        <v>#N/A</v>
      </c>
      <c r="HKW538" s="22" t="e">
        <f ca="1"/>
        <v>#N/A</v>
      </c>
      <c r="HKX538" s="22" t="e">
        <f ca="1"/>
        <v>#N/A</v>
      </c>
      <c r="HKY538" s="22" t="e">
        <f ca="1"/>
        <v>#N/A</v>
      </c>
      <c r="HKZ538" s="22" t="e">
        <f ca="1"/>
        <v>#N/A</v>
      </c>
      <c r="HLA538" s="22" t="e">
        <f ca="1"/>
        <v>#N/A</v>
      </c>
      <c r="HLB538" s="22" t="e">
        <f ca="1"/>
        <v>#N/A</v>
      </c>
      <c r="HLC538" s="22" t="e">
        <f ca="1"/>
        <v>#N/A</v>
      </c>
      <c r="HLD538" s="22" t="e">
        <f ca="1"/>
        <v>#N/A</v>
      </c>
      <c r="HLE538" s="22" t="e">
        <f ca="1"/>
        <v>#N/A</v>
      </c>
      <c r="HLF538" s="22" t="e">
        <f ca="1"/>
        <v>#N/A</v>
      </c>
      <c r="HLG538" s="22" t="e">
        <f ca="1"/>
        <v>#N/A</v>
      </c>
      <c r="HLH538" s="22" t="e">
        <f ca="1"/>
        <v>#N/A</v>
      </c>
      <c r="HLI538" s="22" t="e">
        <f ca="1"/>
        <v>#N/A</v>
      </c>
      <c r="HLJ538" s="22" t="e">
        <f ca="1"/>
        <v>#N/A</v>
      </c>
      <c r="HLK538" s="22" t="e">
        <f ca="1"/>
        <v>#N/A</v>
      </c>
      <c r="HLL538" s="22" t="e">
        <f ca="1"/>
        <v>#N/A</v>
      </c>
      <c r="HLM538" s="22" t="e">
        <f ca="1"/>
        <v>#N/A</v>
      </c>
      <c r="HLN538" s="22" t="e">
        <f ca="1"/>
        <v>#N/A</v>
      </c>
      <c r="HLO538" s="22" t="e">
        <f ca="1"/>
        <v>#N/A</v>
      </c>
      <c r="HLP538" s="22" t="e">
        <f ca="1"/>
        <v>#N/A</v>
      </c>
      <c r="HLQ538" s="22" t="e">
        <f ca="1"/>
        <v>#N/A</v>
      </c>
      <c r="HLR538" s="22" t="e">
        <f ca="1"/>
        <v>#N/A</v>
      </c>
      <c r="HLS538" s="22" t="e">
        <f ca="1"/>
        <v>#N/A</v>
      </c>
      <c r="HLT538" s="22" t="e">
        <f ca="1"/>
        <v>#N/A</v>
      </c>
      <c r="HLU538" s="22" t="e">
        <f ca="1"/>
        <v>#N/A</v>
      </c>
      <c r="HLV538" s="22" t="e">
        <f ca="1"/>
        <v>#N/A</v>
      </c>
      <c r="HLW538" s="22" t="e">
        <f ca="1"/>
        <v>#N/A</v>
      </c>
      <c r="HLX538" s="22" t="e">
        <f ca="1"/>
        <v>#N/A</v>
      </c>
      <c r="HLY538" s="22" t="e">
        <f ca="1"/>
        <v>#N/A</v>
      </c>
      <c r="HLZ538" s="22" t="e">
        <f ca="1"/>
        <v>#N/A</v>
      </c>
      <c r="HMA538" s="22" t="e">
        <f ca="1"/>
        <v>#N/A</v>
      </c>
      <c r="HMB538" s="22" t="e">
        <f ca="1"/>
        <v>#N/A</v>
      </c>
      <c r="HMC538" s="22" t="e">
        <f ca="1"/>
        <v>#N/A</v>
      </c>
      <c r="HMD538" s="22" t="e">
        <f ca="1"/>
        <v>#N/A</v>
      </c>
      <c r="HME538" s="22" t="e">
        <f ca="1"/>
        <v>#N/A</v>
      </c>
      <c r="HMF538" s="22" t="e">
        <f ca="1"/>
        <v>#N/A</v>
      </c>
      <c r="HMG538" s="22" t="e">
        <f ca="1"/>
        <v>#N/A</v>
      </c>
      <c r="HMH538" s="22" t="e">
        <f ca="1"/>
        <v>#N/A</v>
      </c>
      <c r="HMI538" s="22" t="e">
        <f ca="1"/>
        <v>#N/A</v>
      </c>
      <c r="HMJ538" s="22" t="e">
        <f ca="1"/>
        <v>#N/A</v>
      </c>
      <c r="HMK538" s="22" t="e">
        <f ca="1"/>
        <v>#N/A</v>
      </c>
      <c r="HML538" s="22" t="e">
        <f ca="1"/>
        <v>#N/A</v>
      </c>
      <c r="HMM538" s="22" t="e">
        <f ca="1"/>
        <v>#N/A</v>
      </c>
      <c r="HMN538" s="22" t="e">
        <f ca="1"/>
        <v>#N/A</v>
      </c>
      <c r="HMO538" s="22" t="e">
        <f ca="1"/>
        <v>#N/A</v>
      </c>
      <c r="HMP538" s="22" t="e">
        <f ca="1"/>
        <v>#N/A</v>
      </c>
      <c r="HMQ538" s="22" t="e">
        <f ca="1"/>
        <v>#N/A</v>
      </c>
      <c r="HMR538" s="22" t="e">
        <f ca="1"/>
        <v>#N/A</v>
      </c>
      <c r="HMS538" s="22" t="e">
        <f ca="1"/>
        <v>#N/A</v>
      </c>
      <c r="HMT538" s="22" t="e">
        <f ca="1"/>
        <v>#N/A</v>
      </c>
      <c r="HMU538" s="22" t="e">
        <f ca="1"/>
        <v>#N/A</v>
      </c>
      <c r="HMV538" s="22" t="e">
        <f ca="1"/>
        <v>#N/A</v>
      </c>
      <c r="HMW538" s="22" t="e">
        <f ca="1"/>
        <v>#N/A</v>
      </c>
      <c r="HMX538" s="22" t="e">
        <f ca="1"/>
        <v>#N/A</v>
      </c>
      <c r="HMY538" s="22" t="e">
        <f ca="1"/>
        <v>#N/A</v>
      </c>
      <c r="HMZ538" s="22" t="e">
        <f ca="1"/>
        <v>#N/A</v>
      </c>
      <c r="HNA538" s="22" t="e">
        <f ca="1"/>
        <v>#N/A</v>
      </c>
      <c r="HNB538" s="22" t="e">
        <f ca="1"/>
        <v>#N/A</v>
      </c>
      <c r="HNC538" s="22" t="e">
        <f ca="1"/>
        <v>#N/A</v>
      </c>
      <c r="HND538" s="22" t="e">
        <f ca="1"/>
        <v>#N/A</v>
      </c>
      <c r="HNE538" s="22" t="e">
        <f ca="1"/>
        <v>#N/A</v>
      </c>
      <c r="HNF538" s="22" t="e">
        <f ca="1"/>
        <v>#N/A</v>
      </c>
      <c r="HNG538" s="22" t="e">
        <f ca="1"/>
        <v>#N/A</v>
      </c>
      <c r="HNH538" s="22" t="e">
        <f ca="1"/>
        <v>#N/A</v>
      </c>
      <c r="HNI538" s="22" t="e">
        <f ca="1"/>
        <v>#N/A</v>
      </c>
      <c r="HNJ538" s="22" t="e">
        <f ca="1"/>
        <v>#N/A</v>
      </c>
      <c r="HNK538" s="22" t="e">
        <f ca="1"/>
        <v>#N/A</v>
      </c>
      <c r="HNL538" s="22" t="e">
        <f ca="1"/>
        <v>#N/A</v>
      </c>
      <c r="HNM538" s="22" t="e">
        <f ca="1"/>
        <v>#N/A</v>
      </c>
      <c r="HNN538" s="22" t="e">
        <f ca="1"/>
        <v>#N/A</v>
      </c>
      <c r="HNO538" s="22" t="e">
        <f ca="1"/>
        <v>#N/A</v>
      </c>
      <c r="HNP538" s="22" t="e">
        <f ca="1"/>
        <v>#N/A</v>
      </c>
      <c r="HNQ538" s="22" t="e">
        <f ca="1"/>
        <v>#N/A</v>
      </c>
      <c r="HNR538" s="22" t="e">
        <f ca="1"/>
        <v>#N/A</v>
      </c>
      <c r="HNS538" s="22" t="e">
        <f ca="1"/>
        <v>#N/A</v>
      </c>
      <c r="HNT538" s="22" t="e">
        <f ca="1"/>
        <v>#N/A</v>
      </c>
      <c r="HNU538" s="22" t="e">
        <f ca="1"/>
        <v>#N/A</v>
      </c>
      <c r="HNV538" s="22" t="e">
        <f ca="1"/>
        <v>#N/A</v>
      </c>
      <c r="HNW538" s="22" t="e">
        <f ca="1"/>
        <v>#N/A</v>
      </c>
      <c r="HNX538" s="22" t="e">
        <f ca="1"/>
        <v>#N/A</v>
      </c>
      <c r="HNY538" s="22" t="e">
        <f ca="1"/>
        <v>#N/A</v>
      </c>
      <c r="HNZ538" s="22" t="e">
        <f ca="1"/>
        <v>#N/A</v>
      </c>
      <c r="HOA538" s="22" t="e">
        <f ca="1"/>
        <v>#N/A</v>
      </c>
      <c r="HOB538" s="22" t="e">
        <f ca="1"/>
        <v>#N/A</v>
      </c>
      <c r="HOC538" s="22" t="e">
        <f ca="1"/>
        <v>#N/A</v>
      </c>
      <c r="HOD538" s="22" t="e">
        <f ca="1"/>
        <v>#N/A</v>
      </c>
      <c r="HOE538" s="22" t="e">
        <f ca="1"/>
        <v>#N/A</v>
      </c>
      <c r="HOF538" s="22" t="e">
        <f ca="1"/>
        <v>#N/A</v>
      </c>
      <c r="HOG538" s="22" t="e">
        <f ca="1"/>
        <v>#N/A</v>
      </c>
      <c r="HOH538" s="22" t="e">
        <f ca="1"/>
        <v>#N/A</v>
      </c>
      <c r="HOI538" s="22" t="e">
        <f ca="1"/>
        <v>#N/A</v>
      </c>
      <c r="HOJ538" s="22" t="e">
        <f ca="1"/>
        <v>#N/A</v>
      </c>
      <c r="HOK538" s="22" t="e">
        <f ca="1"/>
        <v>#N/A</v>
      </c>
      <c r="HOL538" s="22" t="e">
        <f ca="1"/>
        <v>#N/A</v>
      </c>
      <c r="HOM538" s="22" t="e">
        <f ca="1"/>
        <v>#N/A</v>
      </c>
      <c r="HON538" s="22" t="e">
        <f ca="1"/>
        <v>#N/A</v>
      </c>
      <c r="HOO538" s="22" t="e">
        <f ca="1"/>
        <v>#N/A</v>
      </c>
      <c r="HOP538" s="22" t="e">
        <f ca="1"/>
        <v>#N/A</v>
      </c>
      <c r="HOQ538" s="22" t="e">
        <f ca="1"/>
        <v>#N/A</v>
      </c>
      <c r="HOR538" s="22" t="e">
        <f ca="1"/>
        <v>#N/A</v>
      </c>
      <c r="HOS538" s="22" t="e">
        <f ca="1"/>
        <v>#N/A</v>
      </c>
      <c r="HOT538" s="22" t="e">
        <f ca="1"/>
        <v>#N/A</v>
      </c>
      <c r="HOU538" s="22" t="e">
        <f ca="1"/>
        <v>#N/A</v>
      </c>
      <c r="HOV538" s="22" t="e">
        <f ca="1"/>
        <v>#N/A</v>
      </c>
      <c r="HOW538" s="22" t="e">
        <f ca="1"/>
        <v>#N/A</v>
      </c>
      <c r="HOX538" s="22" t="e">
        <f ca="1"/>
        <v>#N/A</v>
      </c>
      <c r="HOY538" s="22" t="e">
        <f ca="1"/>
        <v>#N/A</v>
      </c>
      <c r="HOZ538" s="22" t="e">
        <f ca="1"/>
        <v>#N/A</v>
      </c>
      <c r="HPA538" s="22" t="e">
        <f ca="1"/>
        <v>#N/A</v>
      </c>
      <c r="HPB538" s="22" t="e">
        <f ca="1"/>
        <v>#N/A</v>
      </c>
      <c r="HPC538" s="22" t="e">
        <f ca="1"/>
        <v>#N/A</v>
      </c>
      <c r="HPD538" s="22" t="e">
        <f ca="1"/>
        <v>#N/A</v>
      </c>
      <c r="HPE538" s="22" t="e">
        <f ca="1"/>
        <v>#N/A</v>
      </c>
      <c r="HPF538" s="22" t="e">
        <f ca="1"/>
        <v>#N/A</v>
      </c>
      <c r="HPG538" s="22" t="e">
        <f ca="1"/>
        <v>#N/A</v>
      </c>
      <c r="HPH538" s="22" t="e">
        <f ca="1"/>
        <v>#N/A</v>
      </c>
      <c r="HPI538" s="22" t="e">
        <f ca="1"/>
        <v>#N/A</v>
      </c>
      <c r="HPJ538" s="22" t="e">
        <f ca="1"/>
        <v>#N/A</v>
      </c>
      <c r="HPK538" s="22" t="e">
        <f ca="1"/>
        <v>#N/A</v>
      </c>
      <c r="HPL538" s="22" t="e">
        <f ca="1"/>
        <v>#N/A</v>
      </c>
      <c r="HPM538" s="22" t="e">
        <f ca="1"/>
        <v>#N/A</v>
      </c>
      <c r="HPN538" s="22" t="e">
        <f ca="1"/>
        <v>#N/A</v>
      </c>
      <c r="HPO538" s="22" t="e">
        <f ca="1"/>
        <v>#N/A</v>
      </c>
      <c r="HPP538" s="22" t="e">
        <f ca="1"/>
        <v>#N/A</v>
      </c>
      <c r="HPQ538" s="22" t="e">
        <f ca="1"/>
        <v>#N/A</v>
      </c>
      <c r="HPR538" s="22" t="e">
        <f ca="1"/>
        <v>#N/A</v>
      </c>
      <c r="HPS538" s="22" t="e">
        <f ca="1"/>
        <v>#N/A</v>
      </c>
      <c r="HPT538" s="22" t="e">
        <f ca="1"/>
        <v>#N/A</v>
      </c>
      <c r="HPU538" s="22" t="e">
        <f ca="1"/>
        <v>#N/A</v>
      </c>
      <c r="HPV538" s="22" t="e">
        <f ca="1"/>
        <v>#N/A</v>
      </c>
      <c r="HPW538" s="22" t="e">
        <f ca="1"/>
        <v>#N/A</v>
      </c>
      <c r="HPX538" s="22" t="e">
        <f ca="1"/>
        <v>#N/A</v>
      </c>
      <c r="HPY538" s="22" t="e">
        <f ca="1"/>
        <v>#N/A</v>
      </c>
      <c r="HPZ538" s="22" t="e">
        <f ca="1"/>
        <v>#N/A</v>
      </c>
      <c r="HQA538" s="22" t="e">
        <f ca="1"/>
        <v>#N/A</v>
      </c>
      <c r="HQB538" s="22" t="e">
        <f ca="1"/>
        <v>#N/A</v>
      </c>
      <c r="HQC538" s="22" t="e">
        <f ca="1"/>
        <v>#N/A</v>
      </c>
      <c r="HQD538" s="22" t="e">
        <f ca="1"/>
        <v>#N/A</v>
      </c>
      <c r="HQE538" s="22" t="e">
        <f ca="1"/>
        <v>#N/A</v>
      </c>
      <c r="HQF538" s="22" t="e">
        <f ca="1"/>
        <v>#N/A</v>
      </c>
      <c r="HQG538" s="22" t="e">
        <f ca="1"/>
        <v>#N/A</v>
      </c>
      <c r="HQH538" s="22" t="e">
        <f ca="1"/>
        <v>#N/A</v>
      </c>
      <c r="HQI538" s="22" t="e">
        <f ca="1"/>
        <v>#N/A</v>
      </c>
      <c r="HQJ538" s="22" t="e">
        <f ca="1"/>
        <v>#N/A</v>
      </c>
      <c r="HQK538" s="22" t="e">
        <f ca="1"/>
        <v>#N/A</v>
      </c>
      <c r="HQL538" s="22" t="e">
        <f ca="1"/>
        <v>#N/A</v>
      </c>
      <c r="HQM538" s="22" t="e">
        <f ca="1"/>
        <v>#N/A</v>
      </c>
      <c r="HQN538" s="22" t="e">
        <f ca="1"/>
        <v>#N/A</v>
      </c>
      <c r="HQO538" s="22" t="e">
        <f ca="1"/>
        <v>#N/A</v>
      </c>
      <c r="HQP538" s="22" t="e">
        <f ca="1"/>
        <v>#N/A</v>
      </c>
      <c r="HQQ538" s="22" t="e">
        <f ca="1"/>
        <v>#N/A</v>
      </c>
      <c r="HQR538" s="22" t="e">
        <f ca="1"/>
        <v>#N/A</v>
      </c>
      <c r="HQS538" s="22" t="e">
        <f ca="1"/>
        <v>#N/A</v>
      </c>
      <c r="HQT538" s="22" t="e">
        <f ca="1"/>
        <v>#N/A</v>
      </c>
      <c r="HQU538" s="22" t="e">
        <f ca="1"/>
        <v>#N/A</v>
      </c>
      <c r="HQV538" s="22" t="e">
        <f ca="1"/>
        <v>#N/A</v>
      </c>
      <c r="HQW538" s="22" t="e">
        <f ca="1"/>
        <v>#N/A</v>
      </c>
      <c r="HQX538" s="22" t="e">
        <f ca="1"/>
        <v>#N/A</v>
      </c>
      <c r="HQY538" s="22" t="e">
        <f ca="1"/>
        <v>#N/A</v>
      </c>
      <c r="HQZ538" s="22" t="e">
        <f ca="1"/>
        <v>#N/A</v>
      </c>
      <c r="HRA538" s="22" t="e">
        <f ca="1"/>
        <v>#N/A</v>
      </c>
      <c r="HRB538" s="22" t="e">
        <f ca="1"/>
        <v>#N/A</v>
      </c>
      <c r="HRC538" s="22" t="e">
        <f ca="1"/>
        <v>#N/A</v>
      </c>
      <c r="HRD538" s="22" t="e">
        <f ca="1"/>
        <v>#N/A</v>
      </c>
      <c r="HRE538" s="22" t="e">
        <f ca="1"/>
        <v>#N/A</v>
      </c>
      <c r="HRF538" s="22" t="e">
        <f ca="1"/>
        <v>#N/A</v>
      </c>
      <c r="HRG538" s="22" t="e">
        <f ca="1"/>
        <v>#N/A</v>
      </c>
      <c r="HRH538" s="22" t="e">
        <f ca="1"/>
        <v>#N/A</v>
      </c>
      <c r="HRI538" s="22" t="e">
        <f ca="1"/>
        <v>#N/A</v>
      </c>
      <c r="HRJ538" s="22" t="e">
        <f ca="1"/>
        <v>#N/A</v>
      </c>
      <c r="HRK538" s="22" t="e">
        <f ca="1"/>
        <v>#N/A</v>
      </c>
      <c r="HRL538" s="22" t="e">
        <f ca="1"/>
        <v>#N/A</v>
      </c>
      <c r="HRM538" s="22" t="e">
        <f ca="1"/>
        <v>#N/A</v>
      </c>
      <c r="HRN538" s="22" t="e">
        <f ca="1"/>
        <v>#N/A</v>
      </c>
      <c r="HRO538" s="22" t="e">
        <f ca="1"/>
        <v>#N/A</v>
      </c>
      <c r="HRP538" s="22" t="e">
        <f ca="1"/>
        <v>#N/A</v>
      </c>
      <c r="HRQ538" s="22" t="e">
        <f ca="1"/>
        <v>#N/A</v>
      </c>
      <c r="HRR538" s="22" t="e">
        <f ca="1"/>
        <v>#N/A</v>
      </c>
      <c r="HRS538" s="22" t="e">
        <f ca="1"/>
        <v>#N/A</v>
      </c>
      <c r="HRT538" s="22" t="e">
        <f ca="1"/>
        <v>#N/A</v>
      </c>
      <c r="HRU538" s="22" t="e">
        <f ca="1"/>
        <v>#N/A</v>
      </c>
      <c r="HRV538" s="22" t="e">
        <f ca="1"/>
        <v>#N/A</v>
      </c>
      <c r="HRW538" s="22" t="e">
        <f ca="1"/>
        <v>#N/A</v>
      </c>
      <c r="HRX538" s="22" t="e">
        <f ca="1"/>
        <v>#N/A</v>
      </c>
      <c r="HRY538" s="22" t="e">
        <f ca="1"/>
        <v>#N/A</v>
      </c>
      <c r="HRZ538" s="22" t="e">
        <f ca="1"/>
        <v>#N/A</v>
      </c>
      <c r="HSA538" s="22" t="e">
        <f ca="1"/>
        <v>#N/A</v>
      </c>
      <c r="HSB538" s="22" t="e">
        <f ca="1"/>
        <v>#N/A</v>
      </c>
      <c r="HSC538" s="22" t="e">
        <f ca="1"/>
        <v>#N/A</v>
      </c>
      <c r="HSD538" s="22" t="e">
        <f ca="1"/>
        <v>#N/A</v>
      </c>
      <c r="HSE538" s="22" t="e">
        <f ca="1"/>
        <v>#N/A</v>
      </c>
      <c r="HSF538" s="22" t="e">
        <f ca="1"/>
        <v>#N/A</v>
      </c>
      <c r="HSG538" s="22" t="e">
        <f ca="1"/>
        <v>#N/A</v>
      </c>
      <c r="HSH538" s="22" t="e">
        <f ca="1"/>
        <v>#N/A</v>
      </c>
      <c r="HSI538" s="22" t="e">
        <f ca="1"/>
        <v>#N/A</v>
      </c>
      <c r="HSJ538" s="22" t="e">
        <f ca="1"/>
        <v>#N/A</v>
      </c>
      <c r="HSK538" s="22" t="e">
        <f ca="1"/>
        <v>#N/A</v>
      </c>
      <c r="HSL538" s="22" t="e">
        <f ca="1"/>
        <v>#N/A</v>
      </c>
      <c r="HSM538" s="22" t="e">
        <f ca="1"/>
        <v>#N/A</v>
      </c>
      <c r="HSN538" s="22" t="e">
        <f ca="1"/>
        <v>#N/A</v>
      </c>
      <c r="HSO538" s="22" t="e">
        <f ca="1"/>
        <v>#N/A</v>
      </c>
      <c r="HSP538" s="22" t="e">
        <f ca="1"/>
        <v>#N/A</v>
      </c>
      <c r="HSQ538" s="22" t="e">
        <f ca="1"/>
        <v>#N/A</v>
      </c>
      <c r="HSR538" s="22" t="e">
        <f ca="1"/>
        <v>#N/A</v>
      </c>
      <c r="HSS538" s="22" t="e">
        <f ca="1"/>
        <v>#N/A</v>
      </c>
      <c r="HST538" s="22" t="e">
        <f ca="1"/>
        <v>#N/A</v>
      </c>
      <c r="HSU538" s="22" t="e">
        <f ca="1"/>
        <v>#N/A</v>
      </c>
      <c r="HSV538" s="22" t="e">
        <f ca="1"/>
        <v>#N/A</v>
      </c>
      <c r="HSW538" s="22" t="e">
        <f ca="1"/>
        <v>#N/A</v>
      </c>
      <c r="HSX538" s="22" t="e">
        <f ca="1"/>
        <v>#N/A</v>
      </c>
      <c r="HSY538" s="22" t="e">
        <f ca="1"/>
        <v>#N/A</v>
      </c>
      <c r="HSZ538" s="22" t="e">
        <f ca="1"/>
        <v>#N/A</v>
      </c>
      <c r="HTA538" s="22" t="e">
        <f ca="1"/>
        <v>#N/A</v>
      </c>
      <c r="HTB538" s="22" t="e">
        <f ca="1"/>
        <v>#N/A</v>
      </c>
      <c r="HTC538" s="22" t="e">
        <f ca="1"/>
        <v>#N/A</v>
      </c>
      <c r="HTD538" s="22" t="e">
        <f ca="1"/>
        <v>#N/A</v>
      </c>
      <c r="HTE538" s="22" t="e">
        <f ca="1"/>
        <v>#N/A</v>
      </c>
      <c r="HTF538" s="22" t="e">
        <f ca="1"/>
        <v>#N/A</v>
      </c>
      <c r="HTG538" s="22" t="e">
        <f ca="1"/>
        <v>#N/A</v>
      </c>
      <c r="HTH538" s="22" t="e">
        <f ca="1"/>
        <v>#N/A</v>
      </c>
      <c r="HTI538" s="22" t="e">
        <f ca="1"/>
        <v>#N/A</v>
      </c>
      <c r="HTJ538" s="22" t="e">
        <f ca="1"/>
        <v>#N/A</v>
      </c>
      <c r="HTK538" s="22" t="e">
        <f ca="1"/>
        <v>#N/A</v>
      </c>
      <c r="HTL538" s="22" t="e">
        <f ca="1"/>
        <v>#N/A</v>
      </c>
      <c r="HTM538" s="22" t="e">
        <f ca="1"/>
        <v>#N/A</v>
      </c>
      <c r="HTN538" s="22" t="e">
        <f ca="1"/>
        <v>#N/A</v>
      </c>
      <c r="HTO538" s="22" t="e">
        <f ca="1"/>
        <v>#N/A</v>
      </c>
      <c r="HTP538" s="22" t="e">
        <f ca="1"/>
        <v>#N/A</v>
      </c>
      <c r="HTQ538" s="22" t="e">
        <f ca="1"/>
        <v>#N/A</v>
      </c>
      <c r="HTR538" s="22" t="e">
        <f ca="1"/>
        <v>#N/A</v>
      </c>
      <c r="HTS538" s="22" t="e">
        <f ca="1"/>
        <v>#N/A</v>
      </c>
      <c r="HTT538" s="22" t="e">
        <f ca="1"/>
        <v>#N/A</v>
      </c>
      <c r="HTU538" s="22" t="e">
        <f ca="1"/>
        <v>#N/A</v>
      </c>
      <c r="HTV538" s="22" t="e">
        <f ca="1"/>
        <v>#N/A</v>
      </c>
      <c r="HTW538" s="22" t="e">
        <f ca="1"/>
        <v>#N/A</v>
      </c>
      <c r="HTX538" s="22" t="e">
        <f ca="1"/>
        <v>#N/A</v>
      </c>
      <c r="HTY538" s="22" t="e">
        <f ca="1"/>
        <v>#N/A</v>
      </c>
      <c r="HTZ538" s="22" t="e">
        <f ca="1"/>
        <v>#N/A</v>
      </c>
      <c r="HUA538" s="22" t="e">
        <f ca="1"/>
        <v>#N/A</v>
      </c>
      <c r="HUB538" s="22" t="e">
        <f ca="1"/>
        <v>#N/A</v>
      </c>
      <c r="HUC538" s="22" t="e">
        <f ca="1"/>
        <v>#N/A</v>
      </c>
      <c r="HUD538" s="22" t="e">
        <f ca="1"/>
        <v>#N/A</v>
      </c>
      <c r="HUE538" s="22" t="e">
        <f ca="1"/>
        <v>#N/A</v>
      </c>
      <c r="HUF538" s="22" t="e">
        <f ca="1"/>
        <v>#N/A</v>
      </c>
      <c r="HUG538" s="22" t="e">
        <f ca="1"/>
        <v>#N/A</v>
      </c>
      <c r="HUH538" s="22" t="e">
        <f ca="1"/>
        <v>#N/A</v>
      </c>
      <c r="HUI538" s="22" t="e">
        <f ca="1"/>
        <v>#N/A</v>
      </c>
      <c r="HUJ538" s="22" t="e">
        <f ca="1"/>
        <v>#N/A</v>
      </c>
      <c r="HUK538" s="22" t="e">
        <f ca="1"/>
        <v>#N/A</v>
      </c>
      <c r="HUL538" s="22" t="e">
        <f ca="1"/>
        <v>#N/A</v>
      </c>
      <c r="HUM538" s="22" t="e">
        <f ca="1"/>
        <v>#N/A</v>
      </c>
      <c r="HUN538" s="22" t="e">
        <f ca="1"/>
        <v>#N/A</v>
      </c>
      <c r="HUO538" s="22" t="e">
        <f ca="1"/>
        <v>#N/A</v>
      </c>
      <c r="HUP538" s="22" t="e">
        <f ca="1"/>
        <v>#N/A</v>
      </c>
      <c r="HUQ538" s="22" t="e">
        <f ca="1"/>
        <v>#N/A</v>
      </c>
      <c r="HUR538" s="22" t="e">
        <f ca="1"/>
        <v>#N/A</v>
      </c>
      <c r="HUS538" s="22" t="e">
        <f ca="1"/>
        <v>#N/A</v>
      </c>
      <c r="HUT538" s="22" t="e">
        <f ca="1"/>
        <v>#N/A</v>
      </c>
      <c r="HUU538" s="22" t="e">
        <f ca="1"/>
        <v>#N/A</v>
      </c>
      <c r="HUV538" s="22" t="e">
        <f ca="1"/>
        <v>#N/A</v>
      </c>
      <c r="HUW538" s="22" t="e">
        <f ca="1"/>
        <v>#N/A</v>
      </c>
      <c r="HUX538" s="22" t="e">
        <f ca="1"/>
        <v>#N/A</v>
      </c>
      <c r="HUY538" s="22" t="e">
        <f ca="1"/>
        <v>#N/A</v>
      </c>
      <c r="HUZ538" s="22" t="e">
        <f ca="1"/>
        <v>#N/A</v>
      </c>
      <c r="HVA538" s="22" t="e">
        <f ca="1"/>
        <v>#N/A</v>
      </c>
      <c r="HVB538" s="22" t="e">
        <f ca="1"/>
        <v>#N/A</v>
      </c>
      <c r="HVC538" s="22" t="e">
        <f ca="1"/>
        <v>#N/A</v>
      </c>
      <c r="HVD538" s="22" t="e">
        <f ca="1"/>
        <v>#N/A</v>
      </c>
      <c r="HVE538" s="22" t="e">
        <f ca="1"/>
        <v>#N/A</v>
      </c>
      <c r="HVF538" s="22" t="e">
        <f ca="1"/>
        <v>#N/A</v>
      </c>
      <c r="HVG538" s="22" t="e">
        <f ca="1"/>
        <v>#N/A</v>
      </c>
      <c r="HVH538" s="22" t="e">
        <f ca="1"/>
        <v>#N/A</v>
      </c>
      <c r="HVI538" s="22" t="e">
        <f ca="1"/>
        <v>#N/A</v>
      </c>
      <c r="HVJ538" s="22" t="e">
        <f ca="1"/>
        <v>#N/A</v>
      </c>
      <c r="HVK538" s="22" t="e">
        <f ca="1"/>
        <v>#N/A</v>
      </c>
      <c r="HVL538" s="22" t="e">
        <f ca="1"/>
        <v>#N/A</v>
      </c>
      <c r="HVM538" s="22" t="e">
        <f ca="1"/>
        <v>#N/A</v>
      </c>
      <c r="HVN538" s="22" t="e">
        <f ca="1"/>
        <v>#N/A</v>
      </c>
      <c r="HVO538" s="22" t="e">
        <f ca="1"/>
        <v>#N/A</v>
      </c>
      <c r="HVP538" s="22" t="e">
        <f ca="1"/>
        <v>#N/A</v>
      </c>
      <c r="HVQ538" s="22" t="e">
        <f ca="1"/>
        <v>#N/A</v>
      </c>
      <c r="HVR538" s="22" t="e">
        <f ca="1"/>
        <v>#N/A</v>
      </c>
      <c r="HVS538" s="22" t="e">
        <f ca="1"/>
        <v>#N/A</v>
      </c>
      <c r="HVT538" s="22" t="e">
        <f ca="1"/>
        <v>#N/A</v>
      </c>
      <c r="HVU538" s="22" t="e">
        <f ca="1"/>
        <v>#N/A</v>
      </c>
      <c r="HVV538" s="22" t="e">
        <f ca="1"/>
        <v>#N/A</v>
      </c>
      <c r="HVW538" s="22" t="e">
        <f ca="1"/>
        <v>#N/A</v>
      </c>
      <c r="HVX538" s="22" t="e">
        <f ca="1"/>
        <v>#N/A</v>
      </c>
      <c r="HVY538" s="22" t="e">
        <f ca="1"/>
        <v>#N/A</v>
      </c>
      <c r="HVZ538" s="22" t="e">
        <f ca="1"/>
        <v>#N/A</v>
      </c>
      <c r="HWA538" s="22" t="e">
        <f ca="1"/>
        <v>#N/A</v>
      </c>
      <c r="HWB538" s="22" t="e">
        <f ca="1"/>
        <v>#N/A</v>
      </c>
      <c r="HWC538" s="22" t="e">
        <f ca="1"/>
        <v>#N/A</v>
      </c>
      <c r="HWD538" s="22" t="e">
        <f ca="1"/>
        <v>#N/A</v>
      </c>
      <c r="HWE538" s="22" t="e">
        <f ca="1"/>
        <v>#N/A</v>
      </c>
      <c r="HWF538" s="22" t="e">
        <f ca="1"/>
        <v>#N/A</v>
      </c>
      <c r="HWG538" s="22" t="e">
        <f ca="1"/>
        <v>#N/A</v>
      </c>
      <c r="HWH538" s="22" t="e">
        <f ca="1"/>
        <v>#N/A</v>
      </c>
      <c r="HWI538" s="22" t="e">
        <f ca="1"/>
        <v>#N/A</v>
      </c>
      <c r="HWJ538" s="22" t="e">
        <f ca="1"/>
        <v>#N/A</v>
      </c>
      <c r="HWK538" s="22" t="e">
        <f ca="1"/>
        <v>#N/A</v>
      </c>
      <c r="HWL538" s="22" t="e">
        <f ca="1"/>
        <v>#N/A</v>
      </c>
      <c r="HWM538" s="22" t="e">
        <f ca="1"/>
        <v>#N/A</v>
      </c>
      <c r="HWN538" s="22" t="e">
        <f ca="1"/>
        <v>#N/A</v>
      </c>
      <c r="HWO538" s="22" t="e">
        <f ca="1"/>
        <v>#N/A</v>
      </c>
      <c r="HWP538" s="22" t="e">
        <f ca="1"/>
        <v>#N/A</v>
      </c>
      <c r="HWQ538" s="22" t="e">
        <f ca="1"/>
        <v>#N/A</v>
      </c>
      <c r="HWR538" s="22" t="e">
        <f ca="1"/>
        <v>#N/A</v>
      </c>
      <c r="HWS538" s="22" t="e">
        <f ca="1"/>
        <v>#N/A</v>
      </c>
      <c r="HWT538" s="22" t="e">
        <f ca="1"/>
        <v>#N/A</v>
      </c>
      <c r="HWU538" s="22" t="e">
        <f ca="1"/>
        <v>#N/A</v>
      </c>
      <c r="HWV538" s="22" t="e">
        <f ca="1"/>
        <v>#N/A</v>
      </c>
      <c r="HWW538" s="22" t="e">
        <f ca="1"/>
        <v>#N/A</v>
      </c>
      <c r="HWX538" s="22" t="e">
        <f ca="1"/>
        <v>#N/A</v>
      </c>
      <c r="HWY538" s="22" t="e">
        <f ca="1"/>
        <v>#N/A</v>
      </c>
      <c r="HWZ538" s="22" t="e">
        <f ca="1"/>
        <v>#N/A</v>
      </c>
      <c r="HXA538" s="22" t="e">
        <f ca="1"/>
        <v>#N/A</v>
      </c>
      <c r="HXB538" s="22" t="e">
        <f ca="1"/>
        <v>#N/A</v>
      </c>
      <c r="HXC538" s="22" t="e">
        <f ca="1"/>
        <v>#N/A</v>
      </c>
      <c r="HXD538" s="22" t="e">
        <f ca="1"/>
        <v>#N/A</v>
      </c>
      <c r="HXE538" s="22" t="e">
        <f ca="1"/>
        <v>#N/A</v>
      </c>
      <c r="HXF538" s="22" t="e">
        <f ca="1"/>
        <v>#N/A</v>
      </c>
      <c r="HXG538" s="22" t="e">
        <f ca="1"/>
        <v>#N/A</v>
      </c>
      <c r="HXH538" s="22" t="e">
        <f ca="1"/>
        <v>#N/A</v>
      </c>
      <c r="HXI538" s="22" t="e">
        <f ca="1"/>
        <v>#N/A</v>
      </c>
      <c r="HXJ538" s="22" t="e">
        <f ca="1"/>
        <v>#N/A</v>
      </c>
      <c r="HXK538" s="22" t="e">
        <f ca="1"/>
        <v>#N/A</v>
      </c>
      <c r="HXL538" s="22" t="e">
        <f ca="1"/>
        <v>#N/A</v>
      </c>
      <c r="HXM538" s="22" t="e">
        <f ca="1"/>
        <v>#N/A</v>
      </c>
      <c r="HXN538" s="22" t="e">
        <f ca="1"/>
        <v>#N/A</v>
      </c>
      <c r="HXO538" s="22" t="e">
        <f ca="1"/>
        <v>#N/A</v>
      </c>
      <c r="HXP538" s="22" t="e">
        <f ca="1"/>
        <v>#N/A</v>
      </c>
      <c r="HXQ538" s="22" t="e">
        <f ca="1"/>
        <v>#N/A</v>
      </c>
      <c r="HXR538" s="22" t="e">
        <f ca="1"/>
        <v>#N/A</v>
      </c>
      <c r="HXS538" s="22" t="e">
        <f ca="1"/>
        <v>#N/A</v>
      </c>
      <c r="HXT538" s="22" t="e">
        <f ca="1"/>
        <v>#N/A</v>
      </c>
      <c r="HXU538" s="22" t="e">
        <f ca="1"/>
        <v>#N/A</v>
      </c>
      <c r="HXV538" s="22" t="e">
        <f ca="1"/>
        <v>#N/A</v>
      </c>
      <c r="HXW538" s="22" t="e">
        <f ca="1"/>
        <v>#N/A</v>
      </c>
      <c r="HXX538" s="22" t="e">
        <f ca="1"/>
        <v>#N/A</v>
      </c>
      <c r="HXY538" s="22" t="e">
        <f ca="1"/>
        <v>#N/A</v>
      </c>
      <c r="HXZ538" s="22" t="e">
        <f ca="1"/>
        <v>#N/A</v>
      </c>
      <c r="HYA538" s="22" t="e">
        <f ca="1"/>
        <v>#N/A</v>
      </c>
      <c r="HYB538" s="22" t="e">
        <f ca="1"/>
        <v>#N/A</v>
      </c>
      <c r="HYC538" s="22" t="e">
        <f ca="1"/>
        <v>#N/A</v>
      </c>
      <c r="HYD538" s="22" t="e">
        <f ca="1"/>
        <v>#N/A</v>
      </c>
      <c r="HYE538" s="22" t="e">
        <f ca="1"/>
        <v>#N/A</v>
      </c>
      <c r="HYF538" s="22" t="e">
        <f ca="1"/>
        <v>#N/A</v>
      </c>
      <c r="HYG538" s="22" t="e">
        <f ca="1"/>
        <v>#N/A</v>
      </c>
      <c r="HYH538" s="22" t="e">
        <f ca="1"/>
        <v>#N/A</v>
      </c>
      <c r="HYI538" s="22" t="e">
        <f ca="1"/>
        <v>#N/A</v>
      </c>
      <c r="HYJ538" s="22" t="e">
        <f ca="1"/>
        <v>#N/A</v>
      </c>
      <c r="HYK538" s="22" t="e">
        <f ca="1"/>
        <v>#N/A</v>
      </c>
      <c r="HYL538" s="22" t="e">
        <f ca="1"/>
        <v>#N/A</v>
      </c>
      <c r="HYM538" s="22" t="e">
        <f ca="1"/>
        <v>#N/A</v>
      </c>
      <c r="HYN538" s="22" t="e">
        <f ca="1"/>
        <v>#N/A</v>
      </c>
      <c r="HYO538" s="22" t="e">
        <f ca="1"/>
        <v>#N/A</v>
      </c>
      <c r="HYP538" s="22" t="e">
        <f ca="1"/>
        <v>#N/A</v>
      </c>
      <c r="HYQ538" s="22" t="e">
        <f ca="1"/>
        <v>#N/A</v>
      </c>
      <c r="HYR538" s="22" t="e">
        <f ca="1"/>
        <v>#N/A</v>
      </c>
      <c r="HYS538" s="22" t="e">
        <f ca="1"/>
        <v>#N/A</v>
      </c>
      <c r="HYT538" s="22" t="e">
        <f ca="1"/>
        <v>#N/A</v>
      </c>
      <c r="HYU538" s="22" t="e">
        <f ca="1"/>
        <v>#N/A</v>
      </c>
      <c r="HYV538" s="22" t="e">
        <f ca="1"/>
        <v>#N/A</v>
      </c>
      <c r="HYW538" s="22" t="e">
        <f ca="1"/>
        <v>#N/A</v>
      </c>
      <c r="HYX538" s="22" t="e">
        <f ca="1"/>
        <v>#N/A</v>
      </c>
      <c r="HYY538" s="22" t="e">
        <f ca="1"/>
        <v>#N/A</v>
      </c>
      <c r="HYZ538" s="22" t="e">
        <f ca="1"/>
        <v>#N/A</v>
      </c>
      <c r="HZA538" s="22" t="e">
        <f ca="1"/>
        <v>#N/A</v>
      </c>
      <c r="HZB538" s="22" t="e">
        <f ca="1"/>
        <v>#N/A</v>
      </c>
      <c r="HZC538" s="22" t="e">
        <f ca="1"/>
        <v>#N/A</v>
      </c>
      <c r="HZD538" s="22" t="e">
        <f ca="1"/>
        <v>#N/A</v>
      </c>
      <c r="HZE538" s="22" t="e">
        <f ca="1"/>
        <v>#N/A</v>
      </c>
      <c r="HZF538" s="22" t="e">
        <f ca="1"/>
        <v>#N/A</v>
      </c>
      <c r="HZG538" s="22" t="e">
        <f ca="1"/>
        <v>#N/A</v>
      </c>
      <c r="HZH538" s="22" t="e">
        <f ca="1"/>
        <v>#N/A</v>
      </c>
      <c r="HZI538" s="22" t="e">
        <f ca="1"/>
        <v>#N/A</v>
      </c>
      <c r="HZJ538" s="22" t="e">
        <f ca="1"/>
        <v>#N/A</v>
      </c>
      <c r="HZK538" s="22" t="e">
        <f ca="1"/>
        <v>#N/A</v>
      </c>
      <c r="HZL538" s="22" t="e">
        <f ca="1"/>
        <v>#N/A</v>
      </c>
      <c r="HZM538" s="22" t="e">
        <f ca="1"/>
        <v>#N/A</v>
      </c>
      <c r="HZN538" s="22" t="e">
        <f ca="1"/>
        <v>#N/A</v>
      </c>
      <c r="HZO538" s="22" t="e">
        <f ca="1"/>
        <v>#N/A</v>
      </c>
      <c r="HZP538" s="22" t="e">
        <f ca="1"/>
        <v>#N/A</v>
      </c>
      <c r="HZQ538" s="22" t="e">
        <f ca="1"/>
        <v>#N/A</v>
      </c>
      <c r="HZR538" s="22" t="e">
        <f ca="1"/>
        <v>#N/A</v>
      </c>
      <c r="HZS538" s="22" t="e">
        <f ca="1"/>
        <v>#N/A</v>
      </c>
      <c r="HZT538" s="22" t="e">
        <f ca="1"/>
        <v>#N/A</v>
      </c>
      <c r="HZU538" s="22" t="e">
        <f ca="1"/>
        <v>#N/A</v>
      </c>
      <c r="HZV538" s="22" t="e">
        <f ca="1"/>
        <v>#N/A</v>
      </c>
      <c r="HZW538" s="22" t="e">
        <f ca="1"/>
        <v>#N/A</v>
      </c>
      <c r="HZX538" s="22" t="e">
        <f ca="1"/>
        <v>#N/A</v>
      </c>
      <c r="HZY538" s="22" t="e">
        <f ca="1"/>
        <v>#N/A</v>
      </c>
      <c r="HZZ538" s="22" t="e">
        <f ca="1"/>
        <v>#N/A</v>
      </c>
      <c r="IAA538" s="22" t="e">
        <f ca="1"/>
        <v>#N/A</v>
      </c>
      <c r="IAB538" s="22" t="e">
        <f ca="1"/>
        <v>#N/A</v>
      </c>
      <c r="IAC538" s="22" t="e">
        <f ca="1"/>
        <v>#N/A</v>
      </c>
      <c r="IAD538" s="22" t="e">
        <f ca="1"/>
        <v>#N/A</v>
      </c>
      <c r="IAE538" s="22" t="e">
        <f ca="1"/>
        <v>#N/A</v>
      </c>
      <c r="IAF538" s="22" t="e">
        <f ca="1"/>
        <v>#N/A</v>
      </c>
      <c r="IAG538" s="22" t="e">
        <f ca="1"/>
        <v>#N/A</v>
      </c>
      <c r="IAH538" s="22" t="e">
        <f ca="1"/>
        <v>#N/A</v>
      </c>
      <c r="IAI538" s="22" t="e">
        <f ca="1"/>
        <v>#N/A</v>
      </c>
      <c r="IAJ538" s="22" t="e">
        <f ca="1"/>
        <v>#N/A</v>
      </c>
      <c r="IAK538" s="22" t="e">
        <f ca="1"/>
        <v>#N/A</v>
      </c>
      <c r="IAL538" s="22" t="e">
        <f ca="1"/>
        <v>#N/A</v>
      </c>
      <c r="IAM538" s="22" t="e">
        <f ca="1"/>
        <v>#N/A</v>
      </c>
      <c r="IAN538" s="22" t="e">
        <f ca="1"/>
        <v>#N/A</v>
      </c>
      <c r="IAO538" s="22" t="e">
        <f ca="1"/>
        <v>#N/A</v>
      </c>
      <c r="IAP538" s="22" t="e">
        <f ca="1"/>
        <v>#N/A</v>
      </c>
      <c r="IAQ538" s="22" t="e">
        <f ca="1"/>
        <v>#N/A</v>
      </c>
      <c r="IAR538" s="22" t="e">
        <f ca="1"/>
        <v>#N/A</v>
      </c>
      <c r="IAS538" s="22" t="e">
        <f ca="1"/>
        <v>#N/A</v>
      </c>
      <c r="IAT538" s="22" t="e">
        <f ca="1"/>
        <v>#N/A</v>
      </c>
      <c r="IAU538" s="22" t="e">
        <f ca="1"/>
        <v>#N/A</v>
      </c>
      <c r="IAV538" s="22" t="e">
        <f ca="1"/>
        <v>#N/A</v>
      </c>
      <c r="IAW538" s="22" t="e">
        <f ca="1"/>
        <v>#N/A</v>
      </c>
      <c r="IAX538" s="22" t="e">
        <f ca="1"/>
        <v>#N/A</v>
      </c>
      <c r="IAY538" s="22" t="e">
        <f ca="1"/>
        <v>#N/A</v>
      </c>
      <c r="IAZ538" s="22" t="e">
        <f ca="1"/>
        <v>#N/A</v>
      </c>
      <c r="IBA538" s="22" t="e">
        <f ca="1"/>
        <v>#N/A</v>
      </c>
      <c r="IBB538" s="22" t="e">
        <f ca="1"/>
        <v>#N/A</v>
      </c>
      <c r="IBC538" s="22" t="e">
        <f ca="1"/>
        <v>#N/A</v>
      </c>
      <c r="IBD538" s="22" t="e">
        <f ca="1"/>
        <v>#N/A</v>
      </c>
      <c r="IBE538" s="22" t="e">
        <f ca="1"/>
        <v>#N/A</v>
      </c>
      <c r="IBF538" s="22" t="e">
        <f ca="1"/>
        <v>#N/A</v>
      </c>
      <c r="IBG538" s="22" t="e">
        <f ca="1"/>
        <v>#N/A</v>
      </c>
      <c r="IBH538" s="22" t="e">
        <f ca="1"/>
        <v>#N/A</v>
      </c>
      <c r="IBI538" s="22" t="e">
        <f ca="1"/>
        <v>#N/A</v>
      </c>
      <c r="IBJ538" s="22" t="e">
        <f ca="1"/>
        <v>#N/A</v>
      </c>
      <c r="IBK538" s="22" t="e">
        <f ca="1"/>
        <v>#N/A</v>
      </c>
      <c r="IBL538" s="22" t="e">
        <f ca="1"/>
        <v>#N/A</v>
      </c>
      <c r="IBM538" s="22" t="e">
        <f ca="1"/>
        <v>#N/A</v>
      </c>
      <c r="IBN538" s="22" t="e">
        <f ca="1"/>
        <v>#N/A</v>
      </c>
      <c r="IBO538" s="22" t="e">
        <f ca="1"/>
        <v>#N/A</v>
      </c>
      <c r="IBP538" s="22" t="e">
        <f ca="1"/>
        <v>#N/A</v>
      </c>
      <c r="IBQ538" s="22" t="e">
        <f ca="1"/>
        <v>#N/A</v>
      </c>
      <c r="IBR538" s="22" t="e">
        <f ca="1"/>
        <v>#N/A</v>
      </c>
      <c r="IBS538" s="22" t="e">
        <f ca="1"/>
        <v>#N/A</v>
      </c>
      <c r="IBT538" s="22" t="e">
        <f ca="1"/>
        <v>#N/A</v>
      </c>
      <c r="IBU538" s="22" t="e">
        <f ca="1"/>
        <v>#N/A</v>
      </c>
      <c r="IBV538" s="22" t="e">
        <f ca="1"/>
        <v>#N/A</v>
      </c>
      <c r="IBW538" s="22" t="e">
        <f ca="1"/>
        <v>#N/A</v>
      </c>
      <c r="IBX538" s="22" t="e">
        <f ca="1"/>
        <v>#N/A</v>
      </c>
      <c r="IBY538" s="22" t="e">
        <f ca="1"/>
        <v>#N/A</v>
      </c>
      <c r="IBZ538" s="22" t="e">
        <f ca="1"/>
        <v>#N/A</v>
      </c>
      <c r="ICA538" s="22" t="e">
        <f ca="1"/>
        <v>#N/A</v>
      </c>
      <c r="ICB538" s="22" t="e">
        <f ca="1"/>
        <v>#N/A</v>
      </c>
      <c r="ICC538" s="22" t="e">
        <f ca="1"/>
        <v>#N/A</v>
      </c>
      <c r="ICD538" s="22" t="e">
        <f ca="1"/>
        <v>#N/A</v>
      </c>
      <c r="ICE538" s="22" t="e">
        <f ca="1"/>
        <v>#N/A</v>
      </c>
      <c r="ICF538" s="22" t="e">
        <f ca="1"/>
        <v>#N/A</v>
      </c>
      <c r="ICG538" s="22" t="e">
        <f ca="1"/>
        <v>#N/A</v>
      </c>
      <c r="ICH538" s="22" t="e">
        <f ca="1"/>
        <v>#N/A</v>
      </c>
      <c r="ICI538" s="22" t="e">
        <f ca="1"/>
        <v>#N/A</v>
      </c>
      <c r="ICJ538" s="22" t="e">
        <f ca="1"/>
        <v>#N/A</v>
      </c>
      <c r="ICK538" s="22" t="e">
        <f ca="1"/>
        <v>#N/A</v>
      </c>
      <c r="ICL538" s="22" t="e">
        <f ca="1"/>
        <v>#N/A</v>
      </c>
      <c r="ICM538" s="22" t="e">
        <f ca="1"/>
        <v>#N/A</v>
      </c>
      <c r="ICN538" s="22" t="e">
        <f ca="1"/>
        <v>#N/A</v>
      </c>
      <c r="ICO538" s="22" t="e">
        <f ca="1"/>
        <v>#N/A</v>
      </c>
      <c r="ICP538" s="22" t="e">
        <f ca="1"/>
        <v>#N/A</v>
      </c>
      <c r="ICQ538" s="22" t="e">
        <f ca="1"/>
        <v>#N/A</v>
      </c>
      <c r="ICR538" s="22" t="e">
        <f ca="1"/>
        <v>#N/A</v>
      </c>
      <c r="ICS538" s="22" t="e">
        <f ca="1"/>
        <v>#N/A</v>
      </c>
      <c r="ICT538" s="22" t="e">
        <f ca="1"/>
        <v>#N/A</v>
      </c>
      <c r="ICU538" s="22" t="e">
        <f ca="1"/>
        <v>#N/A</v>
      </c>
      <c r="ICV538" s="22" t="e">
        <f ca="1"/>
        <v>#N/A</v>
      </c>
      <c r="ICW538" s="22" t="e">
        <f ca="1"/>
        <v>#N/A</v>
      </c>
      <c r="ICX538" s="22" t="e">
        <f ca="1"/>
        <v>#N/A</v>
      </c>
      <c r="ICY538" s="22" t="e">
        <f ca="1"/>
        <v>#N/A</v>
      </c>
      <c r="ICZ538" s="22" t="e">
        <f ca="1"/>
        <v>#N/A</v>
      </c>
      <c r="IDA538" s="22" t="e">
        <f ca="1"/>
        <v>#N/A</v>
      </c>
      <c r="IDB538" s="22" t="e">
        <f ca="1"/>
        <v>#N/A</v>
      </c>
      <c r="IDC538" s="22" t="e">
        <f ca="1"/>
        <v>#N/A</v>
      </c>
      <c r="IDD538" s="22" t="e">
        <f ca="1"/>
        <v>#N/A</v>
      </c>
      <c r="IDE538" s="22" t="e">
        <f ca="1"/>
        <v>#N/A</v>
      </c>
      <c r="IDF538" s="22" t="e">
        <f ca="1"/>
        <v>#N/A</v>
      </c>
      <c r="IDG538" s="22" t="e">
        <f ca="1"/>
        <v>#N/A</v>
      </c>
      <c r="IDH538" s="22" t="e">
        <f ca="1"/>
        <v>#N/A</v>
      </c>
      <c r="IDI538" s="22" t="e">
        <f ca="1"/>
        <v>#N/A</v>
      </c>
      <c r="IDJ538" s="22" t="e">
        <f ca="1"/>
        <v>#N/A</v>
      </c>
      <c r="IDK538" s="22" t="e">
        <f ca="1"/>
        <v>#N/A</v>
      </c>
      <c r="IDL538" s="22" t="e">
        <f ca="1"/>
        <v>#N/A</v>
      </c>
      <c r="IDM538" s="22" t="e">
        <f ca="1"/>
        <v>#N/A</v>
      </c>
      <c r="IDN538" s="22" t="e">
        <f ca="1"/>
        <v>#N/A</v>
      </c>
      <c r="IDO538" s="22" t="e">
        <f ca="1"/>
        <v>#N/A</v>
      </c>
      <c r="IDP538" s="22" t="e">
        <f ca="1"/>
        <v>#N/A</v>
      </c>
      <c r="IDQ538" s="22" t="e">
        <f ca="1"/>
        <v>#N/A</v>
      </c>
      <c r="IDR538" s="22" t="e">
        <f ca="1"/>
        <v>#N/A</v>
      </c>
      <c r="IDS538" s="22" t="e">
        <f ca="1"/>
        <v>#N/A</v>
      </c>
      <c r="IDT538" s="22" t="e">
        <f ca="1"/>
        <v>#N/A</v>
      </c>
      <c r="IDU538" s="22" t="e">
        <f ca="1"/>
        <v>#N/A</v>
      </c>
      <c r="IDV538" s="22" t="e">
        <f ca="1"/>
        <v>#N/A</v>
      </c>
      <c r="IDW538" s="22" t="e">
        <f ca="1"/>
        <v>#N/A</v>
      </c>
      <c r="IDX538" s="22" t="e">
        <f ca="1"/>
        <v>#N/A</v>
      </c>
      <c r="IDY538" s="22" t="e">
        <f ca="1"/>
        <v>#N/A</v>
      </c>
      <c r="IDZ538" s="22" t="e">
        <f ca="1"/>
        <v>#N/A</v>
      </c>
      <c r="IEA538" s="22" t="e">
        <f ca="1"/>
        <v>#N/A</v>
      </c>
      <c r="IEB538" s="22" t="e">
        <f ca="1"/>
        <v>#N/A</v>
      </c>
      <c r="IEC538" s="22" t="e">
        <f ca="1"/>
        <v>#N/A</v>
      </c>
      <c r="IED538" s="22" t="e">
        <f ca="1"/>
        <v>#N/A</v>
      </c>
      <c r="IEE538" s="22" t="e">
        <f ca="1"/>
        <v>#N/A</v>
      </c>
      <c r="IEF538" s="22" t="e">
        <f ca="1"/>
        <v>#N/A</v>
      </c>
      <c r="IEG538" s="22" t="e">
        <f ca="1"/>
        <v>#N/A</v>
      </c>
      <c r="IEH538" s="22" t="e">
        <f ca="1"/>
        <v>#N/A</v>
      </c>
      <c r="IEI538" s="22" t="e">
        <f ca="1"/>
        <v>#N/A</v>
      </c>
      <c r="IEJ538" s="22" t="e">
        <f ca="1"/>
        <v>#N/A</v>
      </c>
      <c r="IEK538" s="22" t="e">
        <f ca="1"/>
        <v>#N/A</v>
      </c>
      <c r="IEL538" s="22" t="e">
        <f ca="1"/>
        <v>#N/A</v>
      </c>
      <c r="IEM538" s="22" t="e">
        <f ca="1"/>
        <v>#N/A</v>
      </c>
      <c r="IEN538" s="22" t="e">
        <f ca="1"/>
        <v>#N/A</v>
      </c>
      <c r="IEO538" s="22" t="e">
        <f ca="1"/>
        <v>#N/A</v>
      </c>
      <c r="IEP538" s="22" t="e">
        <f ca="1"/>
        <v>#N/A</v>
      </c>
      <c r="IEQ538" s="22" t="e">
        <f ca="1"/>
        <v>#N/A</v>
      </c>
      <c r="IER538" s="22" t="e">
        <f ca="1"/>
        <v>#N/A</v>
      </c>
      <c r="IES538" s="22" t="e">
        <f ca="1"/>
        <v>#N/A</v>
      </c>
      <c r="IET538" s="22" t="e">
        <f ca="1"/>
        <v>#N/A</v>
      </c>
      <c r="IEU538" s="22" t="e">
        <f ca="1"/>
        <v>#N/A</v>
      </c>
      <c r="IEV538" s="22" t="e">
        <f ca="1"/>
        <v>#N/A</v>
      </c>
      <c r="IEW538" s="22" t="e">
        <f ca="1"/>
        <v>#N/A</v>
      </c>
      <c r="IEX538" s="22" t="e">
        <f ca="1"/>
        <v>#N/A</v>
      </c>
      <c r="IEY538" s="22" t="e">
        <f ca="1"/>
        <v>#N/A</v>
      </c>
      <c r="IEZ538" s="22" t="e">
        <f ca="1"/>
        <v>#N/A</v>
      </c>
      <c r="IFA538" s="22" t="e">
        <f ca="1"/>
        <v>#N/A</v>
      </c>
      <c r="IFB538" s="22" t="e">
        <f ca="1"/>
        <v>#N/A</v>
      </c>
      <c r="IFC538" s="22" t="e">
        <f ca="1"/>
        <v>#N/A</v>
      </c>
      <c r="IFD538" s="22" t="e">
        <f ca="1"/>
        <v>#N/A</v>
      </c>
      <c r="IFE538" s="22" t="e">
        <f ca="1"/>
        <v>#N/A</v>
      </c>
      <c r="IFF538" s="22" t="e">
        <f ca="1"/>
        <v>#N/A</v>
      </c>
      <c r="IFG538" s="22" t="e">
        <f ca="1"/>
        <v>#N/A</v>
      </c>
      <c r="IFH538" s="22" t="e">
        <f ca="1"/>
        <v>#N/A</v>
      </c>
      <c r="IFI538" s="22" t="e">
        <f ca="1"/>
        <v>#N/A</v>
      </c>
      <c r="IFJ538" s="22" t="e">
        <f ca="1"/>
        <v>#N/A</v>
      </c>
      <c r="IFK538" s="22" t="e">
        <f ca="1"/>
        <v>#N/A</v>
      </c>
      <c r="IFL538" s="22" t="e">
        <f ca="1"/>
        <v>#N/A</v>
      </c>
      <c r="IFM538" s="22" t="e">
        <f ca="1"/>
        <v>#N/A</v>
      </c>
      <c r="IFN538" s="22" t="e">
        <f ca="1"/>
        <v>#N/A</v>
      </c>
      <c r="IFO538" s="22" t="e">
        <f ca="1"/>
        <v>#N/A</v>
      </c>
      <c r="IFP538" s="22" t="e">
        <f ca="1"/>
        <v>#N/A</v>
      </c>
      <c r="IFQ538" s="22" t="e">
        <f ca="1"/>
        <v>#N/A</v>
      </c>
      <c r="IFR538" s="22" t="e">
        <f ca="1"/>
        <v>#N/A</v>
      </c>
      <c r="IFS538" s="22" t="e">
        <f ca="1"/>
        <v>#N/A</v>
      </c>
      <c r="IFT538" s="22" t="e">
        <f ca="1"/>
        <v>#N/A</v>
      </c>
      <c r="IFU538" s="22" t="e">
        <f ca="1"/>
        <v>#N/A</v>
      </c>
      <c r="IFV538" s="22" t="e">
        <f ca="1"/>
        <v>#N/A</v>
      </c>
      <c r="IFW538" s="22" t="e">
        <f ca="1"/>
        <v>#N/A</v>
      </c>
      <c r="IFX538" s="22" t="e">
        <f ca="1"/>
        <v>#N/A</v>
      </c>
      <c r="IFY538" s="22" t="e">
        <f ca="1"/>
        <v>#N/A</v>
      </c>
      <c r="IFZ538" s="22" t="e">
        <f ca="1"/>
        <v>#N/A</v>
      </c>
      <c r="IGA538" s="22" t="e">
        <f ca="1"/>
        <v>#N/A</v>
      </c>
      <c r="IGB538" s="22" t="e">
        <f ca="1"/>
        <v>#N/A</v>
      </c>
      <c r="IGC538" s="22" t="e">
        <f ca="1"/>
        <v>#N/A</v>
      </c>
      <c r="IGD538" s="22" t="e">
        <f ca="1"/>
        <v>#N/A</v>
      </c>
      <c r="IGE538" s="22" t="e">
        <f ca="1"/>
        <v>#N/A</v>
      </c>
      <c r="IGF538" s="22" t="e">
        <f ca="1"/>
        <v>#N/A</v>
      </c>
      <c r="IGG538" s="22" t="e">
        <f ca="1"/>
        <v>#N/A</v>
      </c>
      <c r="IGH538" s="22" t="e">
        <f ca="1"/>
        <v>#N/A</v>
      </c>
      <c r="IGI538" s="22" t="e">
        <f ca="1"/>
        <v>#N/A</v>
      </c>
      <c r="IGJ538" s="22" t="e">
        <f ca="1"/>
        <v>#N/A</v>
      </c>
      <c r="IGK538" s="22" t="e">
        <f ca="1"/>
        <v>#N/A</v>
      </c>
      <c r="IGL538" s="22" t="e">
        <f ca="1"/>
        <v>#N/A</v>
      </c>
      <c r="IGM538" s="22" t="e">
        <f ca="1"/>
        <v>#N/A</v>
      </c>
      <c r="IGN538" s="22" t="e">
        <f ca="1"/>
        <v>#N/A</v>
      </c>
      <c r="IGO538" s="22" t="e">
        <f ca="1"/>
        <v>#N/A</v>
      </c>
      <c r="IGP538" s="22" t="e">
        <f ca="1"/>
        <v>#N/A</v>
      </c>
      <c r="IGQ538" s="22" t="e">
        <f ca="1"/>
        <v>#N/A</v>
      </c>
      <c r="IGR538" s="22" t="e">
        <f ca="1"/>
        <v>#N/A</v>
      </c>
      <c r="IGS538" s="22" t="e">
        <f ca="1"/>
        <v>#N/A</v>
      </c>
      <c r="IGT538" s="22" t="e">
        <f ca="1"/>
        <v>#N/A</v>
      </c>
      <c r="IGU538" s="22" t="e">
        <f ca="1"/>
        <v>#N/A</v>
      </c>
      <c r="IGV538" s="22" t="e">
        <f ca="1"/>
        <v>#N/A</v>
      </c>
      <c r="IGW538" s="22" t="e">
        <f ca="1"/>
        <v>#N/A</v>
      </c>
      <c r="IGX538" s="22" t="e">
        <f ca="1"/>
        <v>#N/A</v>
      </c>
      <c r="IGY538" s="22" t="e">
        <f ca="1"/>
        <v>#N/A</v>
      </c>
      <c r="IGZ538" s="22" t="e">
        <f ca="1"/>
        <v>#N/A</v>
      </c>
      <c r="IHA538" s="22" t="e">
        <f ca="1"/>
        <v>#N/A</v>
      </c>
      <c r="IHB538" s="22" t="e">
        <f ca="1"/>
        <v>#N/A</v>
      </c>
      <c r="IHC538" s="22" t="e">
        <f ca="1"/>
        <v>#N/A</v>
      </c>
      <c r="IHD538" s="22" t="e">
        <f ca="1"/>
        <v>#N/A</v>
      </c>
      <c r="IHE538" s="22" t="e">
        <f ca="1"/>
        <v>#N/A</v>
      </c>
      <c r="IHF538" s="22" t="e">
        <f ca="1"/>
        <v>#N/A</v>
      </c>
      <c r="IHG538" s="22" t="e">
        <f ca="1"/>
        <v>#N/A</v>
      </c>
      <c r="IHH538" s="22" t="e">
        <f ca="1"/>
        <v>#N/A</v>
      </c>
      <c r="IHI538" s="22" t="e">
        <f ca="1"/>
        <v>#N/A</v>
      </c>
      <c r="IHJ538" s="22" t="e">
        <f ca="1"/>
        <v>#N/A</v>
      </c>
      <c r="IHK538" s="22" t="e">
        <f ca="1"/>
        <v>#N/A</v>
      </c>
      <c r="IHL538" s="22" t="e">
        <f ca="1"/>
        <v>#N/A</v>
      </c>
      <c r="IHM538" s="22" t="e">
        <f ca="1"/>
        <v>#N/A</v>
      </c>
      <c r="IHN538" s="22" t="e">
        <f ca="1"/>
        <v>#N/A</v>
      </c>
      <c r="IHO538" s="22" t="e">
        <f ca="1"/>
        <v>#N/A</v>
      </c>
      <c r="IHP538" s="22" t="e">
        <f ca="1"/>
        <v>#N/A</v>
      </c>
      <c r="IHQ538" s="22" t="e">
        <f ca="1"/>
        <v>#N/A</v>
      </c>
      <c r="IHR538" s="22" t="e">
        <f ca="1"/>
        <v>#N/A</v>
      </c>
      <c r="IHS538" s="22" t="e">
        <f ca="1"/>
        <v>#N/A</v>
      </c>
      <c r="IHT538" s="22" t="e">
        <f ca="1"/>
        <v>#N/A</v>
      </c>
      <c r="IHU538" s="22" t="e">
        <f ca="1"/>
        <v>#N/A</v>
      </c>
      <c r="IHV538" s="22" t="e">
        <f ca="1"/>
        <v>#N/A</v>
      </c>
      <c r="IHW538" s="22" t="e">
        <f ca="1"/>
        <v>#N/A</v>
      </c>
      <c r="IHX538" s="22" t="e">
        <f ca="1"/>
        <v>#N/A</v>
      </c>
      <c r="IHY538" s="22" t="e">
        <f ca="1"/>
        <v>#N/A</v>
      </c>
      <c r="IHZ538" s="22" t="e">
        <f ca="1"/>
        <v>#N/A</v>
      </c>
      <c r="IIA538" s="22" t="e">
        <f ca="1"/>
        <v>#N/A</v>
      </c>
      <c r="IIB538" s="22" t="e">
        <f ca="1"/>
        <v>#N/A</v>
      </c>
      <c r="IIC538" s="22" t="e">
        <f ca="1"/>
        <v>#N/A</v>
      </c>
      <c r="IID538" s="22" t="e">
        <f ca="1"/>
        <v>#N/A</v>
      </c>
      <c r="IIE538" s="22" t="e">
        <f ca="1"/>
        <v>#N/A</v>
      </c>
      <c r="IIF538" s="22" t="e">
        <f ca="1"/>
        <v>#N/A</v>
      </c>
      <c r="IIG538" s="22" t="e">
        <f ca="1"/>
        <v>#N/A</v>
      </c>
      <c r="IIH538" s="22" t="e">
        <f ca="1"/>
        <v>#N/A</v>
      </c>
      <c r="III538" s="22" t="e">
        <f ca="1"/>
        <v>#N/A</v>
      </c>
      <c r="IIJ538" s="22" t="e">
        <f ca="1"/>
        <v>#N/A</v>
      </c>
      <c r="IIK538" s="22" t="e">
        <f ca="1"/>
        <v>#N/A</v>
      </c>
      <c r="IIL538" s="22" t="e">
        <f ca="1"/>
        <v>#N/A</v>
      </c>
      <c r="IIM538" s="22" t="e">
        <f ca="1"/>
        <v>#N/A</v>
      </c>
      <c r="IIN538" s="22" t="e">
        <f ca="1"/>
        <v>#N/A</v>
      </c>
      <c r="IIO538" s="22" t="e">
        <f ca="1"/>
        <v>#N/A</v>
      </c>
      <c r="IIP538" s="22" t="e">
        <f ca="1"/>
        <v>#N/A</v>
      </c>
      <c r="IIQ538" s="22" t="e">
        <f ca="1"/>
        <v>#N/A</v>
      </c>
      <c r="IIR538" s="22" t="e">
        <f ca="1"/>
        <v>#N/A</v>
      </c>
      <c r="IIS538" s="22" t="e">
        <f ca="1"/>
        <v>#N/A</v>
      </c>
      <c r="IIT538" s="22" t="e">
        <f ca="1"/>
        <v>#N/A</v>
      </c>
      <c r="IIU538" s="22" t="e">
        <f ca="1"/>
        <v>#N/A</v>
      </c>
      <c r="IIV538" s="22" t="e">
        <f ca="1"/>
        <v>#N/A</v>
      </c>
      <c r="IIW538" s="22" t="e">
        <f ca="1"/>
        <v>#N/A</v>
      </c>
      <c r="IIX538" s="22" t="e">
        <f ca="1"/>
        <v>#N/A</v>
      </c>
      <c r="IIY538" s="22" t="e">
        <f ca="1"/>
        <v>#N/A</v>
      </c>
      <c r="IIZ538" s="22" t="e">
        <f ca="1"/>
        <v>#N/A</v>
      </c>
      <c r="IJA538" s="22" t="e">
        <f ca="1"/>
        <v>#N/A</v>
      </c>
      <c r="IJB538" s="22" t="e">
        <f ca="1"/>
        <v>#N/A</v>
      </c>
      <c r="IJC538" s="22" t="e">
        <f ca="1"/>
        <v>#N/A</v>
      </c>
      <c r="IJD538" s="22" t="e">
        <f ca="1"/>
        <v>#N/A</v>
      </c>
      <c r="IJE538" s="22" t="e">
        <f ca="1"/>
        <v>#N/A</v>
      </c>
      <c r="IJF538" s="22" t="e">
        <f ca="1"/>
        <v>#N/A</v>
      </c>
      <c r="IJG538" s="22" t="e">
        <f ca="1"/>
        <v>#N/A</v>
      </c>
      <c r="IJH538" s="22" t="e">
        <f ca="1"/>
        <v>#N/A</v>
      </c>
      <c r="IJI538" s="22" t="e">
        <f ca="1"/>
        <v>#N/A</v>
      </c>
      <c r="IJJ538" s="22" t="e">
        <f ca="1"/>
        <v>#N/A</v>
      </c>
      <c r="IJK538" s="22" t="e">
        <f ca="1"/>
        <v>#N/A</v>
      </c>
      <c r="IJL538" s="22" t="e">
        <f ca="1"/>
        <v>#N/A</v>
      </c>
      <c r="IJM538" s="22" t="e">
        <f ca="1"/>
        <v>#N/A</v>
      </c>
      <c r="IJN538" s="22" t="e">
        <f ca="1"/>
        <v>#N/A</v>
      </c>
      <c r="IJO538" s="22" t="e">
        <f ca="1"/>
        <v>#N/A</v>
      </c>
      <c r="IJP538" s="22" t="e">
        <f ca="1"/>
        <v>#N/A</v>
      </c>
      <c r="IJQ538" s="22" t="e">
        <f ca="1"/>
        <v>#N/A</v>
      </c>
      <c r="IJR538" s="22" t="e">
        <f ca="1"/>
        <v>#N/A</v>
      </c>
      <c r="IJS538" s="22" t="e">
        <f ca="1"/>
        <v>#N/A</v>
      </c>
      <c r="IJT538" s="22" t="e">
        <f ca="1"/>
        <v>#N/A</v>
      </c>
      <c r="IJU538" s="22" t="e">
        <f ca="1"/>
        <v>#N/A</v>
      </c>
      <c r="IJV538" s="22" t="e">
        <f ca="1"/>
        <v>#N/A</v>
      </c>
      <c r="IJW538" s="22" t="e">
        <f ca="1"/>
        <v>#N/A</v>
      </c>
      <c r="IJX538" s="22" t="e">
        <f ca="1"/>
        <v>#N/A</v>
      </c>
      <c r="IJY538" s="22" t="e">
        <f ca="1"/>
        <v>#N/A</v>
      </c>
      <c r="IJZ538" s="22" t="e">
        <f ca="1"/>
        <v>#N/A</v>
      </c>
      <c r="IKA538" s="22" t="e">
        <f ca="1"/>
        <v>#N/A</v>
      </c>
      <c r="IKB538" s="22" t="e">
        <f ca="1"/>
        <v>#N/A</v>
      </c>
      <c r="IKC538" s="22" t="e">
        <f ca="1"/>
        <v>#N/A</v>
      </c>
      <c r="IKD538" s="22" t="e">
        <f ca="1"/>
        <v>#N/A</v>
      </c>
      <c r="IKE538" s="22" t="e">
        <f ca="1"/>
        <v>#N/A</v>
      </c>
      <c r="IKF538" s="22" t="e">
        <f ca="1"/>
        <v>#N/A</v>
      </c>
      <c r="IKG538" s="22" t="e">
        <f ca="1"/>
        <v>#N/A</v>
      </c>
      <c r="IKH538" s="22" t="e">
        <f ca="1"/>
        <v>#N/A</v>
      </c>
      <c r="IKI538" s="22" t="e">
        <f ca="1"/>
        <v>#N/A</v>
      </c>
      <c r="IKJ538" s="22" t="e">
        <f ca="1"/>
        <v>#N/A</v>
      </c>
      <c r="IKK538" s="22" t="e">
        <f ca="1"/>
        <v>#N/A</v>
      </c>
      <c r="IKL538" s="22" t="e">
        <f ca="1"/>
        <v>#N/A</v>
      </c>
      <c r="IKM538" s="22" t="e">
        <f ca="1"/>
        <v>#N/A</v>
      </c>
      <c r="IKN538" s="22" t="e">
        <f ca="1"/>
        <v>#N/A</v>
      </c>
      <c r="IKO538" s="22" t="e">
        <f ca="1"/>
        <v>#N/A</v>
      </c>
      <c r="IKP538" s="22" t="e">
        <f ca="1"/>
        <v>#N/A</v>
      </c>
      <c r="IKQ538" s="22" t="e">
        <f ca="1"/>
        <v>#N/A</v>
      </c>
      <c r="IKR538" s="22" t="e">
        <f ca="1"/>
        <v>#N/A</v>
      </c>
      <c r="IKS538" s="22" t="e">
        <f ca="1"/>
        <v>#N/A</v>
      </c>
      <c r="IKT538" s="22" t="e">
        <f ca="1"/>
        <v>#N/A</v>
      </c>
      <c r="IKU538" s="22" t="e">
        <f ca="1"/>
        <v>#N/A</v>
      </c>
      <c r="IKV538" s="22" t="e">
        <f ca="1"/>
        <v>#N/A</v>
      </c>
      <c r="IKW538" s="22" t="e">
        <f ca="1"/>
        <v>#N/A</v>
      </c>
      <c r="IKX538" s="22" t="e">
        <f ca="1"/>
        <v>#N/A</v>
      </c>
      <c r="IKY538" s="22" t="e">
        <f ca="1"/>
        <v>#N/A</v>
      </c>
      <c r="IKZ538" s="22" t="e">
        <f ca="1"/>
        <v>#N/A</v>
      </c>
      <c r="ILA538" s="22" t="e">
        <f ca="1"/>
        <v>#N/A</v>
      </c>
      <c r="ILB538" s="22" t="e">
        <f ca="1"/>
        <v>#N/A</v>
      </c>
      <c r="ILC538" s="22" t="e">
        <f ca="1"/>
        <v>#N/A</v>
      </c>
      <c r="ILD538" s="22" t="e">
        <f ca="1"/>
        <v>#N/A</v>
      </c>
      <c r="ILE538" s="22" t="e">
        <f ca="1"/>
        <v>#N/A</v>
      </c>
      <c r="ILF538" s="22" t="e">
        <f ca="1"/>
        <v>#N/A</v>
      </c>
      <c r="ILG538" s="22" t="e">
        <f ca="1"/>
        <v>#N/A</v>
      </c>
      <c r="ILH538" s="22" t="e">
        <f ca="1"/>
        <v>#N/A</v>
      </c>
      <c r="ILI538" s="22" t="e">
        <f ca="1"/>
        <v>#N/A</v>
      </c>
      <c r="ILJ538" s="22" t="e">
        <f ca="1"/>
        <v>#N/A</v>
      </c>
      <c r="ILK538" s="22" t="e">
        <f ca="1"/>
        <v>#N/A</v>
      </c>
      <c r="ILL538" s="22" t="e">
        <f ca="1"/>
        <v>#N/A</v>
      </c>
      <c r="ILM538" s="22" t="e">
        <f ca="1"/>
        <v>#N/A</v>
      </c>
      <c r="ILN538" s="22" t="e">
        <f ca="1"/>
        <v>#N/A</v>
      </c>
      <c r="ILO538" s="22" t="e">
        <f ca="1"/>
        <v>#N/A</v>
      </c>
      <c r="ILP538" s="22" t="e">
        <f ca="1"/>
        <v>#N/A</v>
      </c>
      <c r="ILQ538" s="22" t="e">
        <f ca="1"/>
        <v>#N/A</v>
      </c>
      <c r="ILR538" s="22" t="e">
        <f ca="1"/>
        <v>#N/A</v>
      </c>
      <c r="ILS538" s="22" t="e">
        <f ca="1"/>
        <v>#N/A</v>
      </c>
      <c r="ILT538" s="22" t="e">
        <f ca="1"/>
        <v>#N/A</v>
      </c>
      <c r="ILU538" s="22" t="e">
        <f ca="1"/>
        <v>#N/A</v>
      </c>
      <c r="ILV538" s="22" t="e">
        <f ca="1"/>
        <v>#N/A</v>
      </c>
      <c r="ILW538" s="22" t="e">
        <f ca="1"/>
        <v>#N/A</v>
      </c>
      <c r="ILX538" s="22" t="e">
        <f ca="1"/>
        <v>#N/A</v>
      </c>
      <c r="ILY538" s="22" t="e">
        <f ca="1"/>
        <v>#N/A</v>
      </c>
      <c r="ILZ538" s="22" t="e">
        <f ca="1"/>
        <v>#N/A</v>
      </c>
      <c r="IMA538" s="22" t="e">
        <f ca="1"/>
        <v>#N/A</v>
      </c>
      <c r="IMB538" s="22" t="e">
        <f ca="1"/>
        <v>#N/A</v>
      </c>
      <c r="IMC538" s="22" t="e">
        <f ca="1"/>
        <v>#N/A</v>
      </c>
      <c r="IMD538" s="22" t="e">
        <f ca="1"/>
        <v>#N/A</v>
      </c>
      <c r="IME538" s="22" t="e">
        <f ca="1"/>
        <v>#N/A</v>
      </c>
      <c r="IMF538" s="22" t="e">
        <f ca="1"/>
        <v>#N/A</v>
      </c>
      <c r="IMG538" s="22" t="e">
        <f ca="1"/>
        <v>#N/A</v>
      </c>
      <c r="IMH538" s="22" t="e">
        <f ca="1"/>
        <v>#N/A</v>
      </c>
      <c r="IMI538" s="22" t="e">
        <f ca="1"/>
        <v>#N/A</v>
      </c>
      <c r="IMJ538" s="22" t="e">
        <f ca="1"/>
        <v>#N/A</v>
      </c>
      <c r="IMK538" s="22" t="e">
        <f ca="1"/>
        <v>#N/A</v>
      </c>
      <c r="IML538" s="22" t="e">
        <f ca="1"/>
        <v>#N/A</v>
      </c>
      <c r="IMM538" s="22" t="e">
        <f ca="1"/>
        <v>#N/A</v>
      </c>
      <c r="IMN538" s="22" t="e">
        <f ca="1"/>
        <v>#N/A</v>
      </c>
      <c r="IMO538" s="22" t="e">
        <f ca="1"/>
        <v>#N/A</v>
      </c>
      <c r="IMP538" s="22" t="e">
        <f ca="1"/>
        <v>#N/A</v>
      </c>
      <c r="IMQ538" s="22" t="e">
        <f ca="1"/>
        <v>#N/A</v>
      </c>
      <c r="IMR538" s="22" t="e">
        <f ca="1"/>
        <v>#N/A</v>
      </c>
      <c r="IMS538" s="22" t="e">
        <f ca="1"/>
        <v>#N/A</v>
      </c>
      <c r="IMT538" s="22" t="e">
        <f ca="1"/>
        <v>#N/A</v>
      </c>
      <c r="IMU538" s="22" t="e">
        <f ca="1"/>
        <v>#N/A</v>
      </c>
      <c r="IMV538" s="22" t="e">
        <f ca="1"/>
        <v>#N/A</v>
      </c>
      <c r="IMW538" s="22" t="e">
        <f ca="1"/>
        <v>#N/A</v>
      </c>
      <c r="IMX538" s="22" t="e">
        <f ca="1"/>
        <v>#N/A</v>
      </c>
      <c r="IMY538" s="22" t="e">
        <f ca="1"/>
        <v>#N/A</v>
      </c>
      <c r="IMZ538" s="22" t="e">
        <f ca="1"/>
        <v>#N/A</v>
      </c>
      <c r="INA538" s="22" t="e">
        <f ca="1"/>
        <v>#N/A</v>
      </c>
      <c r="INB538" s="22" t="e">
        <f ca="1"/>
        <v>#N/A</v>
      </c>
      <c r="INC538" s="22" t="e">
        <f ca="1"/>
        <v>#N/A</v>
      </c>
      <c r="IND538" s="22" t="e">
        <f ca="1"/>
        <v>#N/A</v>
      </c>
      <c r="INE538" s="22" t="e">
        <f ca="1"/>
        <v>#N/A</v>
      </c>
      <c r="INF538" s="22" t="e">
        <f ca="1"/>
        <v>#N/A</v>
      </c>
      <c r="ING538" s="22" t="e">
        <f ca="1"/>
        <v>#N/A</v>
      </c>
      <c r="INH538" s="22" t="e">
        <f ca="1"/>
        <v>#N/A</v>
      </c>
      <c r="INI538" s="22" t="e">
        <f ca="1"/>
        <v>#N/A</v>
      </c>
      <c r="INJ538" s="22" t="e">
        <f ca="1"/>
        <v>#N/A</v>
      </c>
      <c r="INK538" s="22" t="e">
        <f ca="1"/>
        <v>#N/A</v>
      </c>
      <c r="INL538" s="22" t="e">
        <f ca="1"/>
        <v>#N/A</v>
      </c>
      <c r="INM538" s="22" t="e">
        <f ca="1"/>
        <v>#N/A</v>
      </c>
      <c r="INN538" s="22" t="e">
        <f ca="1"/>
        <v>#N/A</v>
      </c>
      <c r="INO538" s="22" t="e">
        <f ca="1"/>
        <v>#N/A</v>
      </c>
      <c r="INP538" s="22" t="e">
        <f ca="1"/>
        <v>#N/A</v>
      </c>
      <c r="INQ538" s="22" t="e">
        <f ca="1"/>
        <v>#N/A</v>
      </c>
      <c r="INR538" s="22" t="e">
        <f ca="1"/>
        <v>#N/A</v>
      </c>
      <c r="INS538" s="22" t="e">
        <f ca="1"/>
        <v>#N/A</v>
      </c>
      <c r="INT538" s="22" t="e">
        <f ca="1"/>
        <v>#N/A</v>
      </c>
      <c r="INU538" s="22" t="e">
        <f ca="1"/>
        <v>#N/A</v>
      </c>
      <c r="INV538" s="22" t="e">
        <f ca="1"/>
        <v>#N/A</v>
      </c>
      <c r="INW538" s="22" t="e">
        <f ca="1"/>
        <v>#N/A</v>
      </c>
      <c r="INX538" s="22" t="e">
        <f ca="1"/>
        <v>#N/A</v>
      </c>
      <c r="INY538" s="22" t="e">
        <f ca="1"/>
        <v>#N/A</v>
      </c>
      <c r="INZ538" s="22" t="e">
        <f ca="1"/>
        <v>#N/A</v>
      </c>
      <c r="IOA538" s="22" t="e">
        <f ca="1"/>
        <v>#N/A</v>
      </c>
      <c r="IOB538" s="22" t="e">
        <f ca="1"/>
        <v>#N/A</v>
      </c>
      <c r="IOC538" s="22" t="e">
        <f ca="1"/>
        <v>#N/A</v>
      </c>
      <c r="IOD538" s="22" t="e">
        <f ca="1"/>
        <v>#N/A</v>
      </c>
      <c r="IOE538" s="22" t="e">
        <f ca="1"/>
        <v>#N/A</v>
      </c>
      <c r="IOF538" s="22" t="e">
        <f ca="1"/>
        <v>#N/A</v>
      </c>
      <c r="IOG538" s="22" t="e">
        <f ca="1"/>
        <v>#N/A</v>
      </c>
      <c r="IOH538" s="22" t="e">
        <f ca="1"/>
        <v>#N/A</v>
      </c>
      <c r="IOI538" s="22" t="e">
        <f ca="1"/>
        <v>#N/A</v>
      </c>
      <c r="IOJ538" s="22" t="e">
        <f ca="1"/>
        <v>#N/A</v>
      </c>
      <c r="IOK538" s="22" t="e">
        <f ca="1"/>
        <v>#N/A</v>
      </c>
      <c r="IOL538" s="22" t="e">
        <f ca="1"/>
        <v>#N/A</v>
      </c>
      <c r="IOM538" s="22" t="e">
        <f ca="1"/>
        <v>#N/A</v>
      </c>
      <c r="ION538" s="22" t="e">
        <f ca="1"/>
        <v>#N/A</v>
      </c>
      <c r="IOO538" s="22" t="e">
        <f ca="1"/>
        <v>#N/A</v>
      </c>
      <c r="IOP538" s="22" t="e">
        <f ca="1"/>
        <v>#N/A</v>
      </c>
      <c r="IOQ538" s="22" t="e">
        <f ca="1"/>
        <v>#N/A</v>
      </c>
      <c r="IOR538" s="22" t="e">
        <f ca="1"/>
        <v>#N/A</v>
      </c>
      <c r="IOS538" s="22" t="e">
        <f ca="1"/>
        <v>#N/A</v>
      </c>
      <c r="IOT538" s="22" t="e">
        <f ca="1"/>
        <v>#N/A</v>
      </c>
      <c r="IOU538" s="22" t="e">
        <f ca="1"/>
        <v>#N/A</v>
      </c>
      <c r="IOV538" s="22" t="e">
        <f ca="1"/>
        <v>#N/A</v>
      </c>
      <c r="IOW538" s="22" t="e">
        <f ca="1"/>
        <v>#N/A</v>
      </c>
      <c r="IOX538" s="22" t="e">
        <f ca="1"/>
        <v>#N/A</v>
      </c>
      <c r="IOY538" s="22" t="e">
        <f ca="1"/>
        <v>#N/A</v>
      </c>
      <c r="IOZ538" s="22" t="e">
        <f ca="1"/>
        <v>#N/A</v>
      </c>
      <c r="IPA538" s="22" t="e">
        <f ca="1"/>
        <v>#N/A</v>
      </c>
      <c r="IPB538" s="22" t="e">
        <f ca="1"/>
        <v>#N/A</v>
      </c>
      <c r="IPC538" s="22" t="e">
        <f ca="1"/>
        <v>#N/A</v>
      </c>
      <c r="IPD538" s="22" t="e">
        <f ca="1"/>
        <v>#N/A</v>
      </c>
      <c r="IPE538" s="22" t="e">
        <f ca="1"/>
        <v>#N/A</v>
      </c>
      <c r="IPF538" s="22" t="e">
        <f ca="1"/>
        <v>#N/A</v>
      </c>
      <c r="IPG538" s="22" t="e">
        <f ca="1"/>
        <v>#N/A</v>
      </c>
      <c r="IPH538" s="22" t="e">
        <f ca="1"/>
        <v>#N/A</v>
      </c>
      <c r="IPI538" s="22" t="e">
        <f ca="1"/>
        <v>#N/A</v>
      </c>
      <c r="IPJ538" s="22" t="e">
        <f ca="1"/>
        <v>#N/A</v>
      </c>
      <c r="IPK538" s="22" t="e">
        <f ca="1"/>
        <v>#N/A</v>
      </c>
      <c r="IPL538" s="22" t="e">
        <f ca="1"/>
        <v>#N/A</v>
      </c>
      <c r="IPM538" s="22" t="e">
        <f ca="1"/>
        <v>#N/A</v>
      </c>
      <c r="IPN538" s="22" t="e">
        <f ca="1"/>
        <v>#N/A</v>
      </c>
      <c r="IPO538" s="22" t="e">
        <f ca="1"/>
        <v>#N/A</v>
      </c>
      <c r="IPP538" s="22" t="e">
        <f ca="1"/>
        <v>#N/A</v>
      </c>
      <c r="IPQ538" s="22" t="e">
        <f ca="1"/>
        <v>#N/A</v>
      </c>
      <c r="IPR538" s="22" t="e">
        <f ca="1"/>
        <v>#N/A</v>
      </c>
      <c r="IPS538" s="22" t="e">
        <f ca="1"/>
        <v>#N/A</v>
      </c>
      <c r="IPT538" s="22" t="e">
        <f ca="1"/>
        <v>#N/A</v>
      </c>
      <c r="IPU538" s="22" t="e">
        <f ca="1"/>
        <v>#N/A</v>
      </c>
      <c r="IPV538" s="22" t="e">
        <f ca="1"/>
        <v>#N/A</v>
      </c>
      <c r="IPW538" s="22" t="e">
        <f ca="1"/>
        <v>#N/A</v>
      </c>
      <c r="IPX538" s="22" t="e">
        <f ca="1"/>
        <v>#N/A</v>
      </c>
      <c r="IPY538" s="22" t="e">
        <f ca="1"/>
        <v>#N/A</v>
      </c>
      <c r="IPZ538" s="22" t="e">
        <f ca="1"/>
        <v>#N/A</v>
      </c>
      <c r="IQA538" s="22" t="e">
        <f ca="1"/>
        <v>#N/A</v>
      </c>
      <c r="IQB538" s="22" t="e">
        <f ca="1"/>
        <v>#N/A</v>
      </c>
      <c r="IQC538" s="22" t="e">
        <f ca="1"/>
        <v>#N/A</v>
      </c>
      <c r="IQD538" s="22" t="e">
        <f ca="1"/>
        <v>#N/A</v>
      </c>
      <c r="IQE538" s="22" t="e">
        <f ca="1"/>
        <v>#N/A</v>
      </c>
      <c r="IQF538" s="22" t="e">
        <f ca="1"/>
        <v>#N/A</v>
      </c>
      <c r="IQG538" s="22" t="e">
        <f ca="1"/>
        <v>#N/A</v>
      </c>
      <c r="IQH538" s="22" t="e">
        <f ca="1"/>
        <v>#N/A</v>
      </c>
      <c r="IQI538" s="22" t="e">
        <f ca="1"/>
        <v>#N/A</v>
      </c>
      <c r="IQJ538" s="22" t="e">
        <f ca="1"/>
        <v>#N/A</v>
      </c>
      <c r="IQK538" s="22" t="e">
        <f ca="1"/>
        <v>#N/A</v>
      </c>
      <c r="IQL538" s="22" t="e">
        <f ca="1"/>
        <v>#N/A</v>
      </c>
      <c r="IQM538" s="22" t="e">
        <f ca="1"/>
        <v>#N/A</v>
      </c>
      <c r="IQN538" s="22" t="e">
        <f ca="1"/>
        <v>#N/A</v>
      </c>
      <c r="IQO538" s="22" t="e">
        <f ca="1"/>
        <v>#N/A</v>
      </c>
      <c r="IQP538" s="22" t="e">
        <f ca="1"/>
        <v>#N/A</v>
      </c>
      <c r="IQQ538" s="22" t="e">
        <f ca="1"/>
        <v>#N/A</v>
      </c>
      <c r="IQR538" s="22" t="e">
        <f ca="1"/>
        <v>#N/A</v>
      </c>
      <c r="IQS538" s="22" t="e">
        <f ca="1"/>
        <v>#N/A</v>
      </c>
      <c r="IQT538" s="22" t="e">
        <f ca="1"/>
        <v>#N/A</v>
      </c>
      <c r="IQU538" s="22" t="e">
        <f ca="1"/>
        <v>#N/A</v>
      </c>
      <c r="IQV538" s="22" t="e">
        <f ca="1"/>
        <v>#N/A</v>
      </c>
      <c r="IQW538" s="22" t="e">
        <f ca="1"/>
        <v>#N/A</v>
      </c>
      <c r="IQX538" s="22" t="e">
        <f ca="1"/>
        <v>#N/A</v>
      </c>
      <c r="IQY538" s="22" t="e">
        <f ca="1"/>
        <v>#N/A</v>
      </c>
      <c r="IQZ538" s="22" t="e">
        <f ca="1"/>
        <v>#N/A</v>
      </c>
      <c r="IRA538" s="22" t="e">
        <f ca="1"/>
        <v>#N/A</v>
      </c>
      <c r="IRB538" s="22" t="e">
        <f ca="1"/>
        <v>#N/A</v>
      </c>
      <c r="IRC538" s="22" t="e">
        <f ca="1"/>
        <v>#N/A</v>
      </c>
      <c r="IRD538" s="22" t="e">
        <f ca="1"/>
        <v>#N/A</v>
      </c>
      <c r="IRE538" s="22" t="e">
        <f ca="1"/>
        <v>#N/A</v>
      </c>
      <c r="IRF538" s="22" t="e">
        <f ca="1"/>
        <v>#N/A</v>
      </c>
      <c r="IRG538" s="22" t="e">
        <f ca="1"/>
        <v>#N/A</v>
      </c>
      <c r="IRH538" s="22" t="e">
        <f ca="1"/>
        <v>#N/A</v>
      </c>
      <c r="IRI538" s="22" t="e">
        <f ca="1"/>
        <v>#N/A</v>
      </c>
      <c r="IRJ538" s="22" t="e">
        <f ca="1"/>
        <v>#N/A</v>
      </c>
      <c r="IRK538" s="22" t="e">
        <f ca="1"/>
        <v>#N/A</v>
      </c>
      <c r="IRL538" s="22" t="e">
        <f ca="1"/>
        <v>#N/A</v>
      </c>
      <c r="IRM538" s="22" t="e">
        <f ca="1"/>
        <v>#N/A</v>
      </c>
      <c r="IRN538" s="22" t="e">
        <f ca="1"/>
        <v>#N/A</v>
      </c>
      <c r="IRO538" s="22" t="e">
        <f ca="1"/>
        <v>#N/A</v>
      </c>
      <c r="IRP538" s="22" t="e">
        <f ca="1"/>
        <v>#N/A</v>
      </c>
      <c r="IRQ538" s="22" t="e">
        <f ca="1"/>
        <v>#N/A</v>
      </c>
      <c r="IRR538" s="22" t="e">
        <f ca="1"/>
        <v>#N/A</v>
      </c>
      <c r="IRS538" s="22" t="e">
        <f ca="1"/>
        <v>#N/A</v>
      </c>
      <c r="IRT538" s="22" t="e">
        <f ca="1"/>
        <v>#N/A</v>
      </c>
      <c r="IRU538" s="22" t="e">
        <f ca="1"/>
        <v>#N/A</v>
      </c>
      <c r="IRV538" s="22" t="e">
        <f ca="1"/>
        <v>#N/A</v>
      </c>
      <c r="IRW538" s="22" t="e">
        <f ca="1"/>
        <v>#N/A</v>
      </c>
      <c r="IRX538" s="22" t="e">
        <f ca="1"/>
        <v>#N/A</v>
      </c>
      <c r="IRY538" s="22" t="e">
        <f ca="1"/>
        <v>#N/A</v>
      </c>
      <c r="IRZ538" s="22" t="e">
        <f ca="1"/>
        <v>#N/A</v>
      </c>
      <c r="ISA538" s="22" t="e">
        <f ca="1"/>
        <v>#N/A</v>
      </c>
      <c r="ISB538" s="22" t="e">
        <f ca="1"/>
        <v>#N/A</v>
      </c>
      <c r="ISC538" s="22" t="e">
        <f ca="1"/>
        <v>#N/A</v>
      </c>
      <c r="ISD538" s="22" t="e">
        <f ca="1"/>
        <v>#N/A</v>
      </c>
      <c r="ISE538" s="22" t="e">
        <f ca="1"/>
        <v>#N/A</v>
      </c>
      <c r="ISF538" s="22" t="e">
        <f ca="1"/>
        <v>#N/A</v>
      </c>
      <c r="ISG538" s="22" t="e">
        <f ca="1"/>
        <v>#N/A</v>
      </c>
      <c r="ISH538" s="22" t="e">
        <f ca="1"/>
        <v>#N/A</v>
      </c>
      <c r="ISI538" s="22" t="e">
        <f ca="1"/>
        <v>#N/A</v>
      </c>
      <c r="ISJ538" s="22" t="e">
        <f ca="1"/>
        <v>#N/A</v>
      </c>
      <c r="ISK538" s="22" t="e">
        <f ca="1"/>
        <v>#N/A</v>
      </c>
      <c r="ISL538" s="22" t="e">
        <f ca="1"/>
        <v>#N/A</v>
      </c>
      <c r="ISM538" s="22" t="e">
        <f ca="1"/>
        <v>#N/A</v>
      </c>
      <c r="ISN538" s="22" t="e">
        <f ca="1"/>
        <v>#N/A</v>
      </c>
      <c r="ISO538" s="22" t="e">
        <f ca="1"/>
        <v>#N/A</v>
      </c>
      <c r="ISP538" s="22" t="e">
        <f ca="1"/>
        <v>#N/A</v>
      </c>
      <c r="ISQ538" s="22" t="e">
        <f ca="1"/>
        <v>#N/A</v>
      </c>
      <c r="ISR538" s="22" t="e">
        <f ca="1"/>
        <v>#N/A</v>
      </c>
      <c r="ISS538" s="22" t="e">
        <f ca="1"/>
        <v>#N/A</v>
      </c>
      <c r="IST538" s="22" t="e">
        <f ca="1"/>
        <v>#N/A</v>
      </c>
      <c r="ISU538" s="22" t="e">
        <f ca="1"/>
        <v>#N/A</v>
      </c>
      <c r="ISV538" s="22" t="e">
        <f ca="1"/>
        <v>#N/A</v>
      </c>
      <c r="ISW538" s="22" t="e">
        <f ca="1"/>
        <v>#N/A</v>
      </c>
      <c r="ISX538" s="22" t="e">
        <f ca="1"/>
        <v>#N/A</v>
      </c>
      <c r="ISY538" s="22" t="e">
        <f ca="1"/>
        <v>#N/A</v>
      </c>
      <c r="ISZ538" s="22" t="e">
        <f ca="1"/>
        <v>#N/A</v>
      </c>
      <c r="ITA538" s="22" t="e">
        <f ca="1"/>
        <v>#N/A</v>
      </c>
      <c r="ITB538" s="22" t="e">
        <f ca="1"/>
        <v>#N/A</v>
      </c>
      <c r="ITC538" s="22" t="e">
        <f ca="1"/>
        <v>#N/A</v>
      </c>
      <c r="ITD538" s="22" t="e">
        <f ca="1"/>
        <v>#N/A</v>
      </c>
      <c r="ITE538" s="22" t="e">
        <f ca="1"/>
        <v>#N/A</v>
      </c>
      <c r="ITF538" s="22" t="e">
        <f ca="1"/>
        <v>#N/A</v>
      </c>
      <c r="ITG538" s="22" t="e">
        <f ca="1"/>
        <v>#N/A</v>
      </c>
      <c r="ITH538" s="22" t="e">
        <f ca="1"/>
        <v>#N/A</v>
      </c>
      <c r="ITI538" s="22" t="e">
        <f ca="1"/>
        <v>#N/A</v>
      </c>
      <c r="ITJ538" s="22" t="e">
        <f ca="1"/>
        <v>#N/A</v>
      </c>
      <c r="ITK538" s="22" t="e">
        <f ca="1"/>
        <v>#N/A</v>
      </c>
      <c r="ITL538" s="22" t="e">
        <f ca="1"/>
        <v>#N/A</v>
      </c>
      <c r="ITM538" s="22" t="e">
        <f ca="1"/>
        <v>#N/A</v>
      </c>
      <c r="ITN538" s="22" t="e">
        <f ca="1"/>
        <v>#N/A</v>
      </c>
      <c r="ITO538" s="22" t="e">
        <f ca="1"/>
        <v>#N/A</v>
      </c>
      <c r="ITP538" s="22" t="e">
        <f ca="1"/>
        <v>#N/A</v>
      </c>
      <c r="ITQ538" s="22" t="e">
        <f ca="1"/>
        <v>#N/A</v>
      </c>
      <c r="ITR538" s="22" t="e">
        <f ca="1"/>
        <v>#N/A</v>
      </c>
      <c r="ITS538" s="22" t="e">
        <f ca="1"/>
        <v>#N/A</v>
      </c>
      <c r="ITT538" s="22" t="e">
        <f ca="1"/>
        <v>#N/A</v>
      </c>
      <c r="ITU538" s="22" t="e">
        <f ca="1"/>
        <v>#N/A</v>
      </c>
      <c r="ITV538" s="22" t="e">
        <f ca="1"/>
        <v>#N/A</v>
      </c>
      <c r="ITW538" s="22" t="e">
        <f ca="1"/>
        <v>#N/A</v>
      </c>
      <c r="ITX538" s="22" t="e">
        <f ca="1"/>
        <v>#N/A</v>
      </c>
      <c r="ITY538" s="22" t="e">
        <f ca="1"/>
        <v>#N/A</v>
      </c>
      <c r="ITZ538" s="22" t="e">
        <f ca="1"/>
        <v>#N/A</v>
      </c>
      <c r="IUA538" s="22" t="e">
        <f ca="1"/>
        <v>#N/A</v>
      </c>
      <c r="IUB538" s="22" t="e">
        <f ca="1"/>
        <v>#N/A</v>
      </c>
      <c r="IUC538" s="22" t="e">
        <f ca="1"/>
        <v>#N/A</v>
      </c>
      <c r="IUD538" s="22" t="e">
        <f ca="1"/>
        <v>#N/A</v>
      </c>
      <c r="IUE538" s="22" t="e">
        <f ca="1"/>
        <v>#N/A</v>
      </c>
      <c r="IUF538" s="22" t="e">
        <f ca="1"/>
        <v>#N/A</v>
      </c>
      <c r="IUG538" s="22" t="e">
        <f ca="1"/>
        <v>#N/A</v>
      </c>
      <c r="IUH538" s="22" t="e">
        <f ca="1"/>
        <v>#N/A</v>
      </c>
      <c r="IUI538" s="22" t="e">
        <f ca="1"/>
        <v>#N/A</v>
      </c>
      <c r="IUJ538" s="22" t="e">
        <f ca="1"/>
        <v>#N/A</v>
      </c>
      <c r="IUK538" s="22" t="e">
        <f ca="1"/>
        <v>#N/A</v>
      </c>
      <c r="IUL538" s="22" t="e">
        <f ca="1"/>
        <v>#N/A</v>
      </c>
      <c r="IUM538" s="22" t="e">
        <f ca="1"/>
        <v>#N/A</v>
      </c>
      <c r="IUN538" s="22" t="e">
        <f ca="1"/>
        <v>#N/A</v>
      </c>
      <c r="IUO538" s="22" t="e">
        <f ca="1"/>
        <v>#N/A</v>
      </c>
      <c r="IUP538" s="22" t="e">
        <f ca="1"/>
        <v>#N/A</v>
      </c>
      <c r="IUQ538" s="22" t="e">
        <f ca="1"/>
        <v>#N/A</v>
      </c>
      <c r="IUR538" s="22" t="e">
        <f ca="1"/>
        <v>#N/A</v>
      </c>
      <c r="IUS538" s="22" t="e">
        <f ca="1"/>
        <v>#N/A</v>
      </c>
      <c r="IUT538" s="22" t="e">
        <f ca="1"/>
        <v>#N/A</v>
      </c>
      <c r="IUU538" s="22" t="e">
        <f ca="1"/>
        <v>#N/A</v>
      </c>
      <c r="IUV538" s="22" t="e">
        <f ca="1"/>
        <v>#N/A</v>
      </c>
      <c r="IUW538" s="22" t="e">
        <f ca="1"/>
        <v>#N/A</v>
      </c>
      <c r="IUX538" s="22" t="e">
        <f ca="1"/>
        <v>#N/A</v>
      </c>
      <c r="IUY538" s="22" t="e">
        <f ca="1"/>
        <v>#N/A</v>
      </c>
      <c r="IUZ538" s="22" t="e">
        <f ca="1"/>
        <v>#N/A</v>
      </c>
      <c r="IVA538" s="22" t="e">
        <f ca="1"/>
        <v>#N/A</v>
      </c>
      <c r="IVB538" s="22" t="e">
        <f ca="1"/>
        <v>#N/A</v>
      </c>
      <c r="IVC538" s="22" t="e">
        <f ca="1"/>
        <v>#N/A</v>
      </c>
      <c r="IVD538" s="22" t="e">
        <f ca="1"/>
        <v>#N/A</v>
      </c>
      <c r="IVE538" s="22" t="e">
        <f ca="1"/>
        <v>#N/A</v>
      </c>
      <c r="IVF538" s="22" t="e">
        <f ca="1"/>
        <v>#N/A</v>
      </c>
      <c r="IVG538" s="22" t="e">
        <f ca="1"/>
        <v>#N/A</v>
      </c>
      <c r="IVH538" s="22" t="e">
        <f ca="1"/>
        <v>#N/A</v>
      </c>
      <c r="IVI538" s="22" t="e">
        <f ca="1"/>
        <v>#N/A</v>
      </c>
      <c r="IVJ538" s="22" t="e">
        <f ca="1"/>
        <v>#N/A</v>
      </c>
      <c r="IVK538" s="22" t="e">
        <f ca="1"/>
        <v>#N/A</v>
      </c>
      <c r="IVL538" s="22" t="e">
        <f ca="1"/>
        <v>#N/A</v>
      </c>
      <c r="IVM538" s="22" t="e">
        <f ca="1"/>
        <v>#N/A</v>
      </c>
      <c r="IVN538" s="22" t="e">
        <f ca="1"/>
        <v>#N/A</v>
      </c>
      <c r="IVO538" s="22" t="e">
        <f ca="1"/>
        <v>#N/A</v>
      </c>
      <c r="IVP538" s="22" t="e">
        <f ca="1"/>
        <v>#N/A</v>
      </c>
      <c r="IVQ538" s="22" t="e">
        <f ca="1"/>
        <v>#N/A</v>
      </c>
      <c r="IVR538" s="22" t="e">
        <f ca="1"/>
        <v>#N/A</v>
      </c>
      <c r="IVS538" s="22" t="e">
        <f ca="1"/>
        <v>#N/A</v>
      </c>
      <c r="IVT538" s="22" t="e">
        <f ca="1"/>
        <v>#N/A</v>
      </c>
      <c r="IVU538" s="22" t="e">
        <f ca="1"/>
        <v>#N/A</v>
      </c>
      <c r="IVV538" s="22" t="e">
        <f ca="1"/>
        <v>#N/A</v>
      </c>
      <c r="IVW538" s="22" t="e">
        <f ca="1"/>
        <v>#N/A</v>
      </c>
      <c r="IVX538" s="22" t="e">
        <f ca="1"/>
        <v>#N/A</v>
      </c>
      <c r="IVY538" s="22" t="e">
        <f ca="1"/>
        <v>#N/A</v>
      </c>
      <c r="IVZ538" s="22" t="e">
        <f ca="1"/>
        <v>#N/A</v>
      </c>
      <c r="IWA538" s="22" t="e">
        <f ca="1"/>
        <v>#N/A</v>
      </c>
      <c r="IWB538" s="22" t="e">
        <f ca="1"/>
        <v>#N/A</v>
      </c>
      <c r="IWC538" s="22" t="e">
        <f ca="1"/>
        <v>#N/A</v>
      </c>
      <c r="IWD538" s="22" t="e">
        <f ca="1"/>
        <v>#N/A</v>
      </c>
      <c r="IWE538" s="22" t="e">
        <f ca="1"/>
        <v>#N/A</v>
      </c>
      <c r="IWF538" s="22" t="e">
        <f ca="1"/>
        <v>#N/A</v>
      </c>
      <c r="IWG538" s="22" t="e">
        <f ca="1"/>
        <v>#N/A</v>
      </c>
      <c r="IWH538" s="22" t="e">
        <f ca="1"/>
        <v>#N/A</v>
      </c>
      <c r="IWI538" s="22" t="e">
        <f ca="1"/>
        <v>#N/A</v>
      </c>
      <c r="IWJ538" s="22" t="e">
        <f ca="1"/>
        <v>#N/A</v>
      </c>
      <c r="IWK538" s="22" t="e">
        <f ca="1"/>
        <v>#N/A</v>
      </c>
      <c r="IWL538" s="22" t="e">
        <f ca="1"/>
        <v>#N/A</v>
      </c>
      <c r="IWM538" s="22" t="e">
        <f ca="1"/>
        <v>#N/A</v>
      </c>
      <c r="IWN538" s="22" t="e">
        <f ca="1"/>
        <v>#N/A</v>
      </c>
      <c r="IWO538" s="22" t="e">
        <f ca="1"/>
        <v>#N/A</v>
      </c>
      <c r="IWP538" s="22" t="e">
        <f ca="1"/>
        <v>#N/A</v>
      </c>
      <c r="IWQ538" s="22" t="e">
        <f ca="1"/>
        <v>#N/A</v>
      </c>
      <c r="IWR538" s="22" t="e">
        <f ca="1"/>
        <v>#N/A</v>
      </c>
      <c r="IWS538" s="22" t="e">
        <f ca="1"/>
        <v>#N/A</v>
      </c>
      <c r="IWT538" s="22" t="e">
        <f ca="1"/>
        <v>#N/A</v>
      </c>
      <c r="IWU538" s="22" t="e">
        <f ca="1"/>
        <v>#N/A</v>
      </c>
      <c r="IWV538" s="22" t="e">
        <f ca="1"/>
        <v>#N/A</v>
      </c>
      <c r="IWW538" s="22" t="e">
        <f ca="1"/>
        <v>#N/A</v>
      </c>
      <c r="IWX538" s="22" t="e">
        <f ca="1"/>
        <v>#N/A</v>
      </c>
      <c r="IWY538" s="22" t="e">
        <f ca="1"/>
        <v>#N/A</v>
      </c>
      <c r="IWZ538" s="22" t="e">
        <f ca="1"/>
        <v>#N/A</v>
      </c>
      <c r="IXA538" s="22" t="e">
        <f ca="1"/>
        <v>#N/A</v>
      </c>
      <c r="IXB538" s="22" t="e">
        <f ca="1"/>
        <v>#N/A</v>
      </c>
      <c r="IXC538" s="22" t="e">
        <f ca="1"/>
        <v>#N/A</v>
      </c>
      <c r="IXD538" s="22" t="e">
        <f ca="1"/>
        <v>#N/A</v>
      </c>
      <c r="IXE538" s="22" t="e">
        <f ca="1"/>
        <v>#N/A</v>
      </c>
      <c r="IXF538" s="22" t="e">
        <f ca="1"/>
        <v>#N/A</v>
      </c>
      <c r="IXG538" s="22" t="e">
        <f ca="1"/>
        <v>#N/A</v>
      </c>
      <c r="IXH538" s="22" t="e">
        <f ca="1"/>
        <v>#N/A</v>
      </c>
      <c r="IXI538" s="22" t="e">
        <f ca="1"/>
        <v>#N/A</v>
      </c>
      <c r="IXJ538" s="22" t="e">
        <f ca="1"/>
        <v>#N/A</v>
      </c>
      <c r="IXK538" s="22" t="e">
        <f ca="1"/>
        <v>#N/A</v>
      </c>
      <c r="IXL538" s="22" t="e">
        <f ca="1"/>
        <v>#N/A</v>
      </c>
      <c r="IXM538" s="22" t="e">
        <f ca="1"/>
        <v>#N/A</v>
      </c>
      <c r="IXN538" s="22" t="e">
        <f ca="1"/>
        <v>#N/A</v>
      </c>
      <c r="IXO538" s="22" t="e">
        <f ca="1"/>
        <v>#N/A</v>
      </c>
      <c r="IXP538" s="22" t="e">
        <f ca="1"/>
        <v>#N/A</v>
      </c>
      <c r="IXQ538" s="22" t="e">
        <f ca="1"/>
        <v>#N/A</v>
      </c>
      <c r="IXR538" s="22" t="e">
        <f ca="1"/>
        <v>#N/A</v>
      </c>
      <c r="IXS538" s="22" t="e">
        <f ca="1"/>
        <v>#N/A</v>
      </c>
      <c r="IXT538" s="22" t="e">
        <f ca="1"/>
        <v>#N/A</v>
      </c>
      <c r="IXU538" s="22" t="e">
        <f ca="1"/>
        <v>#N/A</v>
      </c>
      <c r="IXV538" s="22" t="e">
        <f ca="1"/>
        <v>#N/A</v>
      </c>
      <c r="IXW538" s="22" t="e">
        <f ca="1"/>
        <v>#N/A</v>
      </c>
      <c r="IXX538" s="22" t="e">
        <f ca="1"/>
        <v>#N/A</v>
      </c>
      <c r="IXY538" s="22" t="e">
        <f ca="1"/>
        <v>#N/A</v>
      </c>
      <c r="IXZ538" s="22" t="e">
        <f ca="1"/>
        <v>#N/A</v>
      </c>
      <c r="IYA538" s="22" t="e">
        <f ca="1"/>
        <v>#N/A</v>
      </c>
      <c r="IYB538" s="22" t="e">
        <f ca="1"/>
        <v>#N/A</v>
      </c>
      <c r="IYC538" s="22" t="e">
        <f ca="1"/>
        <v>#N/A</v>
      </c>
      <c r="IYD538" s="22" t="e">
        <f ca="1"/>
        <v>#N/A</v>
      </c>
      <c r="IYE538" s="22" t="e">
        <f ca="1"/>
        <v>#N/A</v>
      </c>
      <c r="IYF538" s="22" t="e">
        <f ca="1"/>
        <v>#N/A</v>
      </c>
      <c r="IYG538" s="22" t="e">
        <f ca="1"/>
        <v>#N/A</v>
      </c>
      <c r="IYH538" s="22" t="e">
        <f ca="1"/>
        <v>#N/A</v>
      </c>
      <c r="IYI538" s="22" t="e">
        <f ca="1"/>
        <v>#N/A</v>
      </c>
      <c r="IYJ538" s="22" t="e">
        <f ca="1"/>
        <v>#N/A</v>
      </c>
      <c r="IYK538" s="22" t="e">
        <f ca="1"/>
        <v>#N/A</v>
      </c>
      <c r="IYL538" s="22" t="e">
        <f ca="1"/>
        <v>#N/A</v>
      </c>
      <c r="IYM538" s="22" t="e">
        <f ca="1"/>
        <v>#N/A</v>
      </c>
      <c r="IYN538" s="22" t="e">
        <f ca="1"/>
        <v>#N/A</v>
      </c>
      <c r="IYO538" s="22" t="e">
        <f ca="1"/>
        <v>#N/A</v>
      </c>
      <c r="IYP538" s="22" t="e">
        <f ca="1"/>
        <v>#N/A</v>
      </c>
      <c r="IYQ538" s="22" t="e">
        <f ca="1"/>
        <v>#N/A</v>
      </c>
      <c r="IYR538" s="22" t="e">
        <f ca="1"/>
        <v>#N/A</v>
      </c>
      <c r="IYS538" s="22" t="e">
        <f ca="1"/>
        <v>#N/A</v>
      </c>
      <c r="IYT538" s="22" t="e">
        <f ca="1"/>
        <v>#N/A</v>
      </c>
      <c r="IYU538" s="22" t="e">
        <f ca="1"/>
        <v>#N/A</v>
      </c>
      <c r="IYV538" s="22" t="e">
        <f ca="1"/>
        <v>#N/A</v>
      </c>
      <c r="IYW538" s="22" t="e">
        <f ca="1"/>
        <v>#N/A</v>
      </c>
      <c r="IYX538" s="22" t="e">
        <f ca="1"/>
        <v>#N/A</v>
      </c>
      <c r="IYY538" s="22" t="e">
        <f ca="1"/>
        <v>#N/A</v>
      </c>
      <c r="IYZ538" s="22" t="e">
        <f ca="1"/>
        <v>#N/A</v>
      </c>
      <c r="IZA538" s="22" t="e">
        <f ca="1"/>
        <v>#N/A</v>
      </c>
      <c r="IZB538" s="22" t="e">
        <f ca="1"/>
        <v>#N/A</v>
      </c>
      <c r="IZC538" s="22" t="e">
        <f ca="1"/>
        <v>#N/A</v>
      </c>
      <c r="IZD538" s="22" t="e">
        <f ca="1"/>
        <v>#N/A</v>
      </c>
      <c r="IZE538" s="22" t="e">
        <f ca="1"/>
        <v>#N/A</v>
      </c>
      <c r="IZF538" s="22" t="e">
        <f ca="1"/>
        <v>#N/A</v>
      </c>
      <c r="IZG538" s="22" t="e">
        <f ca="1"/>
        <v>#N/A</v>
      </c>
      <c r="IZH538" s="22" t="e">
        <f ca="1"/>
        <v>#N/A</v>
      </c>
      <c r="IZI538" s="22" t="e">
        <f ca="1"/>
        <v>#N/A</v>
      </c>
      <c r="IZJ538" s="22" t="e">
        <f ca="1"/>
        <v>#N/A</v>
      </c>
      <c r="IZK538" s="22" t="e">
        <f ca="1"/>
        <v>#N/A</v>
      </c>
      <c r="IZL538" s="22" t="e">
        <f ca="1"/>
        <v>#N/A</v>
      </c>
      <c r="IZM538" s="22" t="e">
        <f ca="1"/>
        <v>#N/A</v>
      </c>
      <c r="IZN538" s="22" t="e">
        <f ca="1"/>
        <v>#N/A</v>
      </c>
      <c r="IZO538" s="22" t="e">
        <f ca="1"/>
        <v>#N/A</v>
      </c>
      <c r="IZP538" s="22" t="e">
        <f ca="1"/>
        <v>#N/A</v>
      </c>
      <c r="IZQ538" s="22" t="e">
        <f ca="1"/>
        <v>#N/A</v>
      </c>
      <c r="IZR538" s="22" t="e">
        <f ca="1"/>
        <v>#N/A</v>
      </c>
      <c r="IZS538" s="22" t="e">
        <f ca="1"/>
        <v>#N/A</v>
      </c>
      <c r="IZT538" s="22" t="e">
        <f ca="1"/>
        <v>#N/A</v>
      </c>
      <c r="IZU538" s="22" t="e">
        <f ca="1"/>
        <v>#N/A</v>
      </c>
      <c r="IZV538" s="22" t="e">
        <f ca="1"/>
        <v>#N/A</v>
      </c>
      <c r="IZW538" s="22" t="e">
        <f ca="1"/>
        <v>#N/A</v>
      </c>
      <c r="IZX538" s="22" t="e">
        <f ca="1"/>
        <v>#N/A</v>
      </c>
      <c r="IZY538" s="22" t="e">
        <f ca="1"/>
        <v>#N/A</v>
      </c>
      <c r="IZZ538" s="22" t="e">
        <f ca="1"/>
        <v>#N/A</v>
      </c>
      <c r="JAA538" s="22" t="e">
        <f ca="1"/>
        <v>#N/A</v>
      </c>
      <c r="JAB538" s="22" t="e">
        <f ca="1"/>
        <v>#N/A</v>
      </c>
      <c r="JAC538" s="22" t="e">
        <f ca="1"/>
        <v>#N/A</v>
      </c>
      <c r="JAD538" s="22" t="e">
        <f ca="1"/>
        <v>#N/A</v>
      </c>
      <c r="JAE538" s="22" t="e">
        <f ca="1"/>
        <v>#N/A</v>
      </c>
      <c r="JAF538" s="22" t="e">
        <f ca="1"/>
        <v>#N/A</v>
      </c>
      <c r="JAG538" s="22" t="e">
        <f ca="1"/>
        <v>#N/A</v>
      </c>
      <c r="JAH538" s="22" t="e">
        <f ca="1"/>
        <v>#N/A</v>
      </c>
      <c r="JAI538" s="22" t="e">
        <f ca="1"/>
        <v>#N/A</v>
      </c>
      <c r="JAJ538" s="22" t="e">
        <f ca="1"/>
        <v>#N/A</v>
      </c>
      <c r="JAK538" s="22" t="e">
        <f ca="1"/>
        <v>#N/A</v>
      </c>
      <c r="JAL538" s="22" t="e">
        <f ca="1"/>
        <v>#N/A</v>
      </c>
      <c r="JAM538" s="22" t="e">
        <f ca="1"/>
        <v>#N/A</v>
      </c>
      <c r="JAN538" s="22" t="e">
        <f ca="1"/>
        <v>#N/A</v>
      </c>
      <c r="JAO538" s="22" t="e">
        <f ca="1"/>
        <v>#N/A</v>
      </c>
      <c r="JAP538" s="22" t="e">
        <f ca="1"/>
        <v>#N/A</v>
      </c>
      <c r="JAQ538" s="22" t="e">
        <f ca="1"/>
        <v>#N/A</v>
      </c>
      <c r="JAR538" s="22" t="e">
        <f ca="1"/>
        <v>#N/A</v>
      </c>
      <c r="JAS538" s="22" t="e">
        <f ca="1"/>
        <v>#N/A</v>
      </c>
      <c r="JAT538" s="22" t="e">
        <f ca="1"/>
        <v>#N/A</v>
      </c>
      <c r="JAU538" s="22" t="e">
        <f ca="1"/>
        <v>#N/A</v>
      </c>
      <c r="JAV538" s="22" t="e">
        <f ca="1"/>
        <v>#N/A</v>
      </c>
      <c r="JAW538" s="22" t="e">
        <f ca="1"/>
        <v>#N/A</v>
      </c>
      <c r="JAX538" s="22" t="e">
        <f ca="1"/>
        <v>#N/A</v>
      </c>
      <c r="JAY538" s="22" t="e">
        <f ca="1"/>
        <v>#N/A</v>
      </c>
      <c r="JAZ538" s="22" t="e">
        <f ca="1"/>
        <v>#N/A</v>
      </c>
      <c r="JBA538" s="22" t="e">
        <f ca="1"/>
        <v>#N/A</v>
      </c>
      <c r="JBB538" s="22" t="e">
        <f ca="1"/>
        <v>#N/A</v>
      </c>
      <c r="JBC538" s="22" t="e">
        <f ca="1"/>
        <v>#N/A</v>
      </c>
      <c r="JBD538" s="22" t="e">
        <f ca="1"/>
        <v>#N/A</v>
      </c>
      <c r="JBE538" s="22" t="e">
        <f ca="1"/>
        <v>#N/A</v>
      </c>
      <c r="JBF538" s="22" t="e">
        <f ca="1"/>
        <v>#N/A</v>
      </c>
      <c r="JBG538" s="22" t="e">
        <f ca="1"/>
        <v>#N/A</v>
      </c>
      <c r="JBH538" s="22" t="e">
        <f ca="1"/>
        <v>#N/A</v>
      </c>
      <c r="JBI538" s="22" t="e">
        <f ca="1"/>
        <v>#N/A</v>
      </c>
      <c r="JBJ538" s="22" t="e">
        <f ca="1"/>
        <v>#N/A</v>
      </c>
      <c r="JBK538" s="22" t="e">
        <f ca="1"/>
        <v>#N/A</v>
      </c>
      <c r="JBL538" s="22" t="e">
        <f ca="1"/>
        <v>#N/A</v>
      </c>
      <c r="JBM538" s="22" t="e">
        <f ca="1"/>
        <v>#N/A</v>
      </c>
      <c r="JBN538" s="22" t="e">
        <f ca="1"/>
        <v>#N/A</v>
      </c>
      <c r="JBO538" s="22" t="e">
        <f ca="1"/>
        <v>#N/A</v>
      </c>
      <c r="JBP538" s="22" t="e">
        <f ca="1"/>
        <v>#N/A</v>
      </c>
      <c r="JBQ538" s="22" t="e">
        <f ca="1"/>
        <v>#N/A</v>
      </c>
      <c r="JBR538" s="22" t="e">
        <f ca="1"/>
        <v>#N/A</v>
      </c>
      <c r="JBS538" s="22" t="e">
        <f ca="1"/>
        <v>#N/A</v>
      </c>
      <c r="JBT538" s="22" t="e">
        <f ca="1"/>
        <v>#N/A</v>
      </c>
      <c r="JBU538" s="22" t="e">
        <f ca="1"/>
        <v>#N/A</v>
      </c>
      <c r="JBV538" s="22" t="e">
        <f ca="1"/>
        <v>#N/A</v>
      </c>
      <c r="JBW538" s="22" t="e">
        <f ca="1"/>
        <v>#N/A</v>
      </c>
      <c r="JBX538" s="22" t="e">
        <f ca="1"/>
        <v>#N/A</v>
      </c>
      <c r="JBY538" s="22" t="e">
        <f ca="1"/>
        <v>#N/A</v>
      </c>
      <c r="JBZ538" s="22" t="e">
        <f ca="1"/>
        <v>#N/A</v>
      </c>
      <c r="JCA538" s="22" t="e">
        <f ca="1"/>
        <v>#N/A</v>
      </c>
      <c r="JCB538" s="22" t="e">
        <f ca="1"/>
        <v>#N/A</v>
      </c>
      <c r="JCC538" s="22" t="e">
        <f ca="1"/>
        <v>#N/A</v>
      </c>
      <c r="JCD538" s="22" t="e">
        <f ca="1"/>
        <v>#N/A</v>
      </c>
      <c r="JCE538" s="22" t="e">
        <f ca="1"/>
        <v>#N/A</v>
      </c>
      <c r="JCF538" s="22" t="e">
        <f ca="1"/>
        <v>#N/A</v>
      </c>
      <c r="JCG538" s="22" t="e">
        <f ca="1"/>
        <v>#N/A</v>
      </c>
      <c r="JCH538" s="22" t="e">
        <f ca="1"/>
        <v>#N/A</v>
      </c>
      <c r="JCI538" s="22" t="e">
        <f ca="1"/>
        <v>#N/A</v>
      </c>
      <c r="JCJ538" s="22" t="e">
        <f ca="1"/>
        <v>#N/A</v>
      </c>
      <c r="JCK538" s="22" t="e">
        <f ca="1"/>
        <v>#N/A</v>
      </c>
      <c r="JCL538" s="22" t="e">
        <f ca="1"/>
        <v>#N/A</v>
      </c>
      <c r="JCM538" s="22" t="e">
        <f ca="1"/>
        <v>#N/A</v>
      </c>
      <c r="JCN538" s="22" t="e">
        <f ca="1"/>
        <v>#N/A</v>
      </c>
      <c r="JCO538" s="22" t="e">
        <f ca="1"/>
        <v>#N/A</v>
      </c>
      <c r="JCP538" s="22" t="e">
        <f ca="1"/>
        <v>#N/A</v>
      </c>
      <c r="JCQ538" s="22" t="e">
        <f ca="1"/>
        <v>#N/A</v>
      </c>
      <c r="JCR538" s="22" t="e">
        <f ca="1"/>
        <v>#N/A</v>
      </c>
      <c r="JCS538" s="22" t="e">
        <f ca="1"/>
        <v>#N/A</v>
      </c>
      <c r="JCT538" s="22" t="e">
        <f ca="1"/>
        <v>#N/A</v>
      </c>
      <c r="JCU538" s="22" t="e">
        <f ca="1"/>
        <v>#N/A</v>
      </c>
      <c r="JCV538" s="22" t="e">
        <f ca="1"/>
        <v>#N/A</v>
      </c>
      <c r="JCW538" s="22" t="e">
        <f ca="1"/>
        <v>#N/A</v>
      </c>
      <c r="JCX538" s="22" t="e">
        <f ca="1"/>
        <v>#N/A</v>
      </c>
      <c r="JCY538" s="22" t="e">
        <f ca="1"/>
        <v>#N/A</v>
      </c>
      <c r="JCZ538" s="22" t="e">
        <f ca="1"/>
        <v>#N/A</v>
      </c>
      <c r="JDA538" s="22" t="e">
        <f ca="1"/>
        <v>#N/A</v>
      </c>
      <c r="JDB538" s="22" t="e">
        <f ca="1"/>
        <v>#N/A</v>
      </c>
      <c r="JDC538" s="22" t="e">
        <f ca="1"/>
        <v>#N/A</v>
      </c>
      <c r="JDD538" s="22" t="e">
        <f ca="1"/>
        <v>#N/A</v>
      </c>
      <c r="JDE538" s="22" t="e">
        <f ca="1"/>
        <v>#N/A</v>
      </c>
      <c r="JDF538" s="22" t="e">
        <f ca="1"/>
        <v>#N/A</v>
      </c>
      <c r="JDG538" s="22" t="e">
        <f ca="1"/>
        <v>#N/A</v>
      </c>
      <c r="JDH538" s="22" t="e">
        <f ca="1"/>
        <v>#N/A</v>
      </c>
      <c r="JDI538" s="22" t="e">
        <f ca="1"/>
        <v>#N/A</v>
      </c>
      <c r="JDJ538" s="22" t="e">
        <f ca="1"/>
        <v>#N/A</v>
      </c>
      <c r="JDK538" s="22" t="e">
        <f ca="1"/>
        <v>#N/A</v>
      </c>
      <c r="JDL538" s="22" t="e">
        <f ca="1"/>
        <v>#N/A</v>
      </c>
      <c r="JDM538" s="22" t="e">
        <f ca="1"/>
        <v>#N/A</v>
      </c>
      <c r="JDN538" s="22" t="e">
        <f ca="1"/>
        <v>#N/A</v>
      </c>
      <c r="JDO538" s="22" t="e">
        <f ca="1"/>
        <v>#N/A</v>
      </c>
      <c r="JDP538" s="22" t="e">
        <f ca="1"/>
        <v>#N/A</v>
      </c>
      <c r="JDQ538" s="22" t="e">
        <f ca="1"/>
        <v>#N/A</v>
      </c>
      <c r="JDR538" s="22" t="e">
        <f ca="1"/>
        <v>#N/A</v>
      </c>
      <c r="JDS538" s="22" t="e">
        <f ca="1"/>
        <v>#N/A</v>
      </c>
      <c r="JDT538" s="22" t="e">
        <f ca="1"/>
        <v>#N/A</v>
      </c>
      <c r="JDU538" s="22" t="e">
        <f ca="1"/>
        <v>#N/A</v>
      </c>
      <c r="JDV538" s="22" t="e">
        <f ca="1"/>
        <v>#N/A</v>
      </c>
      <c r="JDW538" s="22" t="e">
        <f ca="1"/>
        <v>#N/A</v>
      </c>
      <c r="JDX538" s="22" t="e">
        <f ca="1"/>
        <v>#N/A</v>
      </c>
      <c r="JDY538" s="22" t="e">
        <f ca="1"/>
        <v>#N/A</v>
      </c>
      <c r="JDZ538" s="22" t="e">
        <f ca="1"/>
        <v>#N/A</v>
      </c>
      <c r="JEA538" s="22" t="e">
        <f ca="1"/>
        <v>#N/A</v>
      </c>
      <c r="JEB538" s="22" t="e">
        <f ca="1"/>
        <v>#N/A</v>
      </c>
      <c r="JEC538" s="22" t="e">
        <f ca="1"/>
        <v>#N/A</v>
      </c>
      <c r="JED538" s="22" t="e">
        <f ca="1"/>
        <v>#N/A</v>
      </c>
      <c r="JEE538" s="22" t="e">
        <f ca="1"/>
        <v>#N/A</v>
      </c>
      <c r="JEF538" s="22" t="e">
        <f ca="1"/>
        <v>#N/A</v>
      </c>
      <c r="JEG538" s="22" t="e">
        <f ca="1"/>
        <v>#N/A</v>
      </c>
      <c r="JEH538" s="22" t="e">
        <f ca="1"/>
        <v>#N/A</v>
      </c>
      <c r="JEI538" s="22" t="e">
        <f ca="1"/>
        <v>#N/A</v>
      </c>
      <c r="JEJ538" s="22" t="e">
        <f ca="1"/>
        <v>#N/A</v>
      </c>
      <c r="JEK538" s="22" t="e">
        <f ca="1"/>
        <v>#N/A</v>
      </c>
      <c r="JEL538" s="22" t="e">
        <f ca="1"/>
        <v>#N/A</v>
      </c>
      <c r="JEM538" s="22" t="e">
        <f ca="1"/>
        <v>#N/A</v>
      </c>
      <c r="JEN538" s="22" t="e">
        <f ca="1"/>
        <v>#N/A</v>
      </c>
      <c r="JEO538" s="22" t="e">
        <f ca="1"/>
        <v>#N/A</v>
      </c>
      <c r="JEP538" s="22" t="e">
        <f ca="1"/>
        <v>#N/A</v>
      </c>
      <c r="JEQ538" s="22" t="e">
        <f ca="1"/>
        <v>#N/A</v>
      </c>
      <c r="JER538" s="22" t="e">
        <f ca="1"/>
        <v>#N/A</v>
      </c>
      <c r="JES538" s="22" t="e">
        <f ca="1"/>
        <v>#N/A</v>
      </c>
      <c r="JET538" s="22" t="e">
        <f ca="1"/>
        <v>#N/A</v>
      </c>
      <c r="JEU538" s="22" t="e">
        <f ca="1"/>
        <v>#N/A</v>
      </c>
      <c r="JEV538" s="22" t="e">
        <f ca="1"/>
        <v>#N/A</v>
      </c>
      <c r="JEW538" s="22" t="e">
        <f ca="1"/>
        <v>#N/A</v>
      </c>
      <c r="JEX538" s="22" t="e">
        <f ca="1"/>
        <v>#N/A</v>
      </c>
      <c r="JEY538" s="22" t="e">
        <f ca="1"/>
        <v>#N/A</v>
      </c>
      <c r="JEZ538" s="22" t="e">
        <f ca="1"/>
        <v>#N/A</v>
      </c>
      <c r="JFA538" s="22" t="e">
        <f ca="1"/>
        <v>#N/A</v>
      </c>
      <c r="JFB538" s="22" t="e">
        <f ca="1"/>
        <v>#N/A</v>
      </c>
      <c r="JFC538" s="22" t="e">
        <f ca="1"/>
        <v>#N/A</v>
      </c>
      <c r="JFD538" s="22" t="e">
        <f ca="1"/>
        <v>#N/A</v>
      </c>
      <c r="JFE538" s="22" t="e">
        <f ca="1"/>
        <v>#N/A</v>
      </c>
      <c r="JFF538" s="22" t="e">
        <f ca="1"/>
        <v>#N/A</v>
      </c>
      <c r="JFG538" s="22" t="e">
        <f ca="1"/>
        <v>#N/A</v>
      </c>
      <c r="JFH538" s="22" t="e">
        <f ca="1"/>
        <v>#N/A</v>
      </c>
      <c r="JFI538" s="22" t="e">
        <f ca="1"/>
        <v>#N/A</v>
      </c>
      <c r="JFJ538" s="22" t="e">
        <f ca="1"/>
        <v>#N/A</v>
      </c>
      <c r="JFK538" s="22" t="e">
        <f ca="1"/>
        <v>#N/A</v>
      </c>
      <c r="JFL538" s="22" t="e">
        <f ca="1"/>
        <v>#N/A</v>
      </c>
      <c r="JFM538" s="22" t="e">
        <f ca="1"/>
        <v>#N/A</v>
      </c>
      <c r="JFN538" s="22" t="e">
        <f ca="1"/>
        <v>#N/A</v>
      </c>
      <c r="JFO538" s="22" t="e">
        <f ca="1"/>
        <v>#N/A</v>
      </c>
      <c r="JFP538" s="22" t="e">
        <f ca="1"/>
        <v>#N/A</v>
      </c>
      <c r="JFQ538" s="22" t="e">
        <f ca="1"/>
        <v>#N/A</v>
      </c>
      <c r="JFR538" s="22" t="e">
        <f ca="1"/>
        <v>#N/A</v>
      </c>
      <c r="JFS538" s="22" t="e">
        <f ca="1"/>
        <v>#N/A</v>
      </c>
      <c r="JFT538" s="22" t="e">
        <f ca="1"/>
        <v>#N/A</v>
      </c>
      <c r="JFU538" s="22" t="e">
        <f ca="1"/>
        <v>#N/A</v>
      </c>
      <c r="JFV538" s="22" t="e">
        <f ca="1"/>
        <v>#N/A</v>
      </c>
      <c r="JFW538" s="22" t="e">
        <f ca="1"/>
        <v>#N/A</v>
      </c>
      <c r="JFX538" s="22" t="e">
        <f ca="1"/>
        <v>#N/A</v>
      </c>
      <c r="JFY538" s="22" t="e">
        <f ca="1"/>
        <v>#N/A</v>
      </c>
      <c r="JFZ538" s="22" t="e">
        <f ca="1"/>
        <v>#N/A</v>
      </c>
      <c r="JGA538" s="22" t="e">
        <f ca="1"/>
        <v>#N/A</v>
      </c>
      <c r="JGB538" s="22" t="e">
        <f ca="1"/>
        <v>#N/A</v>
      </c>
      <c r="JGC538" s="22" t="e">
        <f ca="1"/>
        <v>#N/A</v>
      </c>
      <c r="JGD538" s="22" t="e">
        <f ca="1"/>
        <v>#N/A</v>
      </c>
      <c r="JGE538" s="22" t="e">
        <f ca="1"/>
        <v>#N/A</v>
      </c>
      <c r="JGF538" s="22" t="e">
        <f ca="1"/>
        <v>#N/A</v>
      </c>
      <c r="JGG538" s="22" t="e">
        <f ca="1"/>
        <v>#N/A</v>
      </c>
      <c r="JGH538" s="22" t="e">
        <f ca="1"/>
        <v>#N/A</v>
      </c>
      <c r="JGI538" s="22" t="e">
        <f ca="1"/>
        <v>#N/A</v>
      </c>
      <c r="JGJ538" s="22" t="e">
        <f ca="1"/>
        <v>#N/A</v>
      </c>
      <c r="JGK538" s="22" t="e">
        <f ca="1"/>
        <v>#N/A</v>
      </c>
      <c r="JGL538" s="22" t="e">
        <f ca="1"/>
        <v>#N/A</v>
      </c>
      <c r="JGM538" s="22" t="e">
        <f ca="1"/>
        <v>#N/A</v>
      </c>
      <c r="JGN538" s="22" t="e">
        <f ca="1"/>
        <v>#N/A</v>
      </c>
      <c r="JGO538" s="22" t="e">
        <f ca="1"/>
        <v>#N/A</v>
      </c>
      <c r="JGP538" s="22" t="e">
        <f ca="1"/>
        <v>#N/A</v>
      </c>
      <c r="JGQ538" s="22" t="e">
        <f ca="1"/>
        <v>#N/A</v>
      </c>
      <c r="JGR538" s="22" t="e">
        <f ca="1"/>
        <v>#N/A</v>
      </c>
      <c r="JGS538" s="22" t="e">
        <f ca="1"/>
        <v>#N/A</v>
      </c>
      <c r="JGT538" s="22" t="e">
        <f ca="1"/>
        <v>#N/A</v>
      </c>
      <c r="JGU538" s="22" t="e">
        <f ca="1"/>
        <v>#N/A</v>
      </c>
      <c r="JGV538" s="22" t="e">
        <f ca="1"/>
        <v>#N/A</v>
      </c>
      <c r="JGW538" s="22" t="e">
        <f ca="1"/>
        <v>#N/A</v>
      </c>
      <c r="JGX538" s="22" t="e">
        <f ca="1"/>
        <v>#N/A</v>
      </c>
      <c r="JGY538" s="22" t="e">
        <f ca="1"/>
        <v>#N/A</v>
      </c>
      <c r="JGZ538" s="22" t="e">
        <f ca="1"/>
        <v>#N/A</v>
      </c>
      <c r="JHA538" s="22" t="e">
        <f ca="1"/>
        <v>#N/A</v>
      </c>
      <c r="JHB538" s="22" t="e">
        <f ca="1"/>
        <v>#N/A</v>
      </c>
      <c r="JHC538" s="22" t="e">
        <f ca="1"/>
        <v>#N/A</v>
      </c>
      <c r="JHD538" s="22" t="e">
        <f ca="1"/>
        <v>#N/A</v>
      </c>
      <c r="JHE538" s="22" t="e">
        <f ca="1"/>
        <v>#N/A</v>
      </c>
      <c r="JHF538" s="22" t="e">
        <f ca="1"/>
        <v>#N/A</v>
      </c>
      <c r="JHG538" s="22" t="e">
        <f ca="1"/>
        <v>#N/A</v>
      </c>
      <c r="JHH538" s="22" t="e">
        <f ca="1"/>
        <v>#N/A</v>
      </c>
      <c r="JHI538" s="22" t="e">
        <f ca="1"/>
        <v>#N/A</v>
      </c>
      <c r="JHJ538" s="22" t="e">
        <f ca="1"/>
        <v>#N/A</v>
      </c>
      <c r="JHK538" s="22" t="e">
        <f ca="1"/>
        <v>#N/A</v>
      </c>
      <c r="JHL538" s="22" t="e">
        <f ca="1"/>
        <v>#N/A</v>
      </c>
      <c r="JHM538" s="22" t="e">
        <f ca="1"/>
        <v>#N/A</v>
      </c>
      <c r="JHN538" s="22" t="e">
        <f ca="1"/>
        <v>#N/A</v>
      </c>
      <c r="JHO538" s="22" t="e">
        <f ca="1"/>
        <v>#N/A</v>
      </c>
      <c r="JHP538" s="22" t="e">
        <f ca="1"/>
        <v>#N/A</v>
      </c>
      <c r="JHQ538" s="22" t="e">
        <f ca="1"/>
        <v>#N/A</v>
      </c>
      <c r="JHR538" s="22" t="e">
        <f ca="1"/>
        <v>#N/A</v>
      </c>
      <c r="JHS538" s="22" t="e">
        <f ca="1"/>
        <v>#N/A</v>
      </c>
      <c r="JHT538" s="22" t="e">
        <f ca="1"/>
        <v>#N/A</v>
      </c>
      <c r="JHU538" s="22" t="e">
        <f ca="1"/>
        <v>#N/A</v>
      </c>
      <c r="JHV538" s="22" t="e">
        <f ca="1"/>
        <v>#N/A</v>
      </c>
      <c r="JHW538" s="22" t="e">
        <f ca="1"/>
        <v>#N/A</v>
      </c>
      <c r="JHX538" s="22" t="e">
        <f ca="1"/>
        <v>#N/A</v>
      </c>
      <c r="JHY538" s="22" t="e">
        <f ca="1"/>
        <v>#N/A</v>
      </c>
      <c r="JHZ538" s="22" t="e">
        <f ca="1"/>
        <v>#N/A</v>
      </c>
      <c r="JIA538" s="22" t="e">
        <f ca="1"/>
        <v>#N/A</v>
      </c>
      <c r="JIB538" s="22" t="e">
        <f ca="1"/>
        <v>#N/A</v>
      </c>
      <c r="JIC538" s="22" t="e">
        <f ca="1"/>
        <v>#N/A</v>
      </c>
      <c r="JID538" s="22" t="e">
        <f ca="1"/>
        <v>#N/A</v>
      </c>
      <c r="JIE538" s="22" t="e">
        <f ca="1"/>
        <v>#N/A</v>
      </c>
      <c r="JIF538" s="22" t="e">
        <f ca="1"/>
        <v>#N/A</v>
      </c>
      <c r="JIG538" s="22" t="e">
        <f ca="1"/>
        <v>#N/A</v>
      </c>
      <c r="JIH538" s="22" t="e">
        <f ca="1"/>
        <v>#N/A</v>
      </c>
      <c r="JII538" s="22" t="e">
        <f ca="1"/>
        <v>#N/A</v>
      </c>
      <c r="JIJ538" s="22" t="e">
        <f ca="1"/>
        <v>#N/A</v>
      </c>
      <c r="JIK538" s="22" t="e">
        <f ca="1"/>
        <v>#N/A</v>
      </c>
      <c r="JIL538" s="22" t="e">
        <f ca="1"/>
        <v>#N/A</v>
      </c>
      <c r="JIM538" s="22" t="e">
        <f ca="1"/>
        <v>#N/A</v>
      </c>
      <c r="JIN538" s="22" t="e">
        <f ca="1"/>
        <v>#N/A</v>
      </c>
      <c r="JIO538" s="22" t="e">
        <f ca="1"/>
        <v>#N/A</v>
      </c>
      <c r="JIP538" s="22" t="e">
        <f ca="1"/>
        <v>#N/A</v>
      </c>
      <c r="JIQ538" s="22" t="e">
        <f ca="1"/>
        <v>#N/A</v>
      </c>
      <c r="JIR538" s="22" t="e">
        <f ca="1"/>
        <v>#N/A</v>
      </c>
      <c r="JIS538" s="22" t="e">
        <f ca="1"/>
        <v>#N/A</v>
      </c>
      <c r="JIT538" s="22" t="e">
        <f ca="1"/>
        <v>#N/A</v>
      </c>
      <c r="JIU538" s="22" t="e">
        <f ca="1"/>
        <v>#N/A</v>
      </c>
      <c r="JIV538" s="22" t="e">
        <f ca="1"/>
        <v>#N/A</v>
      </c>
      <c r="JIW538" s="22" t="e">
        <f ca="1"/>
        <v>#N/A</v>
      </c>
      <c r="JIX538" s="22" t="e">
        <f ca="1"/>
        <v>#N/A</v>
      </c>
      <c r="JIY538" s="22" t="e">
        <f ca="1"/>
        <v>#N/A</v>
      </c>
      <c r="JIZ538" s="22" t="e">
        <f ca="1"/>
        <v>#N/A</v>
      </c>
      <c r="JJA538" s="22" t="e">
        <f ca="1"/>
        <v>#N/A</v>
      </c>
      <c r="JJB538" s="22" t="e">
        <f ca="1"/>
        <v>#N/A</v>
      </c>
      <c r="JJC538" s="22" t="e">
        <f ca="1"/>
        <v>#N/A</v>
      </c>
      <c r="JJD538" s="22" t="e">
        <f ca="1"/>
        <v>#N/A</v>
      </c>
      <c r="JJE538" s="22" t="e">
        <f ca="1"/>
        <v>#N/A</v>
      </c>
      <c r="JJF538" s="22" t="e">
        <f ca="1"/>
        <v>#N/A</v>
      </c>
      <c r="JJG538" s="22" t="e">
        <f ca="1"/>
        <v>#N/A</v>
      </c>
      <c r="JJH538" s="22" t="e">
        <f ca="1"/>
        <v>#N/A</v>
      </c>
      <c r="JJI538" s="22" t="e">
        <f ca="1"/>
        <v>#N/A</v>
      </c>
      <c r="JJJ538" s="22" t="e">
        <f ca="1"/>
        <v>#N/A</v>
      </c>
      <c r="JJK538" s="22" t="e">
        <f ca="1"/>
        <v>#N/A</v>
      </c>
      <c r="JJL538" s="22" t="e">
        <f ca="1"/>
        <v>#N/A</v>
      </c>
      <c r="JJM538" s="22" t="e">
        <f ca="1"/>
        <v>#N/A</v>
      </c>
      <c r="JJN538" s="22" t="e">
        <f ca="1"/>
        <v>#N/A</v>
      </c>
      <c r="JJO538" s="22" t="e">
        <f ca="1"/>
        <v>#N/A</v>
      </c>
      <c r="JJP538" s="22" t="e">
        <f ca="1"/>
        <v>#N/A</v>
      </c>
      <c r="JJQ538" s="22" t="e">
        <f ca="1"/>
        <v>#N/A</v>
      </c>
      <c r="JJR538" s="22" t="e">
        <f ca="1"/>
        <v>#N/A</v>
      </c>
      <c r="JJS538" s="22" t="e">
        <f ca="1"/>
        <v>#N/A</v>
      </c>
      <c r="JJT538" s="22" t="e">
        <f ca="1"/>
        <v>#N/A</v>
      </c>
      <c r="JJU538" s="22" t="e">
        <f ca="1"/>
        <v>#N/A</v>
      </c>
      <c r="JJV538" s="22" t="e">
        <f ca="1"/>
        <v>#N/A</v>
      </c>
      <c r="JJW538" s="22" t="e">
        <f ca="1"/>
        <v>#N/A</v>
      </c>
      <c r="JJX538" s="22" t="e">
        <f ca="1"/>
        <v>#N/A</v>
      </c>
      <c r="JJY538" s="22" t="e">
        <f ca="1"/>
        <v>#N/A</v>
      </c>
      <c r="JJZ538" s="22" t="e">
        <f ca="1"/>
        <v>#N/A</v>
      </c>
      <c r="JKA538" s="22" t="e">
        <f ca="1"/>
        <v>#N/A</v>
      </c>
      <c r="JKB538" s="22" t="e">
        <f ca="1"/>
        <v>#N/A</v>
      </c>
      <c r="JKC538" s="22" t="e">
        <f ca="1"/>
        <v>#N/A</v>
      </c>
      <c r="JKD538" s="22" t="e">
        <f ca="1"/>
        <v>#N/A</v>
      </c>
      <c r="JKE538" s="22" t="e">
        <f ca="1"/>
        <v>#N/A</v>
      </c>
      <c r="JKF538" s="22" t="e">
        <f ca="1"/>
        <v>#N/A</v>
      </c>
      <c r="JKG538" s="22" t="e">
        <f ca="1"/>
        <v>#N/A</v>
      </c>
      <c r="JKH538" s="22" t="e">
        <f ca="1"/>
        <v>#N/A</v>
      </c>
      <c r="JKI538" s="22" t="e">
        <f ca="1"/>
        <v>#N/A</v>
      </c>
      <c r="JKJ538" s="22" t="e">
        <f ca="1"/>
        <v>#N/A</v>
      </c>
      <c r="JKK538" s="22" t="e">
        <f ca="1"/>
        <v>#N/A</v>
      </c>
      <c r="JKL538" s="22" t="e">
        <f ca="1"/>
        <v>#N/A</v>
      </c>
      <c r="JKM538" s="22" t="e">
        <f ca="1"/>
        <v>#N/A</v>
      </c>
      <c r="JKN538" s="22" t="e">
        <f ca="1"/>
        <v>#N/A</v>
      </c>
      <c r="JKO538" s="22" t="e">
        <f ca="1"/>
        <v>#N/A</v>
      </c>
      <c r="JKP538" s="22" t="e">
        <f ca="1"/>
        <v>#N/A</v>
      </c>
      <c r="JKQ538" s="22" t="e">
        <f ca="1"/>
        <v>#N/A</v>
      </c>
      <c r="JKR538" s="22" t="e">
        <f ca="1"/>
        <v>#N/A</v>
      </c>
      <c r="JKS538" s="22" t="e">
        <f ca="1"/>
        <v>#N/A</v>
      </c>
      <c r="JKT538" s="22" t="e">
        <f ca="1"/>
        <v>#N/A</v>
      </c>
      <c r="JKU538" s="22" t="e">
        <f ca="1"/>
        <v>#N/A</v>
      </c>
      <c r="JKV538" s="22" t="e">
        <f ca="1"/>
        <v>#N/A</v>
      </c>
      <c r="JKW538" s="22" t="e">
        <f ca="1"/>
        <v>#N/A</v>
      </c>
      <c r="JKX538" s="22" t="e">
        <f ca="1"/>
        <v>#N/A</v>
      </c>
      <c r="JKY538" s="22" t="e">
        <f ca="1"/>
        <v>#N/A</v>
      </c>
      <c r="JKZ538" s="22" t="e">
        <f ca="1"/>
        <v>#N/A</v>
      </c>
      <c r="JLA538" s="22" t="e">
        <f ca="1"/>
        <v>#N/A</v>
      </c>
      <c r="JLB538" s="22" t="e">
        <f ca="1"/>
        <v>#N/A</v>
      </c>
      <c r="JLC538" s="22" t="e">
        <f ca="1"/>
        <v>#N/A</v>
      </c>
      <c r="JLD538" s="22" t="e">
        <f ca="1"/>
        <v>#N/A</v>
      </c>
      <c r="JLE538" s="22" t="e">
        <f ca="1"/>
        <v>#N/A</v>
      </c>
      <c r="JLF538" s="22" t="e">
        <f ca="1"/>
        <v>#N/A</v>
      </c>
      <c r="JLG538" s="22" t="e">
        <f ca="1"/>
        <v>#N/A</v>
      </c>
      <c r="JLH538" s="22" t="e">
        <f ca="1"/>
        <v>#N/A</v>
      </c>
      <c r="JLI538" s="22" t="e">
        <f ca="1"/>
        <v>#N/A</v>
      </c>
      <c r="JLJ538" s="22" t="e">
        <f ca="1"/>
        <v>#N/A</v>
      </c>
      <c r="JLK538" s="22" t="e">
        <f ca="1"/>
        <v>#N/A</v>
      </c>
      <c r="JLL538" s="22" t="e">
        <f ca="1"/>
        <v>#N/A</v>
      </c>
      <c r="JLM538" s="22" t="e">
        <f ca="1"/>
        <v>#N/A</v>
      </c>
      <c r="JLN538" s="22" t="e">
        <f ca="1"/>
        <v>#N/A</v>
      </c>
      <c r="JLO538" s="22" t="e">
        <f ca="1"/>
        <v>#N/A</v>
      </c>
      <c r="JLP538" s="22" t="e">
        <f ca="1"/>
        <v>#N/A</v>
      </c>
      <c r="JLQ538" s="22" t="e">
        <f ca="1"/>
        <v>#N/A</v>
      </c>
      <c r="JLR538" s="22" t="e">
        <f ca="1"/>
        <v>#N/A</v>
      </c>
      <c r="JLS538" s="22" t="e">
        <f ca="1"/>
        <v>#N/A</v>
      </c>
      <c r="JLT538" s="22" t="e">
        <f ca="1"/>
        <v>#N/A</v>
      </c>
      <c r="JLU538" s="22" t="e">
        <f ca="1"/>
        <v>#N/A</v>
      </c>
      <c r="JLV538" s="22" t="e">
        <f ca="1"/>
        <v>#N/A</v>
      </c>
      <c r="JLW538" s="22" t="e">
        <f ca="1"/>
        <v>#N/A</v>
      </c>
      <c r="JLX538" s="22" t="e">
        <f ca="1"/>
        <v>#N/A</v>
      </c>
      <c r="JLY538" s="22" t="e">
        <f ca="1"/>
        <v>#N/A</v>
      </c>
      <c r="JLZ538" s="22" t="e">
        <f ca="1"/>
        <v>#N/A</v>
      </c>
      <c r="JMA538" s="22" t="e">
        <f ca="1"/>
        <v>#N/A</v>
      </c>
      <c r="JMB538" s="22" t="e">
        <f ca="1"/>
        <v>#N/A</v>
      </c>
      <c r="JMC538" s="22" t="e">
        <f ca="1"/>
        <v>#N/A</v>
      </c>
      <c r="JMD538" s="22" t="e">
        <f ca="1"/>
        <v>#N/A</v>
      </c>
      <c r="JME538" s="22" t="e">
        <f ca="1"/>
        <v>#N/A</v>
      </c>
      <c r="JMF538" s="22" t="e">
        <f ca="1"/>
        <v>#N/A</v>
      </c>
      <c r="JMG538" s="22" t="e">
        <f ca="1"/>
        <v>#N/A</v>
      </c>
      <c r="JMH538" s="22" t="e">
        <f ca="1"/>
        <v>#N/A</v>
      </c>
      <c r="JMI538" s="22" t="e">
        <f ca="1"/>
        <v>#N/A</v>
      </c>
      <c r="JMJ538" s="22" t="e">
        <f ca="1"/>
        <v>#N/A</v>
      </c>
      <c r="JMK538" s="22" t="e">
        <f ca="1"/>
        <v>#N/A</v>
      </c>
      <c r="JML538" s="22" t="e">
        <f ca="1"/>
        <v>#N/A</v>
      </c>
      <c r="JMM538" s="22" t="e">
        <f ca="1"/>
        <v>#N/A</v>
      </c>
      <c r="JMN538" s="22" t="e">
        <f ca="1"/>
        <v>#N/A</v>
      </c>
      <c r="JMO538" s="22" t="e">
        <f ca="1"/>
        <v>#N/A</v>
      </c>
      <c r="JMP538" s="22" t="e">
        <f ca="1"/>
        <v>#N/A</v>
      </c>
      <c r="JMQ538" s="22" t="e">
        <f ca="1"/>
        <v>#N/A</v>
      </c>
      <c r="JMR538" s="22" t="e">
        <f ca="1"/>
        <v>#N/A</v>
      </c>
      <c r="JMS538" s="22" t="e">
        <f ca="1"/>
        <v>#N/A</v>
      </c>
      <c r="JMT538" s="22" t="e">
        <f ca="1"/>
        <v>#N/A</v>
      </c>
      <c r="JMU538" s="22" t="e">
        <f ca="1"/>
        <v>#N/A</v>
      </c>
      <c r="JMV538" s="22" t="e">
        <f ca="1"/>
        <v>#N/A</v>
      </c>
      <c r="JMW538" s="22" t="e">
        <f ca="1"/>
        <v>#N/A</v>
      </c>
      <c r="JMX538" s="22" t="e">
        <f ca="1"/>
        <v>#N/A</v>
      </c>
      <c r="JMY538" s="22" t="e">
        <f ca="1"/>
        <v>#N/A</v>
      </c>
      <c r="JMZ538" s="22" t="e">
        <f ca="1"/>
        <v>#N/A</v>
      </c>
      <c r="JNA538" s="22" t="e">
        <f ca="1"/>
        <v>#N/A</v>
      </c>
      <c r="JNB538" s="22" t="e">
        <f ca="1"/>
        <v>#N/A</v>
      </c>
      <c r="JNC538" s="22" t="e">
        <f ca="1"/>
        <v>#N/A</v>
      </c>
      <c r="JND538" s="22" t="e">
        <f ca="1"/>
        <v>#N/A</v>
      </c>
      <c r="JNE538" s="22" t="e">
        <f ca="1"/>
        <v>#N/A</v>
      </c>
      <c r="JNF538" s="22" t="e">
        <f ca="1"/>
        <v>#N/A</v>
      </c>
      <c r="JNG538" s="22" t="e">
        <f ca="1"/>
        <v>#N/A</v>
      </c>
      <c r="JNH538" s="22" t="e">
        <f ca="1"/>
        <v>#N/A</v>
      </c>
      <c r="JNI538" s="22" t="e">
        <f ca="1"/>
        <v>#N/A</v>
      </c>
      <c r="JNJ538" s="22" t="e">
        <f ca="1"/>
        <v>#N/A</v>
      </c>
      <c r="JNK538" s="22" t="e">
        <f ca="1"/>
        <v>#N/A</v>
      </c>
      <c r="JNL538" s="22" t="e">
        <f ca="1"/>
        <v>#N/A</v>
      </c>
      <c r="JNM538" s="22" t="e">
        <f ca="1"/>
        <v>#N/A</v>
      </c>
      <c r="JNN538" s="22" t="e">
        <f ca="1"/>
        <v>#N/A</v>
      </c>
      <c r="JNO538" s="22" t="e">
        <f ca="1"/>
        <v>#N/A</v>
      </c>
      <c r="JNP538" s="22" t="e">
        <f ca="1"/>
        <v>#N/A</v>
      </c>
      <c r="JNQ538" s="22" t="e">
        <f ca="1"/>
        <v>#N/A</v>
      </c>
      <c r="JNR538" s="22" t="e">
        <f ca="1"/>
        <v>#N/A</v>
      </c>
      <c r="JNS538" s="22" t="e">
        <f ca="1"/>
        <v>#N/A</v>
      </c>
      <c r="JNT538" s="22" t="e">
        <f ca="1"/>
        <v>#N/A</v>
      </c>
      <c r="JNU538" s="22" t="e">
        <f ca="1"/>
        <v>#N/A</v>
      </c>
      <c r="JNV538" s="22" t="e">
        <f ca="1"/>
        <v>#N/A</v>
      </c>
      <c r="JNW538" s="22" t="e">
        <f ca="1"/>
        <v>#N/A</v>
      </c>
      <c r="JNX538" s="22" t="e">
        <f ca="1"/>
        <v>#N/A</v>
      </c>
      <c r="JNY538" s="22" t="e">
        <f ca="1"/>
        <v>#N/A</v>
      </c>
      <c r="JNZ538" s="22" t="e">
        <f ca="1"/>
        <v>#N/A</v>
      </c>
      <c r="JOA538" s="22" t="e">
        <f ca="1"/>
        <v>#N/A</v>
      </c>
      <c r="JOB538" s="22" t="e">
        <f ca="1"/>
        <v>#N/A</v>
      </c>
      <c r="JOC538" s="22" t="e">
        <f ca="1"/>
        <v>#N/A</v>
      </c>
      <c r="JOD538" s="22" t="e">
        <f ca="1"/>
        <v>#N/A</v>
      </c>
      <c r="JOE538" s="22" t="e">
        <f ca="1"/>
        <v>#N/A</v>
      </c>
      <c r="JOF538" s="22" t="e">
        <f ca="1"/>
        <v>#N/A</v>
      </c>
      <c r="JOG538" s="22" t="e">
        <f ca="1"/>
        <v>#N/A</v>
      </c>
      <c r="JOH538" s="22" t="e">
        <f ca="1"/>
        <v>#N/A</v>
      </c>
      <c r="JOI538" s="22" t="e">
        <f ca="1"/>
        <v>#N/A</v>
      </c>
      <c r="JOJ538" s="22" t="e">
        <f ca="1"/>
        <v>#N/A</v>
      </c>
      <c r="JOK538" s="22" t="e">
        <f ca="1"/>
        <v>#N/A</v>
      </c>
      <c r="JOL538" s="22" t="e">
        <f ca="1"/>
        <v>#N/A</v>
      </c>
      <c r="JOM538" s="22" t="e">
        <f ca="1"/>
        <v>#N/A</v>
      </c>
      <c r="JON538" s="22" t="e">
        <f ca="1"/>
        <v>#N/A</v>
      </c>
      <c r="JOO538" s="22" t="e">
        <f ca="1"/>
        <v>#N/A</v>
      </c>
      <c r="JOP538" s="22" t="e">
        <f ca="1"/>
        <v>#N/A</v>
      </c>
      <c r="JOQ538" s="22" t="e">
        <f ca="1"/>
        <v>#N/A</v>
      </c>
      <c r="JOR538" s="22" t="e">
        <f ca="1"/>
        <v>#N/A</v>
      </c>
      <c r="JOS538" s="22" t="e">
        <f ca="1"/>
        <v>#N/A</v>
      </c>
      <c r="JOT538" s="22" t="e">
        <f ca="1"/>
        <v>#N/A</v>
      </c>
      <c r="JOU538" s="22" t="e">
        <f ca="1"/>
        <v>#N/A</v>
      </c>
      <c r="JOV538" s="22" t="e">
        <f ca="1"/>
        <v>#N/A</v>
      </c>
      <c r="JOW538" s="22" t="e">
        <f ca="1"/>
        <v>#N/A</v>
      </c>
      <c r="JOX538" s="22" t="e">
        <f ca="1"/>
        <v>#N/A</v>
      </c>
      <c r="JOY538" s="22" t="e">
        <f ca="1"/>
        <v>#N/A</v>
      </c>
      <c r="JOZ538" s="22" t="e">
        <f ca="1"/>
        <v>#N/A</v>
      </c>
      <c r="JPA538" s="22" t="e">
        <f ca="1"/>
        <v>#N/A</v>
      </c>
      <c r="JPB538" s="22" t="e">
        <f ca="1"/>
        <v>#N/A</v>
      </c>
      <c r="JPC538" s="22" t="e">
        <f ca="1"/>
        <v>#N/A</v>
      </c>
      <c r="JPD538" s="22" t="e">
        <f ca="1"/>
        <v>#N/A</v>
      </c>
      <c r="JPE538" s="22" t="e">
        <f ca="1"/>
        <v>#N/A</v>
      </c>
      <c r="JPF538" s="22" t="e">
        <f ca="1"/>
        <v>#N/A</v>
      </c>
      <c r="JPG538" s="22" t="e">
        <f ca="1"/>
        <v>#N/A</v>
      </c>
      <c r="JPH538" s="22" t="e">
        <f ca="1"/>
        <v>#N/A</v>
      </c>
      <c r="JPI538" s="22" t="e">
        <f ca="1"/>
        <v>#N/A</v>
      </c>
      <c r="JPJ538" s="22" t="e">
        <f ca="1"/>
        <v>#N/A</v>
      </c>
      <c r="JPK538" s="22" t="e">
        <f ca="1"/>
        <v>#N/A</v>
      </c>
      <c r="JPL538" s="22" t="e">
        <f ca="1"/>
        <v>#N/A</v>
      </c>
      <c r="JPM538" s="22" t="e">
        <f ca="1"/>
        <v>#N/A</v>
      </c>
      <c r="JPN538" s="22" t="e">
        <f ca="1"/>
        <v>#N/A</v>
      </c>
      <c r="JPO538" s="22" t="e">
        <f ca="1"/>
        <v>#N/A</v>
      </c>
      <c r="JPP538" s="22" t="e">
        <f ca="1"/>
        <v>#N/A</v>
      </c>
      <c r="JPQ538" s="22" t="e">
        <f ca="1"/>
        <v>#N/A</v>
      </c>
      <c r="JPR538" s="22" t="e">
        <f ca="1"/>
        <v>#N/A</v>
      </c>
      <c r="JPS538" s="22" t="e">
        <f ca="1"/>
        <v>#N/A</v>
      </c>
      <c r="JPT538" s="22" t="e">
        <f ca="1"/>
        <v>#N/A</v>
      </c>
      <c r="JPU538" s="22" t="e">
        <f ca="1"/>
        <v>#N/A</v>
      </c>
      <c r="JPV538" s="22" t="e">
        <f ca="1"/>
        <v>#N/A</v>
      </c>
      <c r="JPW538" s="22" t="e">
        <f ca="1"/>
        <v>#N/A</v>
      </c>
      <c r="JPX538" s="22" t="e">
        <f ca="1"/>
        <v>#N/A</v>
      </c>
      <c r="JPY538" s="22" t="e">
        <f ca="1"/>
        <v>#N/A</v>
      </c>
      <c r="JPZ538" s="22" t="e">
        <f ca="1"/>
        <v>#N/A</v>
      </c>
      <c r="JQA538" s="22" t="e">
        <f ca="1"/>
        <v>#N/A</v>
      </c>
      <c r="JQB538" s="22" t="e">
        <f ca="1"/>
        <v>#N/A</v>
      </c>
      <c r="JQC538" s="22" t="e">
        <f ca="1"/>
        <v>#N/A</v>
      </c>
      <c r="JQD538" s="22" t="e">
        <f ca="1"/>
        <v>#N/A</v>
      </c>
      <c r="JQE538" s="22" t="e">
        <f ca="1"/>
        <v>#N/A</v>
      </c>
      <c r="JQF538" s="22" t="e">
        <f ca="1"/>
        <v>#N/A</v>
      </c>
      <c r="JQG538" s="22" t="e">
        <f ca="1"/>
        <v>#N/A</v>
      </c>
      <c r="JQH538" s="22" t="e">
        <f ca="1"/>
        <v>#N/A</v>
      </c>
      <c r="JQI538" s="22" t="e">
        <f ca="1"/>
        <v>#N/A</v>
      </c>
      <c r="JQJ538" s="22" t="e">
        <f ca="1"/>
        <v>#N/A</v>
      </c>
      <c r="JQK538" s="22" t="e">
        <f ca="1"/>
        <v>#N/A</v>
      </c>
      <c r="JQL538" s="22" t="e">
        <f ca="1"/>
        <v>#N/A</v>
      </c>
      <c r="JQM538" s="22" t="e">
        <f ca="1"/>
        <v>#N/A</v>
      </c>
      <c r="JQN538" s="22" t="e">
        <f ca="1"/>
        <v>#N/A</v>
      </c>
      <c r="JQO538" s="22" t="e">
        <f ca="1"/>
        <v>#N/A</v>
      </c>
      <c r="JQP538" s="22" t="e">
        <f ca="1"/>
        <v>#N/A</v>
      </c>
      <c r="JQQ538" s="22" t="e">
        <f ca="1"/>
        <v>#N/A</v>
      </c>
      <c r="JQR538" s="22" t="e">
        <f ca="1"/>
        <v>#N/A</v>
      </c>
      <c r="JQS538" s="22" t="e">
        <f ca="1"/>
        <v>#N/A</v>
      </c>
      <c r="JQT538" s="22" t="e">
        <f ca="1"/>
        <v>#N/A</v>
      </c>
      <c r="JQU538" s="22" t="e">
        <f ca="1"/>
        <v>#N/A</v>
      </c>
      <c r="JQV538" s="22" t="e">
        <f ca="1"/>
        <v>#N/A</v>
      </c>
      <c r="JQW538" s="22" t="e">
        <f ca="1"/>
        <v>#N/A</v>
      </c>
      <c r="JQX538" s="22" t="e">
        <f ca="1"/>
        <v>#N/A</v>
      </c>
      <c r="JQY538" s="22" t="e">
        <f ca="1"/>
        <v>#N/A</v>
      </c>
      <c r="JQZ538" s="22" t="e">
        <f ca="1"/>
        <v>#N/A</v>
      </c>
      <c r="JRA538" s="22" t="e">
        <f ca="1"/>
        <v>#N/A</v>
      </c>
      <c r="JRB538" s="22" t="e">
        <f ca="1"/>
        <v>#N/A</v>
      </c>
      <c r="JRC538" s="22" t="e">
        <f ca="1"/>
        <v>#N/A</v>
      </c>
      <c r="JRD538" s="22" t="e">
        <f ca="1"/>
        <v>#N/A</v>
      </c>
      <c r="JRE538" s="22" t="e">
        <f ca="1"/>
        <v>#N/A</v>
      </c>
      <c r="JRF538" s="22" t="e">
        <f ca="1"/>
        <v>#N/A</v>
      </c>
      <c r="JRG538" s="22" t="e">
        <f ca="1"/>
        <v>#N/A</v>
      </c>
      <c r="JRH538" s="22" t="e">
        <f ca="1"/>
        <v>#N/A</v>
      </c>
      <c r="JRI538" s="22" t="e">
        <f ca="1"/>
        <v>#N/A</v>
      </c>
      <c r="JRJ538" s="22" t="e">
        <f ca="1"/>
        <v>#N/A</v>
      </c>
      <c r="JRK538" s="22" t="e">
        <f ca="1"/>
        <v>#N/A</v>
      </c>
      <c r="JRL538" s="22" t="e">
        <f ca="1"/>
        <v>#N/A</v>
      </c>
      <c r="JRM538" s="22" t="e">
        <f ca="1"/>
        <v>#N/A</v>
      </c>
      <c r="JRN538" s="22" t="e">
        <f ca="1"/>
        <v>#N/A</v>
      </c>
      <c r="JRO538" s="22" t="e">
        <f ca="1"/>
        <v>#N/A</v>
      </c>
      <c r="JRP538" s="22" t="e">
        <f ca="1"/>
        <v>#N/A</v>
      </c>
      <c r="JRQ538" s="22" t="e">
        <f ca="1"/>
        <v>#N/A</v>
      </c>
      <c r="JRR538" s="22" t="e">
        <f ca="1"/>
        <v>#N/A</v>
      </c>
      <c r="JRS538" s="22" t="e">
        <f ca="1"/>
        <v>#N/A</v>
      </c>
      <c r="JRT538" s="22" t="e">
        <f ca="1"/>
        <v>#N/A</v>
      </c>
      <c r="JRU538" s="22" t="e">
        <f ca="1"/>
        <v>#N/A</v>
      </c>
      <c r="JRV538" s="22" t="e">
        <f ca="1"/>
        <v>#N/A</v>
      </c>
      <c r="JRW538" s="22" t="e">
        <f ca="1"/>
        <v>#N/A</v>
      </c>
      <c r="JRX538" s="22" t="e">
        <f ca="1"/>
        <v>#N/A</v>
      </c>
      <c r="JRY538" s="22" t="e">
        <f ca="1"/>
        <v>#N/A</v>
      </c>
      <c r="JRZ538" s="22" t="e">
        <f ca="1"/>
        <v>#N/A</v>
      </c>
      <c r="JSA538" s="22" t="e">
        <f ca="1"/>
        <v>#N/A</v>
      </c>
      <c r="JSB538" s="22" t="e">
        <f ca="1"/>
        <v>#N/A</v>
      </c>
      <c r="JSC538" s="22" t="e">
        <f ca="1"/>
        <v>#N/A</v>
      </c>
      <c r="JSD538" s="22" t="e">
        <f ca="1"/>
        <v>#N/A</v>
      </c>
      <c r="JSE538" s="22" t="e">
        <f ca="1"/>
        <v>#N/A</v>
      </c>
      <c r="JSF538" s="22" t="e">
        <f ca="1"/>
        <v>#N/A</v>
      </c>
      <c r="JSG538" s="22" t="e">
        <f ca="1"/>
        <v>#N/A</v>
      </c>
      <c r="JSH538" s="22" t="e">
        <f ca="1"/>
        <v>#N/A</v>
      </c>
      <c r="JSI538" s="22" t="e">
        <f ca="1"/>
        <v>#N/A</v>
      </c>
      <c r="JSJ538" s="22" t="e">
        <f ca="1"/>
        <v>#N/A</v>
      </c>
      <c r="JSK538" s="22" t="e">
        <f ca="1"/>
        <v>#N/A</v>
      </c>
      <c r="JSL538" s="22" t="e">
        <f ca="1"/>
        <v>#N/A</v>
      </c>
      <c r="JSM538" s="22" t="e">
        <f ca="1"/>
        <v>#N/A</v>
      </c>
      <c r="JSN538" s="22" t="e">
        <f ca="1"/>
        <v>#N/A</v>
      </c>
      <c r="JSO538" s="22" t="e">
        <f ca="1"/>
        <v>#N/A</v>
      </c>
      <c r="JSP538" s="22" t="e">
        <f ca="1"/>
        <v>#N/A</v>
      </c>
      <c r="JSQ538" s="22" t="e">
        <f ca="1"/>
        <v>#N/A</v>
      </c>
      <c r="JSR538" s="22" t="e">
        <f ca="1"/>
        <v>#N/A</v>
      </c>
      <c r="JSS538" s="22" t="e">
        <f ca="1"/>
        <v>#N/A</v>
      </c>
      <c r="JST538" s="22" t="e">
        <f ca="1"/>
        <v>#N/A</v>
      </c>
      <c r="JSU538" s="22" t="e">
        <f ca="1"/>
        <v>#N/A</v>
      </c>
      <c r="JSV538" s="22" t="e">
        <f ca="1"/>
        <v>#N/A</v>
      </c>
      <c r="JSW538" s="22" t="e">
        <f ca="1"/>
        <v>#N/A</v>
      </c>
      <c r="JSX538" s="22" t="e">
        <f ca="1"/>
        <v>#N/A</v>
      </c>
      <c r="JSY538" s="22" t="e">
        <f ca="1"/>
        <v>#N/A</v>
      </c>
      <c r="JSZ538" s="22" t="e">
        <f ca="1"/>
        <v>#N/A</v>
      </c>
      <c r="JTA538" s="22" t="e">
        <f ca="1"/>
        <v>#N/A</v>
      </c>
      <c r="JTB538" s="22" t="e">
        <f ca="1"/>
        <v>#N/A</v>
      </c>
      <c r="JTC538" s="22" t="e">
        <f ca="1"/>
        <v>#N/A</v>
      </c>
      <c r="JTD538" s="22" t="e">
        <f ca="1"/>
        <v>#N/A</v>
      </c>
      <c r="JTE538" s="22" t="e">
        <f ca="1"/>
        <v>#N/A</v>
      </c>
      <c r="JTF538" s="22" t="e">
        <f ca="1"/>
        <v>#N/A</v>
      </c>
      <c r="JTG538" s="22" t="e">
        <f ca="1"/>
        <v>#N/A</v>
      </c>
      <c r="JTH538" s="22" t="e">
        <f ca="1"/>
        <v>#N/A</v>
      </c>
      <c r="JTI538" s="22" t="e">
        <f ca="1"/>
        <v>#N/A</v>
      </c>
      <c r="JTJ538" s="22" t="e">
        <f ca="1"/>
        <v>#N/A</v>
      </c>
      <c r="JTK538" s="22" t="e">
        <f ca="1"/>
        <v>#N/A</v>
      </c>
      <c r="JTL538" s="22" t="e">
        <f ca="1"/>
        <v>#N/A</v>
      </c>
      <c r="JTM538" s="22" t="e">
        <f ca="1"/>
        <v>#N/A</v>
      </c>
      <c r="JTN538" s="22" t="e">
        <f ca="1"/>
        <v>#N/A</v>
      </c>
      <c r="JTO538" s="22" t="e">
        <f ca="1"/>
        <v>#N/A</v>
      </c>
      <c r="JTP538" s="22" t="e">
        <f ca="1"/>
        <v>#N/A</v>
      </c>
      <c r="JTQ538" s="22" t="e">
        <f ca="1"/>
        <v>#N/A</v>
      </c>
      <c r="JTR538" s="22" t="e">
        <f ca="1"/>
        <v>#N/A</v>
      </c>
      <c r="JTS538" s="22" t="e">
        <f ca="1"/>
        <v>#N/A</v>
      </c>
      <c r="JTT538" s="22" t="e">
        <f ca="1"/>
        <v>#N/A</v>
      </c>
      <c r="JTU538" s="22" t="e">
        <f ca="1"/>
        <v>#N/A</v>
      </c>
      <c r="JTV538" s="22" t="e">
        <f ca="1"/>
        <v>#N/A</v>
      </c>
      <c r="JTW538" s="22" t="e">
        <f ca="1"/>
        <v>#N/A</v>
      </c>
      <c r="JTX538" s="22" t="e">
        <f ca="1"/>
        <v>#N/A</v>
      </c>
      <c r="JTY538" s="22" t="e">
        <f ca="1"/>
        <v>#N/A</v>
      </c>
      <c r="JTZ538" s="22" t="e">
        <f ca="1"/>
        <v>#N/A</v>
      </c>
      <c r="JUA538" s="22" t="e">
        <f ca="1"/>
        <v>#N/A</v>
      </c>
      <c r="JUB538" s="22" t="e">
        <f ca="1"/>
        <v>#N/A</v>
      </c>
      <c r="JUC538" s="22" t="e">
        <f ca="1"/>
        <v>#N/A</v>
      </c>
      <c r="JUD538" s="22" t="e">
        <f ca="1"/>
        <v>#N/A</v>
      </c>
      <c r="JUE538" s="22" t="e">
        <f ca="1"/>
        <v>#N/A</v>
      </c>
      <c r="JUF538" s="22" t="e">
        <f ca="1"/>
        <v>#N/A</v>
      </c>
      <c r="JUG538" s="22" t="e">
        <f ca="1"/>
        <v>#N/A</v>
      </c>
      <c r="JUH538" s="22" t="e">
        <f ca="1"/>
        <v>#N/A</v>
      </c>
      <c r="JUI538" s="22" t="e">
        <f ca="1"/>
        <v>#N/A</v>
      </c>
      <c r="JUJ538" s="22" t="e">
        <f ca="1"/>
        <v>#N/A</v>
      </c>
      <c r="JUK538" s="22" t="e">
        <f ca="1"/>
        <v>#N/A</v>
      </c>
      <c r="JUL538" s="22" t="e">
        <f ca="1"/>
        <v>#N/A</v>
      </c>
      <c r="JUM538" s="22" t="e">
        <f ca="1"/>
        <v>#N/A</v>
      </c>
      <c r="JUN538" s="22" t="e">
        <f ca="1"/>
        <v>#N/A</v>
      </c>
      <c r="JUO538" s="22" t="e">
        <f ca="1"/>
        <v>#N/A</v>
      </c>
      <c r="JUP538" s="22" t="e">
        <f ca="1"/>
        <v>#N/A</v>
      </c>
      <c r="JUQ538" s="22" t="e">
        <f ca="1"/>
        <v>#N/A</v>
      </c>
      <c r="JUR538" s="22" t="e">
        <f ca="1"/>
        <v>#N/A</v>
      </c>
      <c r="JUS538" s="22" t="e">
        <f ca="1"/>
        <v>#N/A</v>
      </c>
      <c r="JUT538" s="22" t="e">
        <f ca="1"/>
        <v>#N/A</v>
      </c>
      <c r="JUU538" s="22" t="e">
        <f ca="1"/>
        <v>#N/A</v>
      </c>
      <c r="JUV538" s="22" t="e">
        <f ca="1"/>
        <v>#N/A</v>
      </c>
      <c r="JUW538" s="22" t="e">
        <f ca="1"/>
        <v>#N/A</v>
      </c>
      <c r="JUX538" s="22" t="e">
        <f ca="1"/>
        <v>#N/A</v>
      </c>
      <c r="JUY538" s="22" t="e">
        <f ca="1"/>
        <v>#N/A</v>
      </c>
      <c r="JUZ538" s="22" t="e">
        <f ca="1"/>
        <v>#N/A</v>
      </c>
      <c r="JVA538" s="22" t="e">
        <f ca="1"/>
        <v>#N/A</v>
      </c>
      <c r="JVB538" s="22" t="e">
        <f ca="1"/>
        <v>#N/A</v>
      </c>
      <c r="JVC538" s="22" t="e">
        <f ca="1"/>
        <v>#N/A</v>
      </c>
      <c r="JVD538" s="22" t="e">
        <f ca="1"/>
        <v>#N/A</v>
      </c>
      <c r="JVE538" s="22" t="e">
        <f ca="1"/>
        <v>#N/A</v>
      </c>
      <c r="JVF538" s="22" t="e">
        <f ca="1"/>
        <v>#N/A</v>
      </c>
      <c r="JVG538" s="22" t="e">
        <f ca="1"/>
        <v>#N/A</v>
      </c>
      <c r="JVH538" s="22" t="e">
        <f ca="1"/>
        <v>#N/A</v>
      </c>
      <c r="JVI538" s="22" t="e">
        <f ca="1"/>
        <v>#N/A</v>
      </c>
      <c r="JVJ538" s="22" t="e">
        <f ca="1"/>
        <v>#N/A</v>
      </c>
      <c r="JVK538" s="22" t="e">
        <f ca="1"/>
        <v>#N/A</v>
      </c>
      <c r="JVL538" s="22" t="e">
        <f ca="1"/>
        <v>#N/A</v>
      </c>
      <c r="JVM538" s="22" t="e">
        <f ca="1"/>
        <v>#N/A</v>
      </c>
      <c r="JVN538" s="22" t="e">
        <f ca="1"/>
        <v>#N/A</v>
      </c>
      <c r="JVO538" s="22" t="e">
        <f ca="1"/>
        <v>#N/A</v>
      </c>
      <c r="JVP538" s="22" t="e">
        <f ca="1"/>
        <v>#N/A</v>
      </c>
      <c r="JVQ538" s="22" t="e">
        <f ca="1"/>
        <v>#N/A</v>
      </c>
      <c r="JVR538" s="22" t="e">
        <f ca="1"/>
        <v>#N/A</v>
      </c>
      <c r="JVS538" s="22" t="e">
        <f ca="1"/>
        <v>#N/A</v>
      </c>
      <c r="JVT538" s="22" t="e">
        <f ca="1"/>
        <v>#N/A</v>
      </c>
      <c r="JVU538" s="22" t="e">
        <f ca="1"/>
        <v>#N/A</v>
      </c>
      <c r="JVV538" s="22" t="e">
        <f ca="1"/>
        <v>#N/A</v>
      </c>
      <c r="JVW538" s="22" t="e">
        <f ca="1"/>
        <v>#N/A</v>
      </c>
      <c r="JVX538" s="22" t="e">
        <f ca="1"/>
        <v>#N/A</v>
      </c>
      <c r="JVY538" s="22" t="e">
        <f ca="1"/>
        <v>#N/A</v>
      </c>
      <c r="JVZ538" s="22" t="e">
        <f ca="1"/>
        <v>#N/A</v>
      </c>
      <c r="JWA538" s="22" t="e">
        <f ca="1"/>
        <v>#N/A</v>
      </c>
      <c r="JWB538" s="22" t="e">
        <f ca="1"/>
        <v>#N/A</v>
      </c>
      <c r="JWC538" s="22" t="e">
        <f ca="1"/>
        <v>#N/A</v>
      </c>
      <c r="JWD538" s="22" t="e">
        <f ca="1"/>
        <v>#N/A</v>
      </c>
      <c r="JWE538" s="22" t="e">
        <f ca="1"/>
        <v>#N/A</v>
      </c>
      <c r="JWF538" s="22" t="e">
        <f ca="1"/>
        <v>#N/A</v>
      </c>
      <c r="JWG538" s="22" t="e">
        <f ca="1"/>
        <v>#N/A</v>
      </c>
      <c r="JWH538" s="22" t="e">
        <f ca="1"/>
        <v>#N/A</v>
      </c>
      <c r="JWI538" s="22" t="e">
        <f ca="1"/>
        <v>#N/A</v>
      </c>
      <c r="JWJ538" s="22" t="e">
        <f ca="1"/>
        <v>#N/A</v>
      </c>
      <c r="JWK538" s="22" t="e">
        <f ca="1"/>
        <v>#N/A</v>
      </c>
      <c r="JWL538" s="22" t="e">
        <f ca="1"/>
        <v>#N/A</v>
      </c>
      <c r="JWM538" s="22" t="e">
        <f ca="1"/>
        <v>#N/A</v>
      </c>
      <c r="JWN538" s="22" t="e">
        <f ca="1"/>
        <v>#N/A</v>
      </c>
      <c r="JWO538" s="22" t="e">
        <f ca="1"/>
        <v>#N/A</v>
      </c>
      <c r="JWP538" s="22" t="e">
        <f ca="1"/>
        <v>#N/A</v>
      </c>
      <c r="JWQ538" s="22" t="e">
        <f ca="1"/>
        <v>#N/A</v>
      </c>
      <c r="JWR538" s="22" t="e">
        <f ca="1"/>
        <v>#N/A</v>
      </c>
      <c r="JWS538" s="22" t="e">
        <f ca="1"/>
        <v>#N/A</v>
      </c>
      <c r="JWT538" s="22" t="e">
        <f ca="1"/>
        <v>#N/A</v>
      </c>
      <c r="JWU538" s="22" t="e">
        <f ca="1"/>
        <v>#N/A</v>
      </c>
      <c r="JWV538" s="22" t="e">
        <f ca="1"/>
        <v>#N/A</v>
      </c>
      <c r="JWW538" s="22" t="e">
        <f ca="1"/>
        <v>#N/A</v>
      </c>
      <c r="JWX538" s="22" t="e">
        <f ca="1"/>
        <v>#N/A</v>
      </c>
      <c r="JWY538" s="22" t="e">
        <f ca="1"/>
        <v>#N/A</v>
      </c>
      <c r="JWZ538" s="22" t="e">
        <f ca="1"/>
        <v>#N/A</v>
      </c>
      <c r="JXA538" s="22" t="e">
        <f ca="1"/>
        <v>#N/A</v>
      </c>
      <c r="JXB538" s="22" t="e">
        <f ca="1"/>
        <v>#N/A</v>
      </c>
      <c r="JXC538" s="22" t="e">
        <f ca="1"/>
        <v>#N/A</v>
      </c>
      <c r="JXD538" s="22" t="e">
        <f ca="1"/>
        <v>#N/A</v>
      </c>
      <c r="JXE538" s="22" t="e">
        <f ca="1"/>
        <v>#N/A</v>
      </c>
      <c r="JXF538" s="22" t="e">
        <f ca="1"/>
        <v>#N/A</v>
      </c>
      <c r="JXG538" s="22" t="e">
        <f ca="1"/>
        <v>#N/A</v>
      </c>
      <c r="JXH538" s="22" t="e">
        <f ca="1"/>
        <v>#N/A</v>
      </c>
      <c r="JXI538" s="22" t="e">
        <f ca="1"/>
        <v>#N/A</v>
      </c>
      <c r="JXJ538" s="22" t="e">
        <f ca="1"/>
        <v>#N/A</v>
      </c>
      <c r="JXK538" s="22" t="e">
        <f ca="1"/>
        <v>#N/A</v>
      </c>
      <c r="JXL538" s="22" t="e">
        <f ca="1"/>
        <v>#N/A</v>
      </c>
      <c r="JXM538" s="22" t="e">
        <f ca="1"/>
        <v>#N/A</v>
      </c>
      <c r="JXN538" s="22" t="e">
        <f ca="1"/>
        <v>#N/A</v>
      </c>
      <c r="JXO538" s="22" t="e">
        <f ca="1"/>
        <v>#N/A</v>
      </c>
      <c r="JXP538" s="22" t="e">
        <f ca="1"/>
        <v>#N/A</v>
      </c>
      <c r="JXQ538" s="22" t="e">
        <f ca="1"/>
        <v>#N/A</v>
      </c>
      <c r="JXR538" s="22" t="e">
        <f ca="1"/>
        <v>#N/A</v>
      </c>
      <c r="JXS538" s="22" t="e">
        <f ca="1"/>
        <v>#N/A</v>
      </c>
      <c r="JXT538" s="22" t="e">
        <f ca="1"/>
        <v>#N/A</v>
      </c>
      <c r="JXU538" s="22" t="e">
        <f ca="1"/>
        <v>#N/A</v>
      </c>
      <c r="JXV538" s="22" t="e">
        <f ca="1"/>
        <v>#N/A</v>
      </c>
      <c r="JXW538" s="22" t="e">
        <f ca="1"/>
        <v>#N/A</v>
      </c>
      <c r="JXX538" s="22" t="e">
        <f ca="1"/>
        <v>#N/A</v>
      </c>
      <c r="JXY538" s="22" t="e">
        <f ca="1"/>
        <v>#N/A</v>
      </c>
      <c r="JXZ538" s="22" t="e">
        <f ca="1"/>
        <v>#N/A</v>
      </c>
      <c r="JYA538" s="22" t="e">
        <f ca="1"/>
        <v>#N/A</v>
      </c>
      <c r="JYB538" s="22" t="e">
        <f ca="1"/>
        <v>#N/A</v>
      </c>
      <c r="JYC538" s="22" t="e">
        <f ca="1"/>
        <v>#N/A</v>
      </c>
      <c r="JYD538" s="22" t="e">
        <f ca="1"/>
        <v>#N/A</v>
      </c>
      <c r="JYE538" s="22" t="e">
        <f ca="1"/>
        <v>#N/A</v>
      </c>
      <c r="JYF538" s="22" t="e">
        <f ca="1"/>
        <v>#N/A</v>
      </c>
      <c r="JYG538" s="22" t="e">
        <f ca="1"/>
        <v>#N/A</v>
      </c>
      <c r="JYH538" s="22" t="e">
        <f ca="1"/>
        <v>#N/A</v>
      </c>
      <c r="JYI538" s="22" t="e">
        <f ca="1"/>
        <v>#N/A</v>
      </c>
      <c r="JYJ538" s="22" t="e">
        <f ca="1"/>
        <v>#N/A</v>
      </c>
      <c r="JYK538" s="22" t="e">
        <f ca="1"/>
        <v>#N/A</v>
      </c>
      <c r="JYL538" s="22" t="e">
        <f ca="1"/>
        <v>#N/A</v>
      </c>
      <c r="JYM538" s="22" t="e">
        <f ca="1"/>
        <v>#N/A</v>
      </c>
      <c r="JYN538" s="22" t="e">
        <f ca="1"/>
        <v>#N/A</v>
      </c>
      <c r="JYO538" s="22" t="e">
        <f ca="1"/>
        <v>#N/A</v>
      </c>
      <c r="JYP538" s="22" t="e">
        <f ca="1"/>
        <v>#N/A</v>
      </c>
      <c r="JYQ538" s="22" t="e">
        <f ca="1"/>
        <v>#N/A</v>
      </c>
      <c r="JYR538" s="22" t="e">
        <f ca="1"/>
        <v>#N/A</v>
      </c>
      <c r="JYS538" s="22" t="e">
        <f ca="1"/>
        <v>#N/A</v>
      </c>
      <c r="JYT538" s="22" t="e">
        <f ca="1"/>
        <v>#N/A</v>
      </c>
      <c r="JYU538" s="22" t="e">
        <f ca="1"/>
        <v>#N/A</v>
      </c>
      <c r="JYV538" s="22" t="e">
        <f ca="1"/>
        <v>#N/A</v>
      </c>
      <c r="JYW538" s="22" t="e">
        <f ca="1"/>
        <v>#N/A</v>
      </c>
      <c r="JYX538" s="22" t="e">
        <f ca="1"/>
        <v>#N/A</v>
      </c>
      <c r="JYY538" s="22" t="e">
        <f ca="1"/>
        <v>#N/A</v>
      </c>
      <c r="JYZ538" s="22" t="e">
        <f ca="1"/>
        <v>#N/A</v>
      </c>
      <c r="JZA538" s="22" t="e">
        <f ca="1"/>
        <v>#N/A</v>
      </c>
      <c r="JZB538" s="22" t="e">
        <f ca="1"/>
        <v>#N/A</v>
      </c>
      <c r="JZC538" s="22" t="e">
        <f ca="1"/>
        <v>#N/A</v>
      </c>
      <c r="JZD538" s="22" t="e">
        <f ca="1"/>
        <v>#N/A</v>
      </c>
      <c r="JZE538" s="22" t="e">
        <f ca="1"/>
        <v>#N/A</v>
      </c>
      <c r="JZF538" s="22" t="e">
        <f ca="1"/>
        <v>#N/A</v>
      </c>
      <c r="JZG538" s="22" t="e">
        <f ca="1"/>
        <v>#N/A</v>
      </c>
      <c r="JZH538" s="22" t="e">
        <f ca="1"/>
        <v>#N/A</v>
      </c>
      <c r="JZI538" s="22" t="e">
        <f ca="1"/>
        <v>#N/A</v>
      </c>
      <c r="JZJ538" s="22" t="e">
        <f ca="1"/>
        <v>#N/A</v>
      </c>
      <c r="JZK538" s="22" t="e">
        <f ca="1"/>
        <v>#N/A</v>
      </c>
      <c r="JZL538" s="22" t="e">
        <f ca="1"/>
        <v>#N/A</v>
      </c>
      <c r="JZM538" s="22" t="e">
        <f ca="1"/>
        <v>#N/A</v>
      </c>
      <c r="JZN538" s="22" t="e">
        <f ca="1"/>
        <v>#N/A</v>
      </c>
      <c r="JZO538" s="22" t="e">
        <f ca="1"/>
        <v>#N/A</v>
      </c>
      <c r="JZP538" s="22" t="e">
        <f ca="1"/>
        <v>#N/A</v>
      </c>
      <c r="JZQ538" s="22" t="e">
        <f ca="1"/>
        <v>#N/A</v>
      </c>
      <c r="JZR538" s="22" t="e">
        <f ca="1"/>
        <v>#N/A</v>
      </c>
      <c r="JZS538" s="22" t="e">
        <f ca="1"/>
        <v>#N/A</v>
      </c>
      <c r="JZT538" s="22" t="e">
        <f ca="1"/>
        <v>#N/A</v>
      </c>
      <c r="JZU538" s="22" t="e">
        <f ca="1"/>
        <v>#N/A</v>
      </c>
      <c r="JZV538" s="22" t="e">
        <f ca="1"/>
        <v>#N/A</v>
      </c>
      <c r="JZW538" s="22" t="e">
        <f ca="1"/>
        <v>#N/A</v>
      </c>
      <c r="JZX538" s="22" t="e">
        <f ca="1"/>
        <v>#N/A</v>
      </c>
      <c r="JZY538" s="22" t="e">
        <f ca="1"/>
        <v>#N/A</v>
      </c>
      <c r="JZZ538" s="22" t="e">
        <f ca="1"/>
        <v>#N/A</v>
      </c>
      <c r="KAA538" s="22" t="e">
        <f ca="1"/>
        <v>#N/A</v>
      </c>
      <c r="KAB538" s="22" t="e">
        <f ca="1"/>
        <v>#N/A</v>
      </c>
      <c r="KAC538" s="22" t="e">
        <f ca="1"/>
        <v>#N/A</v>
      </c>
      <c r="KAD538" s="22" t="e">
        <f ca="1"/>
        <v>#N/A</v>
      </c>
      <c r="KAE538" s="22" t="e">
        <f ca="1"/>
        <v>#N/A</v>
      </c>
      <c r="KAF538" s="22" t="e">
        <f ca="1"/>
        <v>#N/A</v>
      </c>
      <c r="KAG538" s="22" t="e">
        <f ca="1"/>
        <v>#N/A</v>
      </c>
      <c r="KAH538" s="22" t="e">
        <f ca="1"/>
        <v>#N/A</v>
      </c>
      <c r="KAI538" s="22" t="e">
        <f ca="1"/>
        <v>#N/A</v>
      </c>
      <c r="KAJ538" s="22" t="e">
        <f ca="1"/>
        <v>#N/A</v>
      </c>
      <c r="KAK538" s="22" t="e">
        <f ca="1"/>
        <v>#N/A</v>
      </c>
      <c r="KAL538" s="22" t="e">
        <f ca="1"/>
        <v>#N/A</v>
      </c>
      <c r="KAM538" s="22" t="e">
        <f ca="1"/>
        <v>#N/A</v>
      </c>
      <c r="KAN538" s="22" t="e">
        <f ca="1"/>
        <v>#N/A</v>
      </c>
      <c r="KAO538" s="22" t="e">
        <f ca="1"/>
        <v>#N/A</v>
      </c>
      <c r="KAP538" s="22" t="e">
        <f ca="1"/>
        <v>#N/A</v>
      </c>
      <c r="KAQ538" s="22" t="e">
        <f ca="1"/>
        <v>#N/A</v>
      </c>
      <c r="KAR538" s="22" t="e">
        <f ca="1"/>
        <v>#N/A</v>
      </c>
      <c r="KAS538" s="22" t="e">
        <f ca="1"/>
        <v>#N/A</v>
      </c>
      <c r="KAT538" s="22" t="e">
        <f ca="1"/>
        <v>#N/A</v>
      </c>
      <c r="KAU538" s="22" t="e">
        <f ca="1"/>
        <v>#N/A</v>
      </c>
      <c r="KAV538" s="22" t="e">
        <f ca="1"/>
        <v>#N/A</v>
      </c>
      <c r="KAW538" s="22" t="e">
        <f ca="1"/>
        <v>#N/A</v>
      </c>
      <c r="KAX538" s="22" t="e">
        <f ca="1"/>
        <v>#N/A</v>
      </c>
      <c r="KAY538" s="22" t="e">
        <f ca="1"/>
        <v>#N/A</v>
      </c>
      <c r="KAZ538" s="22" t="e">
        <f ca="1"/>
        <v>#N/A</v>
      </c>
      <c r="KBA538" s="22" t="e">
        <f ca="1"/>
        <v>#N/A</v>
      </c>
      <c r="KBB538" s="22" t="e">
        <f ca="1"/>
        <v>#N/A</v>
      </c>
      <c r="KBC538" s="22" t="e">
        <f ca="1"/>
        <v>#N/A</v>
      </c>
      <c r="KBD538" s="22" t="e">
        <f ca="1"/>
        <v>#N/A</v>
      </c>
      <c r="KBE538" s="22" t="e">
        <f ca="1"/>
        <v>#N/A</v>
      </c>
      <c r="KBF538" s="22" t="e">
        <f ca="1"/>
        <v>#N/A</v>
      </c>
      <c r="KBG538" s="22" t="e">
        <f ca="1"/>
        <v>#N/A</v>
      </c>
      <c r="KBH538" s="22" t="e">
        <f ca="1"/>
        <v>#N/A</v>
      </c>
      <c r="KBI538" s="22" t="e">
        <f ca="1"/>
        <v>#N/A</v>
      </c>
      <c r="KBJ538" s="22" t="e">
        <f ca="1"/>
        <v>#N/A</v>
      </c>
      <c r="KBK538" s="22" t="e">
        <f ca="1"/>
        <v>#N/A</v>
      </c>
      <c r="KBL538" s="22" t="e">
        <f ca="1"/>
        <v>#N/A</v>
      </c>
      <c r="KBM538" s="22" t="e">
        <f ca="1"/>
        <v>#N/A</v>
      </c>
      <c r="KBN538" s="22" t="e">
        <f ca="1"/>
        <v>#N/A</v>
      </c>
      <c r="KBO538" s="22" t="e">
        <f ca="1"/>
        <v>#N/A</v>
      </c>
      <c r="KBP538" s="22" t="e">
        <f ca="1"/>
        <v>#N/A</v>
      </c>
      <c r="KBQ538" s="22" t="e">
        <f ca="1"/>
        <v>#N/A</v>
      </c>
      <c r="KBR538" s="22" t="e">
        <f ca="1"/>
        <v>#N/A</v>
      </c>
      <c r="KBS538" s="22" t="e">
        <f ca="1"/>
        <v>#N/A</v>
      </c>
      <c r="KBT538" s="22" t="e">
        <f ca="1"/>
        <v>#N/A</v>
      </c>
      <c r="KBU538" s="22" t="e">
        <f ca="1"/>
        <v>#N/A</v>
      </c>
      <c r="KBV538" s="22" t="e">
        <f ca="1"/>
        <v>#N/A</v>
      </c>
      <c r="KBW538" s="22" t="e">
        <f ca="1"/>
        <v>#N/A</v>
      </c>
      <c r="KBX538" s="22" t="e">
        <f ca="1"/>
        <v>#N/A</v>
      </c>
      <c r="KBY538" s="22" t="e">
        <f ca="1"/>
        <v>#N/A</v>
      </c>
      <c r="KBZ538" s="22" t="e">
        <f ca="1"/>
        <v>#N/A</v>
      </c>
      <c r="KCA538" s="22" t="e">
        <f ca="1"/>
        <v>#N/A</v>
      </c>
      <c r="KCB538" s="22" t="e">
        <f ca="1"/>
        <v>#N/A</v>
      </c>
      <c r="KCC538" s="22" t="e">
        <f ca="1"/>
        <v>#N/A</v>
      </c>
      <c r="KCD538" s="22" t="e">
        <f ca="1"/>
        <v>#N/A</v>
      </c>
      <c r="KCE538" s="22" t="e">
        <f ca="1"/>
        <v>#N/A</v>
      </c>
      <c r="KCF538" s="22" t="e">
        <f ca="1"/>
        <v>#N/A</v>
      </c>
      <c r="KCG538" s="22" t="e">
        <f ca="1"/>
        <v>#N/A</v>
      </c>
      <c r="KCH538" s="22" t="e">
        <f ca="1"/>
        <v>#N/A</v>
      </c>
      <c r="KCI538" s="22" t="e">
        <f ca="1"/>
        <v>#N/A</v>
      </c>
      <c r="KCJ538" s="22" t="e">
        <f ca="1"/>
        <v>#N/A</v>
      </c>
      <c r="KCK538" s="22" t="e">
        <f ca="1"/>
        <v>#N/A</v>
      </c>
      <c r="KCL538" s="22" t="e">
        <f ca="1"/>
        <v>#N/A</v>
      </c>
      <c r="KCM538" s="22" t="e">
        <f ca="1"/>
        <v>#N/A</v>
      </c>
      <c r="KCN538" s="22" t="e">
        <f ca="1"/>
        <v>#N/A</v>
      </c>
      <c r="KCO538" s="22" t="e">
        <f ca="1"/>
        <v>#N/A</v>
      </c>
      <c r="KCP538" s="22" t="e">
        <f ca="1"/>
        <v>#N/A</v>
      </c>
      <c r="KCQ538" s="22" t="e">
        <f ca="1"/>
        <v>#N/A</v>
      </c>
      <c r="KCR538" s="22" t="e">
        <f ca="1"/>
        <v>#N/A</v>
      </c>
      <c r="KCS538" s="22" t="e">
        <f ca="1"/>
        <v>#N/A</v>
      </c>
      <c r="KCT538" s="22" t="e">
        <f ca="1"/>
        <v>#N/A</v>
      </c>
      <c r="KCU538" s="22" t="e">
        <f ca="1"/>
        <v>#N/A</v>
      </c>
      <c r="KCV538" s="22" t="e">
        <f ca="1"/>
        <v>#N/A</v>
      </c>
      <c r="KCW538" s="22" t="e">
        <f ca="1"/>
        <v>#N/A</v>
      </c>
      <c r="KCX538" s="22" t="e">
        <f ca="1"/>
        <v>#N/A</v>
      </c>
      <c r="KCY538" s="22" t="e">
        <f ca="1"/>
        <v>#N/A</v>
      </c>
      <c r="KCZ538" s="22" t="e">
        <f ca="1"/>
        <v>#N/A</v>
      </c>
      <c r="KDA538" s="22" t="e">
        <f ca="1"/>
        <v>#N/A</v>
      </c>
      <c r="KDB538" s="22" t="e">
        <f ca="1"/>
        <v>#N/A</v>
      </c>
      <c r="KDC538" s="22" t="e">
        <f ca="1"/>
        <v>#N/A</v>
      </c>
      <c r="KDD538" s="22" t="e">
        <f ca="1"/>
        <v>#N/A</v>
      </c>
      <c r="KDE538" s="22" t="e">
        <f ca="1"/>
        <v>#N/A</v>
      </c>
      <c r="KDF538" s="22" t="e">
        <f ca="1"/>
        <v>#N/A</v>
      </c>
      <c r="KDG538" s="22" t="e">
        <f ca="1"/>
        <v>#N/A</v>
      </c>
      <c r="KDH538" s="22" t="e">
        <f ca="1"/>
        <v>#N/A</v>
      </c>
      <c r="KDI538" s="22" t="e">
        <f ca="1"/>
        <v>#N/A</v>
      </c>
      <c r="KDJ538" s="22" t="e">
        <f ca="1"/>
        <v>#N/A</v>
      </c>
      <c r="KDK538" s="22" t="e">
        <f ca="1"/>
        <v>#N/A</v>
      </c>
      <c r="KDL538" s="22" t="e">
        <f ca="1"/>
        <v>#N/A</v>
      </c>
      <c r="KDM538" s="22" t="e">
        <f ca="1"/>
        <v>#N/A</v>
      </c>
      <c r="KDN538" s="22" t="e">
        <f ca="1"/>
        <v>#N/A</v>
      </c>
      <c r="KDO538" s="22" t="e">
        <f ca="1"/>
        <v>#N/A</v>
      </c>
      <c r="KDP538" s="22" t="e">
        <f ca="1"/>
        <v>#N/A</v>
      </c>
      <c r="KDQ538" s="22" t="e">
        <f ca="1"/>
        <v>#N/A</v>
      </c>
      <c r="KDR538" s="22" t="e">
        <f ca="1"/>
        <v>#N/A</v>
      </c>
      <c r="KDS538" s="22" t="e">
        <f ca="1"/>
        <v>#N/A</v>
      </c>
      <c r="KDT538" s="22" t="e">
        <f ca="1"/>
        <v>#N/A</v>
      </c>
      <c r="KDU538" s="22" t="e">
        <f ca="1"/>
        <v>#N/A</v>
      </c>
      <c r="KDV538" s="22" t="e">
        <f ca="1"/>
        <v>#N/A</v>
      </c>
      <c r="KDW538" s="22" t="e">
        <f ca="1"/>
        <v>#N/A</v>
      </c>
      <c r="KDX538" s="22" t="e">
        <f ca="1"/>
        <v>#N/A</v>
      </c>
      <c r="KDY538" s="22" t="e">
        <f ca="1"/>
        <v>#N/A</v>
      </c>
      <c r="KDZ538" s="22" t="e">
        <f ca="1"/>
        <v>#N/A</v>
      </c>
      <c r="KEA538" s="22" t="e">
        <f ca="1"/>
        <v>#N/A</v>
      </c>
      <c r="KEB538" s="22" t="e">
        <f ca="1"/>
        <v>#N/A</v>
      </c>
      <c r="KEC538" s="22" t="e">
        <f ca="1"/>
        <v>#N/A</v>
      </c>
      <c r="KED538" s="22" t="e">
        <f ca="1"/>
        <v>#N/A</v>
      </c>
      <c r="KEE538" s="22" t="e">
        <f ca="1"/>
        <v>#N/A</v>
      </c>
      <c r="KEF538" s="22" t="e">
        <f ca="1"/>
        <v>#N/A</v>
      </c>
      <c r="KEG538" s="22" t="e">
        <f ca="1"/>
        <v>#N/A</v>
      </c>
      <c r="KEH538" s="22" t="e">
        <f ca="1"/>
        <v>#N/A</v>
      </c>
      <c r="KEI538" s="22" t="e">
        <f ca="1"/>
        <v>#N/A</v>
      </c>
      <c r="KEJ538" s="22" t="e">
        <f ca="1"/>
        <v>#N/A</v>
      </c>
      <c r="KEK538" s="22" t="e">
        <f ca="1"/>
        <v>#N/A</v>
      </c>
      <c r="KEL538" s="22" t="e">
        <f ca="1"/>
        <v>#N/A</v>
      </c>
      <c r="KEM538" s="22" t="e">
        <f ca="1"/>
        <v>#N/A</v>
      </c>
      <c r="KEN538" s="22" t="e">
        <f ca="1"/>
        <v>#N/A</v>
      </c>
      <c r="KEO538" s="22" t="e">
        <f ca="1"/>
        <v>#N/A</v>
      </c>
      <c r="KEP538" s="22" t="e">
        <f ca="1"/>
        <v>#N/A</v>
      </c>
      <c r="KEQ538" s="22" t="e">
        <f ca="1"/>
        <v>#N/A</v>
      </c>
      <c r="KER538" s="22" t="e">
        <f ca="1"/>
        <v>#N/A</v>
      </c>
      <c r="KES538" s="22" t="e">
        <f ca="1"/>
        <v>#N/A</v>
      </c>
      <c r="KET538" s="22" t="e">
        <f ca="1"/>
        <v>#N/A</v>
      </c>
      <c r="KEU538" s="22" t="e">
        <f ca="1"/>
        <v>#N/A</v>
      </c>
      <c r="KEV538" s="22" t="e">
        <f ca="1"/>
        <v>#N/A</v>
      </c>
      <c r="KEW538" s="22" t="e">
        <f ca="1"/>
        <v>#N/A</v>
      </c>
      <c r="KEX538" s="22" t="e">
        <f ca="1"/>
        <v>#N/A</v>
      </c>
      <c r="KEY538" s="22" t="e">
        <f ca="1"/>
        <v>#N/A</v>
      </c>
      <c r="KEZ538" s="22" t="e">
        <f ca="1"/>
        <v>#N/A</v>
      </c>
      <c r="KFA538" s="22" t="e">
        <f ca="1"/>
        <v>#N/A</v>
      </c>
      <c r="KFB538" s="22" t="e">
        <f ca="1"/>
        <v>#N/A</v>
      </c>
      <c r="KFC538" s="22" t="e">
        <f ca="1"/>
        <v>#N/A</v>
      </c>
      <c r="KFD538" s="22" t="e">
        <f ca="1"/>
        <v>#N/A</v>
      </c>
      <c r="KFE538" s="22" t="e">
        <f ca="1"/>
        <v>#N/A</v>
      </c>
      <c r="KFF538" s="22" t="e">
        <f ca="1"/>
        <v>#N/A</v>
      </c>
      <c r="KFG538" s="22" t="e">
        <f ca="1"/>
        <v>#N/A</v>
      </c>
      <c r="KFH538" s="22" t="e">
        <f ca="1"/>
        <v>#N/A</v>
      </c>
      <c r="KFI538" s="22" t="e">
        <f ca="1"/>
        <v>#N/A</v>
      </c>
      <c r="KFJ538" s="22" t="e">
        <f ca="1"/>
        <v>#N/A</v>
      </c>
      <c r="KFK538" s="22" t="e">
        <f ca="1"/>
        <v>#N/A</v>
      </c>
      <c r="KFL538" s="22" t="e">
        <f ca="1"/>
        <v>#N/A</v>
      </c>
      <c r="KFM538" s="22" t="e">
        <f ca="1"/>
        <v>#N/A</v>
      </c>
      <c r="KFN538" s="22" t="e">
        <f ca="1"/>
        <v>#N/A</v>
      </c>
      <c r="KFO538" s="22" t="e">
        <f ca="1"/>
        <v>#N/A</v>
      </c>
      <c r="KFP538" s="22" t="e">
        <f ca="1"/>
        <v>#N/A</v>
      </c>
      <c r="KFQ538" s="22" t="e">
        <f ca="1"/>
        <v>#N/A</v>
      </c>
      <c r="KFR538" s="22" t="e">
        <f ca="1"/>
        <v>#N/A</v>
      </c>
      <c r="KFS538" s="22" t="e">
        <f ca="1"/>
        <v>#N/A</v>
      </c>
      <c r="KFT538" s="22" t="e">
        <f ca="1"/>
        <v>#N/A</v>
      </c>
      <c r="KFU538" s="22" t="e">
        <f ca="1"/>
        <v>#N/A</v>
      </c>
      <c r="KFV538" s="22" t="e">
        <f ca="1"/>
        <v>#N/A</v>
      </c>
      <c r="KFW538" s="22" t="e">
        <f ca="1"/>
        <v>#N/A</v>
      </c>
      <c r="KFX538" s="22" t="e">
        <f ca="1"/>
        <v>#N/A</v>
      </c>
      <c r="KFY538" s="22" t="e">
        <f ca="1"/>
        <v>#N/A</v>
      </c>
      <c r="KFZ538" s="22" t="e">
        <f ca="1"/>
        <v>#N/A</v>
      </c>
      <c r="KGA538" s="22" t="e">
        <f ca="1"/>
        <v>#N/A</v>
      </c>
      <c r="KGB538" s="22" t="e">
        <f ca="1"/>
        <v>#N/A</v>
      </c>
      <c r="KGC538" s="22" t="e">
        <f ca="1"/>
        <v>#N/A</v>
      </c>
      <c r="KGD538" s="22" t="e">
        <f ca="1"/>
        <v>#N/A</v>
      </c>
      <c r="KGE538" s="22" t="e">
        <f ca="1"/>
        <v>#N/A</v>
      </c>
      <c r="KGF538" s="22" t="e">
        <f ca="1"/>
        <v>#N/A</v>
      </c>
      <c r="KGG538" s="22" t="e">
        <f ca="1"/>
        <v>#N/A</v>
      </c>
      <c r="KGH538" s="22" t="e">
        <f ca="1"/>
        <v>#N/A</v>
      </c>
      <c r="KGI538" s="22" t="e">
        <f ca="1"/>
        <v>#N/A</v>
      </c>
      <c r="KGJ538" s="22" t="e">
        <f ca="1"/>
        <v>#N/A</v>
      </c>
      <c r="KGK538" s="22" t="e">
        <f ca="1"/>
        <v>#N/A</v>
      </c>
      <c r="KGL538" s="22" t="e">
        <f ca="1"/>
        <v>#N/A</v>
      </c>
      <c r="KGM538" s="22" t="e">
        <f ca="1"/>
        <v>#N/A</v>
      </c>
      <c r="KGN538" s="22" t="e">
        <f ca="1"/>
        <v>#N/A</v>
      </c>
      <c r="KGO538" s="22" t="e">
        <f ca="1"/>
        <v>#N/A</v>
      </c>
      <c r="KGP538" s="22" t="e">
        <f ca="1"/>
        <v>#N/A</v>
      </c>
      <c r="KGQ538" s="22" t="e">
        <f ca="1"/>
        <v>#N/A</v>
      </c>
      <c r="KGR538" s="22" t="e">
        <f ca="1"/>
        <v>#N/A</v>
      </c>
      <c r="KGS538" s="22" t="e">
        <f ca="1"/>
        <v>#N/A</v>
      </c>
      <c r="KGT538" s="22" t="e">
        <f ca="1"/>
        <v>#N/A</v>
      </c>
      <c r="KGU538" s="22" t="e">
        <f ca="1"/>
        <v>#N/A</v>
      </c>
      <c r="KGV538" s="22" t="e">
        <f ca="1"/>
        <v>#N/A</v>
      </c>
      <c r="KGW538" s="22" t="e">
        <f ca="1"/>
        <v>#N/A</v>
      </c>
      <c r="KGX538" s="22" t="e">
        <f ca="1"/>
        <v>#N/A</v>
      </c>
      <c r="KGY538" s="22" t="e">
        <f ca="1"/>
        <v>#N/A</v>
      </c>
      <c r="KGZ538" s="22" t="e">
        <f ca="1"/>
        <v>#N/A</v>
      </c>
      <c r="KHA538" s="22" t="e">
        <f ca="1"/>
        <v>#N/A</v>
      </c>
      <c r="KHB538" s="22" t="e">
        <f ca="1"/>
        <v>#N/A</v>
      </c>
      <c r="KHC538" s="22" t="e">
        <f ca="1"/>
        <v>#N/A</v>
      </c>
      <c r="KHD538" s="22" t="e">
        <f ca="1"/>
        <v>#N/A</v>
      </c>
      <c r="KHE538" s="22" t="e">
        <f ca="1"/>
        <v>#N/A</v>
      </c>
      <c r="KHF538" s="22" t="e">
        <f ca="1"/>
        <v>#N/A</v>
      </c>
      <c r="KHG538" s="22" t="e">
        <f ca="1"/>
        <v>#N/A</v>
      </c>
      <c r="KHH538" s="22" t="e">
        <f ca="1"/>
        <v>#N/A</v>
      </c>
      <c r="KHI538" s="22" t="e">
        <f ca="1"/>
        <v>#N/A</v>
      </c>
      <c r="KHJ538" s="22" t="e">
        <f ca="1"/>
        <v>#N/A</v>
      </c>
      <c r="KHK538" s="22" t="e">
        <f ca="1"/>
        <v>#N/A</v>
      </c>
      <c r="KHL538" s="22" t="e">
        <f ca="1"/>
        <v>#N/A</v>
      </c>
      <c r="KHM538" s="22" t="e">
        <f ca="1"/>
        <v>#N/A</v>
      </c>
      <c r="KHN538" s="22" t="e">
        <f ca="1"/>
        <v>#N/A</v>
      </c>
      <c r="KHO538" s="22" t="e">
        <f ca="1"/>
        <v>#N/A</v>
      </c>
      <c r="KHP538" s="22" t="e">
        <f ca="1"/>
        <v>#N/A</v>
      </c>
      <c r="KHQ538" s="22" t="e">
        <f ca="1"/>
        <v>#N/A</v>
      </c>
      <c r="KHR538" s="22" t="e">
        <f ca="1"/>
        <v>#N/A</v>
      </c>
      <c r="KHS538" s="22" t="e">
        <f ca="1"/>
        <v>#N/A</v>
      </c>
      <c r="KHT538" s="22" t="e">
        <f ca="1"/>
        <v>#N/A</v>
      </c>
      <c r="KHU538" s="22" t="e">
        <f ca="1"/>
        <v>#N/A</v>
      </c>
      <c r="KHV538" s="22" t="e">
        <f ca="1"/>
        <v>#N/A</v>
      </c>
      <c r="KHW538" s="22" t="e">
        <f ca="1"/>
        <v>#N/A</v>
      </c>
      <c r="KHX538" s="22" t="e">
        <f ca="1"/>
        <v>#N/A</v>
      </c>
      <c r="KHY538" s="22" t="e">
        <f ca="1"/>
        <v>#N/A</v>
      </c>
      <c r="KHZ538" s="22" t="e">
        <f ca="1"/>
        <v>#N/A</v>
      </c>
      <c r="KIA538" s="22" t="e">
        <f ca="1"/>
        <v>#N/A</v>
      </c>
      <c r="KIB538" s="22" t="e">
        <f ca="1"/>
        <v>#N/A</v>
      </c>
      <c r="KIC538" s="22" t="e">
        <f ca="1"/>
        <v>#N/A</v>
      </c>
      <c r="KID538" s="22" t="e">
        <f ca="1"/>
        <v>#N/A</v>
      </c>
      <c r="KIE538" s="22" t="e">
        <f ca="1"/>
        <v>#N/A</v>
      </c>
      <c r="KIF538" s="22" t="e">
        <f ca="1"/>
        <v>#N/A</v>
      </c>
      <c r="KIG538" s="22" t="e">
        <f ca="1"/>
        <v>#N/A</v>
      </c>
      <c r="KIH538" s="22" t="e">
        <f ca="1"/>
        <v>#N/A</v>
      </c>
      <c r="KII538" s="22" t="e">
        <f ca="1"/>
        <v>#N/A</v>
      </c>
      <c r="KIJ538" s="22" t="e">
        <f ca="1"/>
        <v>#N/A</v>
      </c>
      <c r="KIK538" s="22" t="e">
        <f ca="1"/>
        <v>#N/A</v>
      </c>
      <c r="KIL538" s="22" t="e">
        <f ca="1"/>
        <v>#N/A</v>
      </c>
      <c r="KIM538" s="22" t="e">
        <f ca="1"/>
        <v>#N/A</v>
      </c>
      <c r="KIN538" s="22" t="e">
        <f ca="1"/>
        <v>#N/A</v>
      </c>
      <c r="KIO538" s="22" t="e">
        <f ca="1"/>
        <v>#N/A</v>
      </c>
      <c r="KIP538" s="22" t="e">
        <f ca="1"/>
        <v>#N/A</v>
      </c>
      <c r="KIQ538" s="22" t="e">
        <f ca="1"/>
        <v>#N/A</v>
      </c>
      <c r="KIR538" s="22" t="e">
        <f ca="1"/>
        <v>#N/A</v>
      </c>
      <c r="KIS538" s="22" t="e">
        <f ca="1"/>
        <v>#N/A</v>
      </c>
      <c r="KIT538" s="22" t="e">
        <f ca="1"/>
        <v>#N/A</v>
      </c>
      <c r="KIU538" s="22" t="e">
        <f ca="1"/>
        <v>#N/A</v>
      </c>
      <c r="KIV538" s="22" t="e">
        <f ca="1"/>
        <v>#N/A</v>
      </c>
      <c r="KIW538" s="22" t="e">
        <f ca="1"/>
        <v>#N/A</v>
      </c>
      <c r="KIX538" s="22" t="e">
        <f ca="1"/>
        <v>#N/A</v>
      </c>
      <c r="KIY538" s="22" t="e">
        <f ca="1"/>
        <v>#N/A</v>
      </c>
      <c r="KIZ538" s="22" t="e">
        <f ca="1"/>
        <v>#N/A</v>
      </c>
      <c r="KJA538" s="22" t="e">
        <f ca="1"/>
        <v>#N/A</v>
      </c>
      <c r="KJB538" s="22" t="e">
        <f ca="1"/>
        <v>#N/A</v>
      </c>
      <c r="KJC538" s="22" t="e">
        <f ca="1"/>
        <v>#N/A</v>
      </c>
      <c r="KJD538" s="22" t="e">
        <f ca="1"/>
        <v>#N/A</v>
      </c>
      <c r="KJE538" s="22" t="e">
        <f ca="1"/>
        <v>#N/A</v>
      </c>
      <c r="KJF538" s="22" t="e">
        <f ca="1"/>
        <v>#N/A</v>
      </c>
      <c r="KJG538" s="22" t="e">
        <f ca="1"/>
        <v>#N/A</v>
      </c>
      <c r="KJH538" s="22" t="e">
        <f ca="1"/>
        <v>#N/A</v>
      </c>
      <c r="KJI538" s="22" t="e">
        <f ca="1"/>
        <v>#N/A</v>
      </c>
      <c r="KJJ538" s="22" t="e">
        <f ca="1"/>
        <v>#N/A</v>
      </c>
      <c r="KJK538" s="22" t="e">
        <f ca="1"/>
        <v>#N/A</v>
      </c>
      <c r="KJL538" s="22" t="e">
        <f ca="1"/>
        <v>#N/A</v>
      </c>
      <c r="KJM538" s="22" t="e">
        <f ca="1"/>
        <v>#N/A</v>
      </c>
      <c r="KJN538" s="22" t="e">
        <f ca="1"/>
        <v>#N/A</v>
      </c>
      <c r="KJO538" s="22" t="e">
        <f ca="1"/>
        <v>#N/A</v>
      </c>
      <c r="KJP538" s="22" t="e">
        <f ca="1"/>
        <v>#N/A</v>
      </c>
      <c r="KJQ538" s="22" t="e">
        <f ca="1"/>
        <v>#N/A</v>
      </c>
      <c r="KJR538" s="22" t="e">
        <f ca="1"/>
        <v>#N/A</v>
      </c>
      <c r="KJS538" s="22" t="e">
        <f ca="1"/>
        <v>#N/A</v>
      </c>
      <c r="KJT538" s="22" t="e">
        <f ca="1"/>
        <v>#N/A</v>
      </c>
      <c r="KJU538" s="22" t="e">
        <f ca="1"/>
        <v>#N/A</v>
      </c>
      <c r="KJV538" s="22" t="e">
        <f ca="1"/>
        <v>#N/A</v>
      </c>
      <c r="KJW538" s="22" t="e">
        <f ca="1"/>
        <v>#N/A</v>
      </c>
      <c r="KJX538" s="22" t="e">
        <f ca="1"/>
        <v>#N/A</v>
      </c>
      <c r="KJY538" s="22" t="e">
        <f ca="1"/>
        <v>#N/A</v>
      </c>
      <c r="KJZ538" s="22" t="e">
        <f ca="1"/>
        <v>#N/A</v>
      </c>
      <c r="KKA538" s="22" t="e">
        <f ca="1"/>
        <v>#N/A</v>
      </c>
      <c r="KKB538" s="22" t="e">
        <f ca="1"/>
        <v>#N/A</v>
      </c>
      <c r="KKC538" s="22" t="e">
        <f ca="1"/>
        <v>#N/A</v>
      </c>
      <c r="KKD538" s="22" t="e">
        <f ca="1"/>
        <v>#N/A</v>
      </c>
      <c r="KKE538" s="22" t="e">
        <f ca="1"/>
        <v>#N/A</v>
      </c>
      <c r="KKF538" s="22" t="e">
        <f ca="1"/>
        <v>#N/A</v>
      </c>
      <c r="KKG538" s="22" t="e">
        <f ca="1"/>
        <v>#N/A</v>
      </c>
      <c r="KKH538" s="22" t="e">
        <f ca="1"/>
        <v>#N/A</v>
      </c>
      <c r="KKI538" s="22" t="e">
        <f ca="1"/>
        <v>#N/A</v>
      </c>
      <c r="KKJ538" s="22" t="e">
        <f ca="1"/>
        <v>#N/A</v>
      </c>
      <c r="KKK538" s="22" t="e">
        <f ca="1"/>
        <v>#N/A</v>
      </c>
      <c r="KKL538" s="22" t="e">
        <f ca="1"/>
        <v>#N/A</v>
      </c>
      <c r="KKM538" s="22" t="e">
        <f ca="1"/>
        <v>#N/A</v>
      </c>
      <c r="KKN538" s="22" t="e">
        <f ca="1"/>
        <v>#N/A</v>
      </c>
      <c r="KKO538" s="22" t="e">
        <f ca="1"/>
        <v>#N/A</v>
      </c>
      <c r="KKP538" s="22" t="e">
        <f ca="1"/>
        <v>#N/A</v>
      </c>
      <c r="KKQ538" s="22" t="e">
        <f ca="1"/>
        <v>#N/A</v>
      </c>
      <c r="KKR538" s="22" t="e">
        <f ca="1"/>
        <v>#N/A</v>
      </c>
      <c r="KKS538" s="22" t="e">
        <f ca="1"/>
        <v>#N/A</v>
      </c>
      <c r="KKT538" s="22" t="e">
        <f ca="1"/>
        <v>#N/A</v>
      </c>
      <c r="KKU538" s="22" t="e">
        <f ca="1"/>
        <v>#N/A</v>
      </c>
      <c r="KKV538" s="22" t="e">
        <f ca="1"/>
        <v>#N/A</v>
      </c>
      <c r="KKW538" s="22" t="e">
        <f ca="1"/>
        <v>#N/A</v>
      </c>
      <c r="KKX538" s="22" t="e">
        <f ca="1"/>
        <v>#N/A</v>
      </c>
      <c r="KKY538" s="22" t="e">
        <f ca="1"/>
        <v>#N/A</v>
      </c>
      <c r="KKZ538" s="22" t="e">
        <f ca="1"/>
        <v>#N/A</v>
      </c>
      <c r="KLA538" s="22" t="e">
        <f ca="1"/>
        <v>#N/A</v>
      </c>
      <c r="KLB538" s="22" t="e">
        <f ca="1"/>
        <v>#N/A</v>
      </c>
      <c r="KLC538" s="22" t="e">
        <f ca="1"/>
        <v>#N/A</v>
      </c>
      <c r="KLD538" s="22" t="e">
        <f ca="1"/>
        <v>#N/A</v>
      </c>
      <c r="KLE538" s="22" t="e">
        <f ca="1"/>
        <v>#N/A</v>
      </c>
      <c r="KLF538" s="22" t="e">
        <f ca="1"/>
        <v>#N/A</v>
      </c>
      <c r="KLG538" s="22" t="e">
        <f ca="1"/>
        <v>#N/A</v>
      </c>
      <c r="KLH538" s="22" t="e">
        <f ca="1"/>
        <v>#N/A</v>
      </c>
      <c r="KLI538" s="22" t="e">
        <f ca="1"/>
        <v>#N/A</v>
      </c>
      <c r="KLJ538" s="22" t="e">
        <f ca="1"/>
        <v>#N/A</v>
      </c>
      <c r="KLK538" s="22" t="e">
        <f ca="1"/>
        <v>#N/A</v>
      </c>
      <c r="KLL538" s="22" t="e">
        <f ca="1"/>
        <v>#N/A</v>
      </c>
      <c r="KLM538" s="22" t="e">
        <f ca="1"/>
        <v>#N/A</v>
      </c>
      <c r="KLN538" s="22" t="e">
        <f ca="1"/>
        <v>#N/A</v>
      </c>
      <c r="KLO538" s="22" t="e">
        <f ca="1"/>
        <v>#N/A</v>
      </c>
      <c r="KLP538" s="22" t="e">
        <f ca="1"/>
        <v>#N/A</v>
      </c>
      <c r="KLQ538" s="22" t="e">
        <f ca="1"/>
        <v>#N/A</v>
      </c>
      <c r="KLR538" s="22" t="e">
        <f ca="1"/>
        <v>#N/A</v>
      </c>
      <c r="KLS538" s="22" t="e">
        <f ca="1"/>
        <v>#N/A</v>
      </c>
      <c r="KLT538" s="22" t="e">
        <f ca="1"/>
        <v>#N/A</v>
      </c>
      <c r="KLU538" s="22" t="e">
        <f ca="1"/>
        <v>#N/A</v>
      </c>
      <c r="KLV538" s="22" t="e">
        <f ca="1"/>
        <v>#N/A</v>
      </c>
      <c r="KLW538" s="22" t="e">
        <f ca="1"/>
        <v>#N/A</v>
      </c>
      <c r="KLX538" s="22" t="e">
        <f ca="1"/>
        <v>#N/A</v>
      </c>
      <c r="KLY538" s="22" t="e">
        <f ca="1"/>
        <v>#N/A</v>
      </c>
      <c r="KLZ538" s="22" t="e">
        <f ca="1"/>
        <v>#N/A</v>
      </c>
      <c r="KMA538" s="22" t="e">
        <f ca="1"/>
        <v>#N/A</v>
      </c>
      <c r="KMB538" s="22" t="e">
        <f ca="1"/>
        <v>#N/A</v>
      </c>
      <c r="KMC538" s="22" t="e">
        <f ca="1"/>
        <v>#N/A</v>
      </c>
      <c r="KMD538" s="22" t="e">
        <f ca="1"/>
        <v>#N/A</v>
      </c>
      <c r="KME538" s="22" t="e">
        <f ca="1"/>
        <v>#N/A</v>
      </c>
      <c r="KMF538" s="22" t="e">
        <f ca="1"/>
        <v>#N/A</v>
      </c>
      <c r="KMG538" s="22" t="e">
        <f ca="1"/>
        <v>#N/A</v>
      </c>
      <c r="KMH538" s="22" t="e">
        <f ca="1"/>
        <v>#N/A</v>
      </c>
      <c r="KMI538" s="22" t="e">
        <f ca="1"/>
        <v>#N/A</v>
      </c>
      <c r="KMJ538" s="22" t="e">
        <f ca="1"/>
        <v>#N/A</v>
      </c>
      <c r="KMK538" s="22" t="e">
        <f ca="1"/>
        <v>#N/A</v>
      </c>
      <c r="KML538" s="22" t="e">
        <f ca="1"/>
        <v>#N/A</v>
      </c>
      <c r="KMM538" s="22" t="e">
        <f ca="1"/>
        <v>#N/A</v>
      </c>
      <c r="KMN538" s="22" t="e">
        <f ca="1"/>
        <v>#N/A</v>
      </c>
      <c r="KMO538" s="22" t="e">
        <f ca="1"/>
        <v>#N/A</v>
      </c>
      <c r="KMP538" s="22" t="e">
        <f ca="1"/>
        <v>#N/A</v>
      </c>
      <c r="KMQ538" s="22" t="e">
        <f ca="1"/>
        <v>#N/A</v>
      </c>
      <c r="KMR538" s="22" t="e">
        <f ca="1"/>
        <v>#N/A</v>
      </c>
      <c r="KMS538" s="22" t="e">
        <f ca="1"/>
        <v>#N/A</v>
      </c>
      <c r="KMT538" s="22" t="e">
        <f ca="1"/>
        <v>#N/A</v>
      </c>
      <c r="KMU538" s="22" t="e">
        <f ca="1"/>
        <v>#N/A</v>
      </c>
      <c r="KMV538" s="22" t="e">
        <f ca="1"/>
        <v>#N/A</v>
      </c>
      <c r="KMW538" s="22" t="e">
        <f ca="1"/>
        <v>#N/A</v>
      </c>
      <c r="KMX538" s="22" t="e">
        <f ca="1"/>
        <v>#N/A</v>
      </c>
      <c r="KMY538" s="22" t="e">
        <f ca="1"/>
        <v>#N/A</v>
      </c>
      <c r="KMZ538" s="22" t="e">
        <f ca="1"/>
        <v>#N/A</v>
      </c>
      <c r="KNA538" s="22" t="e">
        <f ca="1"/>
        <v>#N/A</v>
      </c>
      <c r="KNB538" s="22" t="e">
        <f ca="1"/>
        <v>#N/A</v>
      </c>
      <c r="KNC538" s="22" t="e">
        <f ca="1"/>
        <v>#N/A</v>
      </c>
      <c r="KND538" s="22" t="e">
        <f ca="1"/>
        <v>#N/A</v>
      </c>
      <c r="KNE538" s="22" t="e">
        <f ca="1"/>
        <v>#N/A</v>
      </c>
      <c r="KNF538" s="22" t="e">
        <f ca="1"/>
        <v>#N/A</v>
      </c>
      <c r="KNG538" s="22" t="e">
        <f ca="1"/>
        <v>#N/A</v>
      </c>
      <c r="KNH538" s="22" t="e">
        <f ca="1"/>
        <v>#N/A</v>
      </c>
      <c r="KNI538" s="22" t="e">
        <f ca="1"/>
        <v>#N/A</v>
      </c>
      <c r="KNJ538" s="22" t="e">
        <f ca="1"/>
        <v>#N/A</v>
      </c>
      <c r="KNK538" s="22" t="e">
        <f ca="1"/>
        <v>#N/A</v>
      </c>
      <c r="KNL538" s="22" t="e">
        <f ca="1"/>
        <v>#N/A</v>
      </c>
      <c r="KNM538" s="22" t="e">
        <f ca="1"/>
        <v>#N/A</v>
      </c>
      <c r="KNN538" s="22" t="e">
        <f ca="1"/>
        <v>#N/A</v>
      </c>
      <c r="KNO538" s="22" t="e">
        <f ca="1"/>
        <v>#N/A</v>
      </c>
      <c r="KNP538" s="22" t="e">
        <f ca="1"/>
        <v>#N/A</v>
      </c>
      <c r="KNQ538" s="22" t="e">
        <f ca="1"/>
        <v>#N/A</v>
      </c>
      <c r="KNR538" s="22" t="e">
        <f ca="1"/>
        <v>#N/A</v>
      </c>
      <c r="KNS538" s="22" t="e">
        <f ca="1"/>
        <v>#N/A</v>
      </c>
      <c r="KNT538" s="22" t="e">
        <f ca="1"/>
        <v>#N/A</v>
      </c>
      <c r="KNU538" s="22" t="e">
        <f ca="1"/>
        <v>#N/A</v>
      </c>
      <c r="KNV538" s="22" t="e">
        <f ca="1"/>
        <v>#N/A</v>
      </c>
      <c r="KNW538" s="22" t="e">
        <f ca="1"/>
        <v>#N/A</v>
      </c>
      <c r="KNX538" s="22" t="e">
        <f ca="1"/>
        <v>#N/A</v>
      </c>
      <c r="KNY538" s="22" t="e">
        <f ca="1"/>
        <v>#N/A</v>
      </c>
      <c r="KNZ538" s="22" t="e">
        <f ca="1"/>
        <v>#N/A</v>
      </c>
      <c r="KOA538" s="22" t="e">
        <f ca="1"/>
        <v>#N/A</v>
      </c>
      <c r="KOB538" s="22" t="e">
        <f ca="1"/>
        <v>#N/A</v>
      </c>
      <c r="KOC538" s="22" t="e">
        <f ca="1"/>
        <v>#N/A</v>
      </c>
      <c r="KOD538" s="22" t="e">
        <f ca="1"/>
        <v>#N/A</v>
      </c>
      <c r="KOE538" s="22" t="e">
        <f ca="1"/>
        <v>#N/A</v>
      </c>
      <c r="KOF538" s="22" t="e">
        <f ca="1"/>
        <v>#N/A</v>
      </c>
      <c r="KOG538" s="22" t="e">
        <f ca="1"/>
        <v>#N/A</v>
      </c>
      <c r="KOH538" s="22" t="e">
        <f ca="1"/>
        <v>#N/A</v>
      </c>
      <c r="KOI538" s="22" t="e">
        <f ca="1"/>
        <v>#N/A</v>
      </c>
      <c r="KOJ538" s="22" t="e">
        <f ca="1"/>
        <v>#N/A</v>
      </c>
      <c r="KOK538" s="22" t="e">
        <f ca="1"/>
        <v>#N/A</v>
      </c>
      <c r="KOL538" s="22" t="e">
        <f ca="1"/>
        <v>#N/A</v>
      </c>
      <c r="KOM538" s="22" t="e">
        <f ca="1"/>
        <v>#N/A</v>
      </c>
      <c r="KON538" s="22" t="e">
        <f ca="1"/>
        <v>#N/A</v>
      </c>
      <c r="KOO538" s="22" t="e">
        <f ca="1"/>
        <v>#N/A</v>
      </c>
      <c r="KOP538" s="22" t="e">
        <f ca="1"/>
        <v>#N/A</v>
      </c>
      <c r="KOQ538" s="22" t="e">
        <f ca="1"/>
        <v>#N/A</v>
      </c>
      <c r="KOR538" s="22" t="e">
        <f ca="1"/>
        <v>#N/A</v>
      </c>
      <c r="KOS538" s="22" t="e">
        <f ca="1"/>
        <v>#N/A</v>
      </c>
      <c r="KOT538" s="22" t="e">
        <f ca="1"/>
        <v>#N/A</v>
      </c>
      <c r="KOU538" s="22" t="e">
        <f ca="1"/>
        <v>#N/A</v>
      </c>
      <c r="KOV538" s="22" t="e">
        <f ca="1"/>
        <v>#N/A</v>
      </c>
      <c r="KOW538" s="22" t="e">
        <f ca="1"/>
        <v>#N/A</v>
      </c>
      <c r="KOX538" s="22" t="e">
        <f ca="1"/>
        <v>#N/A</v>
      </c>
      <c r="KOY538" s="22" t="e">
        <f ca="1"/>
        <v>#N/A</v>
      </c>
      <c r="KOZ538" s="22" t="e">
        <f ca="1"/>
        <v>#N/A</v>
      </c>
      <c r="KPA538" s="22" t="e">
        <f ca="1"/>
        <v>#N/A</v>
      </c>
      <c r="KPB538" s="22" t="e">
        <f ca="1"/>
        <v>#N/A</v>
      </c>
      <c r="KPC538" s="22" t="e">
        <f ca="1"/>
        <v>#N/A</v>
      </c>
      <c r="KPD538" s="22" t="e">
        <f ca="1"/>
        <v>#N/A</v>
      </c>
      <c r="KPE538" s="22" t="e">
        <f ca="1"/>
        <v>#N/A</v>
      </c>
      <c r="KPF538" s="22" t="e">
        <f ca="1"/>
        <v>#N/A</v>
      </c>
      <c r="KPG538" s="22" t="e">
        <f ca="1"/>
        <v>#N/A</v>
      </c>
      <c r="KPH538" s="22" t="e">
        <f ca="1"/>
        <v>#N/A</v>
      </c>
      <c r="KPI538" s="22" t="e">
        <f ca="1"/>
        <v>#N/A</v>
      </c>
      <c r="KPJ538" s="22" t="e">
        <f ca="1"/>
        <v>#N/A</v>
      </c>
      <c r="KPK538" s="22" t="e">
        <f ca="1"/>
        <v>#N/A</v>
      </c>
      <c r="KPL538" s="22" t="e">
        <f ca="1"/>
        <v>#N/A</v>
      </c>
      <c r="KPM538" s="22" t="e">
        <f ca="1"/>
        <v>#N/A</v>
      </c>
      <c r="KPN538" s="22" t="e">
        <f ca="1"/>
        <v>#N/A</v>
      </c>
      <c r="KPO538" s="22" t="e">
        <f ca="1"/>
        <v>#N/A</v>
      </c>
      <c r="KPP538" s="22" t="e">
        <f ca="1"/>
        <v>#N/A</v>
      </c>
      <c r="KPQ538" s="22" t="e">
        <f ca="1"/>
        <v>#N/A</v>
      </c>
      <c r="KPR538" s="22" t="e">
        <f ca="1"/>
        <v>#N/A</v>
      </c>
      <c r="KPS538" s="22" t="e">
        <f ca="1"/>
        <v>#N/A</v>
      </c>
      <c r="KPT538" s="22" t="e">
        <f ca="1"/>
        <v>#N/A</v>
      </c>
      <c r="KPU538" s="22" t="e">
        <f ca="1"/>
        <v>#N/A</v>
      </c>
      <c r="KPV538" s="22" t="e">
        <f ca="1"/>
        <v>#N/A</v>
      </c>
      <c r="KPW538" s="22" t="e">
        <f ca="1"/>
        <v>#N/A</v>
      </c>
      <c r="KPX538" s="22" t="e">
        <f ca="1"/>
        <v>#N/A</v>
      </c>
      <c r="KPY538" s="22" t="e">
        <f ca="1"/>
        <v>#N/A</v>
      </c>
      <c r="KPZ538" s="22" t="e">
        <f ca="1"/>
        <v>#N/A</v>
      </c>
      <c r="KQA538" s="22" t="e">
        <f ca="1"/>
        <v>#N/A</v>
      </c>
      <c r="KQB538" s="22" t="e">
        <f ca="1"/>
        <v>#N/A</v>
      </c>
      <c r="KQC538" s="22" t="e">
        <f ca="1"/>
        <v>#N/A</v>
      </c>
      <c r="KQD538" s="22" t="e">
        <f ca="1"/>
        <v>#N/A</v>
      </c>
      <c r="KQE538" s="22" t="e">
        <f ca="1"/>
        <v>#N/A</v>
      </c>
      <c r="KQF538" s="22" t="e">
        <f ca="1"/>
        <v>#N/A</v>
      </c>
      <c r="KQG538" s="22" t="e">
        <f ca="1"/>
        <v>#N/A</v>
      </c>
      <c r="KQH538" s="22" t="e">
        <f ca="1"/>
        <v>#N/A</v>
      </c>
      <c r="KQI538" s="22" t="e">
        <f ca="1"/>
        <v>#N/A</v>
      </c>
      <c r="KQJ538" s="22" t="e">
        <f ca="1"/>
        <v>#N/A</v>
      </c>
      <c r="KQK538" s="22" t="e">
        <f ca="1"/>
        <v>#N/A</v>
      </c>
      <c r="KQL538" s="22" t="e">
        <f ca="1"/>
        <v>#N/A</v>
      </c>
      <c r="KQM538" s="22" t="e">
        <f ca="1"/>
        <v>#N/A</v>
      </c>
      <c r="KQN538" s="22" t="e">
        <f ca="1"/>
        <v>#N/A</v>
      </c>
      <c r="KQO538" s="22" t="e">
        <f ca="1"/>
        <v>#N/A</v>
      </c>
      <c r="KQP538" s="22" t="e">
        <f ca="1"/>
        <v>#N/A</v>
      </c>
      <c r="KQQ538" s="22" t="e">
        <f ca="1"/>
        <v>#N/A</v>
      </c>
      <c r="KQR538" s="22" t="e">
        <f ca="1"/>
        <v>#N/A</v>
      </c>
      <c r="KQS538" s="22" t="e">
        <f ca="1"/>
        <v>#N/A</v>
      </c>
      <c r="KQT538" s="22" t="e">
        <f ca="1"/>
        <v>#N/A</v>
      </c>
      <c r="KQU538" s="22" t="e">
        <f ca="1"/>
        <v>#N/A</v>
      </c>
      <c r="KQV538" s="22" t="e">
        <f ca="1"/>
        <v>#N/A</v>
      </c>
      <c r="KQW538" s="22" t="e">
        <f ca="1"/>
        <v>#N/A</v>
      </c>
      <c r="KQX538" s="22" t="e">
        <f ca="1"/>
        <v>#N/A</v>
      </c>
      <c r="KQY538" s="22" t="e">
        <f ca="1"/>
        <v>#N/A</v>
      </c>
      <c r="KQZ538" s="22" t="e">
        <f ca="1"/>
        <v>#N/A</v>
      </c>
      <c r="KRA538" s="22" t="e">
        <f ca="1"/>
        <v>#N/A</v>
      </c>
      <c r="KRB538" s="22" t="e">
        <f ca="1"/>
        <v>#N/A</v>
      </c>
      <c r="KRC538" s="22" t="e">
        <f ca="1"/>
        <v>#N/A</v>
      </c>
      <c r="KRD538" s="22" t="e">
        <f ca="1"/>
        <v>#N/A</v>
      </c>
      <c r="KRE538" s="22" t="e">
        <f ca="1"/>
        <v>#N/A</v>
      </c>
      <c r="KRF538" s="22" t="e">
        <f ca="1"/>
        <v>#N/A</v>
      </c>
      <c r="KRG538" s="22" t="e">
        <f ca="1"/>
        <v>#N/A</v>
      </c>
      <c r="KRH538" s="22" t="e">
        <f ca="1"/>
        <v>#N/A</v>
      </c>
      <c r="KRI538" s="22" t="e">
        <f ca="1"/>
        <v>#N/A</v>
      </c>
      <c r="KRJ538" s="22" t="e">
        <f ca="1"/>
        <v>#N/A</v>
      </c>
      <c r="KRK538" s="22" t="e">
        <f ca="1"/>
        <v>#N/A</v>
      </c>
      <c r="KRL538" s="22" t="e">
        <f ca="1"/>
        <v>#N/A</v>
      </c>
      <c r="KRM538" s="22" t="e">
        <f ca="1"/>
        <v>#N/A</v>
      </c>
      <c r="KRN538" s="22" t="e">
        <f ca="1"/>
        <v>#N/A</v>
      </c>
      <c r="KRO538" s="22" t="e">
        <f ca="1"/>
        <v>#N/A</v>
      </c>
      <c r="KRP538" s="22" t="e">
        <f ca="1"/>
        <v>#N/A</v>
      </c>
      <c r="KRQ538" s="22" t="e">
        <f ca="1"/>
        <v>#N/A</v>
      </c>
      <c r="KRR538" s="22" t="e">
        <f ca="1"/>
        <v>#N/A</v>
      </c>
      <c r="KRS538" s="22" t="e">
        <f ca="1"/>
        <v>#N/A</v>
      </c>
      <c r="KRT538" s="22" t="e">
        <f ca="1"/>
        <v>#N/A</v>
      </c>
      <c r="KRU538" s="22" t="e">
        <f ca="1"/>
        <v>#N/A</v>
      </c>
      <c r="KRV538" s="22" t="e">
        <f ca="1"/>
        <v>#N/A</v>
      </c>
      <c r="KRW538" s="22" t="e">
        <f ca="1"/>
        <v>#N/A</v>
      </c>
      <c r="KRX538" s="22" t="e">
        <f ca="1"/>
        <v>#N/A</v>
      </c>
      <c r="KRY538" s="22" t="e">
        <f ca="1"/>
        <v>#N/A</v>
      </c>
      <c r="KRZ538" s="22" t="e">
        <f ca="1"/>
        <v>#N/A</v>
      </c>
      <c r="KSA538" s="22" t="e">
        <f ca="1"/>
        <v>#N/A</v>
      </c>
      <c r="KSB538" s="22" t="e">
        <f ca="1"/>
        <v>#N/A</v>
      </c>
      <c r="KSC538" s="22" t="e">
        <f ca="1"/>
        <v>#N/A</v>
      </c>
      <c r="KSD538" s="22" t="e">
        <f ca="1"/>
        <v>#N/A</v>
      </c>
      <c r="KSE538" s="22" t="e">
        <f ca="1"/>
        <v>#N/A</v>
      </c>
      <c r="KSF538" s="22" t="e">
        <f ca="1"/>
        <v>#N/A</v>
      </c>
      <c r="KSG538" s="22" t="e">
        <f ca="1"/>
        <v>#N/A</v>
      </c>
      <c r="KSH538" s="22" t="e">
        <f ca="1"/>
        <v>#N/A</v>
      </c>
      <c r="KSI538" s="22" t="e">
        <f ca="1"/>
        <v>#N/A</v>
      </c>
      <c r="KSJ538" s="22" t="e">
        <f ca="1"/>
        <v>#N/A</v>
      </c>
      <c r="KSK538" s="22" t="e">
        <f ca="1"/>
        <v>#N/A</v>
      </c>
      <c r="KSL538" s="22" t="e">
        <f ca="1"/>
        <v>#N/A</v>
      </c>
      <c r="KSM538" s="22" t="e">
        <f ca="1"/>
        <v>#N/A</v>
      </c>
      <c r="KSN538" s="22" t="e">
        <f ca="1"/>
        <v>#N/A</v>
      </c>
      <c r="KSO538" s="22" t="e">
        <f ca="1"/>
        <v>#N/A</v>
      </c>
      <c r="KSP538" s="22" t="e">
        <f ca="1"/>
        <v>#N/A</v>
      </c>
      <c r="KSQ538" s="22" t="e">
        <f ca="1"/>
        <v>#N/A</v>
      </c>
      <c r="KSR538" s="22" t="e">
        <f ca="1"/>
        <v>#N/A</v>
      </c>
      <c r="KSS538" s="22" t="e">
        <f ca="1"/>
        <v>#N/A</v>
      </c>
      <c r="KST538" s="22" t="e">
        <f ca="1"/>
        <v>#N/A</v>
      </c>
      <c r="KSU538" s="22" t="e">
        <f ca="1"/>
        <v>#N/A</v>
      </c>
      <c r="KSV538" s="22" t="e">
        <f ca="1"/>
        <v>#N/A</v>
      </c>
      <c r="KSW538" s="22" t="e">
        <f ca="1"/>
        <v>#N/A</v>
      </c>
      <c r="KSX538" s="22" t="e">
        <f ca="1"/>
        <v>#N/A</v>
      </c>
      <c r="KSY538" s="22" t="e">
        <f ca="1"/>
        <v>#N/A</v>
      </c>
      <c r="KSZ538" s="22" t="e">
        <f ca="1"/>
        <v>#N/A</v>
      </c>
      <c r="KTA538" s="22" t="e">
        <f ca="1"/>
        <v>#N/A</v>
      </c>
      <c r="KTB538" s="22" t="e">
        <f ca="1"/>
        <v>#N/A</v>
      </c>
      <c r="KTC538" s="22" t="e">
        <f ca="1"/>
        <v>#N/A</v>
      </c>
      <c r="KTD538" s="22" t="e">
        <f ca="1"/>
        <v>#N/A</v>
      </c>
      <c r="KTE538" s="22" t="e">
        <f ca="1"/>
        <v>#N/A</v>
      </c>
      <c r="KTF538" s="22" t="e">
        <f ca="1"/>
        <v>#N/A</v>
      </c>
      <c r="KTG538" s="22" t="e">
        <f ca="1"/>
        <v>#N/A</v>
      </c>
      <c r="KTH538" s="22" t="e">
        <f ca="1"/>
        <v>#N/A</v>
      </c>
      <c r="KTI538" s="22" t="e">
        <f ca="1"/>
        <v>#N/A</v>
      </c>
      <c r="KTJ538" s="22" t="e">
        <f ca="1"/>
        <v>#N/A</v>
      </c>
      <c r="KTK538" s="22" t="e">
        <f ca="1"/>
        <v>#N/A</v>
      </c>
      <c r="KTL538" s="22" t="e">
        <f ca="1"/>
        <v>#N/A</v>
      </c>
      <c r="KTM538" s="22" t="e">
        <f ca="1"/>
        <v>#N/A</v>
      </c>
      <c r="KTN538" s="22" t="e">
        <f ca="1"/>
        <v>#N/A</v>
      </c>
      <c r="KTO538" s="22" t="e">
        <f ca="1"/>
        <v>#N/A</v>
      </c>
      <c r="KTP538" s="22" t="e">
        <f ca="1"/>
        <v>#N/A</v>
      </c>
      <c r="KTQ538" s="22" t="e">
        <f ca="1"/>
        <v>#N/A</v>
      </c>
      <c r="KTR538" s="22" t="e">
        <f ca="1"/>
        <v>#N/A</v>
      </c>
      <c r="KTS538" s="22" t="e">
        <f ca="1"/>
        <v>#N/A</v>
      </c>
      <c r="KTT538" s="22" t="e">
        <f ca="1"/>
        <v>#N/A</v>
      </c>
      <c r="KTU538" s="22" t="e">
        <f ca="1"/>
        <v>#N/A</v>
      </c>
      <c r="KTV538" s="22" t="e">
        <f ca="1"/>
        <v>#N/A</v>
      </c>
      <c r="KTW538" s="22" t="e">
        <f ca="1"/>
        <v>#N/A</v>
      </c>
      <c r="KTX538" s="22" t="e">
        <f ca="1"/>
        <v>#N/A</v>
      </c>
      <c r="KTY538" s="22" t="e">
        <f ca="1"/>
        <v>#N/A</v>
      </c>
      <c r="KTZ538" s="22" t="e">
        <f ca="1"/>
        <v>#N/A</v>
      </c>
      <c r="KUA538" s="22" t="e">
        <f ca="1"/>
        <v>#N/A</v>
      </c>
      <c r="KUB538" s="22" t="e">
        <f ca="1"/>
        <v>#N/A</v>
      </c>
      <c r="KUC538" s="22" t="e">
        <f ca="1"/>
        <v>#N/A</v>
      </c>
      <c r="KUD538" s="22" t="e">
        <f ca="1"/>
        <v>#N/A</v>
      </c>
      <c r="KUE538" s="22" t="e">
        <f ca="1"/>
        <v>#N/A</v>
      </c>
      <c r="KUF538" s="22" t="e">
        <f ca="1"/>
        <v>#N/A</v>
      </c>
      <c r="KUG538" s="22" t="e">
        <f ca="1"/>
        <v>#N/A</v>
      </c>
      <c r="KUH538" s="22" t="e">
        <f ca="1"/>
        <v>#N/A</v>
      </c>
      <c r="KUI538" s="22" t="e">
        <f ca="1"/>
        <v>#N/A</v>
      </c>
      <c r="KUJ538" s="22" t="e">
        <f ca="1"/>
        <v>#N/A</v>
      </c>
      <c r="KUK538" s="22" t="e">
        <f ca="1"/>
        <v>#N/A</v>
      </c>
      <c r="KUL538" s="22" t="e">
        <f ca="1"/>
        <v>#N/A</v>
      </c>
      <c r="KUM538" s="22" t="e">
        <f ca="1"/>
        <v>#N/A</v>
      </c>
      <c r="KUN538" s="22" t="e">
        <f ca="1"/>
        <v>#N/A</v>
      </c>
      <c r="KUO538" s="22" t="e">
        <f ca="1"/>
        <v>#N/A</v>
      </c>
      <c r="KUP538" s="22" t="e">
        <f ca="1"/>
        <v>#N/A</v>
      </c>
      <c r="KUQ538" s="22" t="e">
        <f ca="1"/>
        <v>#N/A</v>
      </c>
      <c r="KUR538" s="22" t="e">
        <f ca="1"/>
        <v>#N/A</v>
      </c>
      <c r="KUS538" s="22" t="e">
        <f ca="1"/>
        <v>#N/A</v>
      </c>
      <c r="KUT538" s="22" t="e">
        <f ca="1"/>
        <v>#N/A</v>
      </c>
      <c r="KUU538" s="22" t="e">
        <f ca="1"/>
        <v>#N/A</v>
      </c>
      <c r="KUV538" s="22" t="e">
        <f ca="1"/>
        <v>#N/A</v>
      </c>
      <c r="KUW538" s="22" t="e">
        <f ca="1"/>
        <v>#N/A</v>
      </c>
      <c r="KUX538" s="22" t="e">
        <f ca="1"/>
        <v>#N/A</v>
      </c>
      <c r="KUY538" s="22" t="e">
        <f ca="1"/>
        <v>#N/A</v>
      </c>
      <c r="KUZ538" s="22" t="e">
        <f ca="1"/>
        <v>#N/A</v>
      </c>
      <c r="KVA538" s="22" t="e">
        <f ca="1"/>
        <v>#N/A</v>
      </c>
      <c r="KVB538" s="22" t="e">
        <f ca="1"/>
        <v>#N/A</v>
      </c>
      <c r="KVC538" s="22" t="e">
        <f ca="1"/>
        <v>#N/A</v>
      </c>
      <c r="KVD538" s="22" t="e">
        <f ca="1"/>
        <v>#N/A</v>
      </c>
      <c r="KVE538" s="22" t="e">
        <f ca="1"/>
        <v>#N/A</v>
      </c>
      <c r="KVF538" s="22" t="e">
        <f ca="1"/>
        <v>#N/A</v>
      </c>
      <c r="KVG538" s="22" t="e">
        <f ca="1"/>
        <v>#N/A</v>
      </c>
      <c r="KVH538" s="22" t="e">
        <f ca="1"/>
        <v>#N/A</v>
      </c>
      <c r="KVI538" s="22" t="e">
        <f ca="1"/>
        <v>#N/A</v>
      </c>
      <c r="KVJ538" s="22" t="e">
        <f ca="1"/>
        <v>#N/A</v>
      </c>
      <c r="KVK538" s="22" t="e">
        <f ca="1"/>
        <v>#N/A</v>
      </c>
      <c r="KVL538" s="22" t="e">
        <f ca="1"/>
        <v>#N/A</v>
      </c>
      <c r="KVM538" s="22" t="e">
        <f ca="1"/>
        <v>#N/A</v>
      </c>
      <c r="KVN538" s="22" t="e">
        <f ca="1"/>
        <v>#N/A</v>
      </c>
      <c r="KVO538" s="22" t="e">
        <f ca="1"/>
        <v>#N/A</v>
      </c>
      <c r="KVP538" s="22" t="e">
        <f ca="1"/>
        <v>#N/A</v>
      </c>
      <c r="KVQ538" s="22" t="e">
        <f ca="1"/>
        <v>#N/A</v>
      </c>
      <c r="KVR538" s="22" t="e">
        <f ca="1"/>
        <v>#N/A</v>
      </c>
      <c r="KVS538" s="22" t="e">
        <f ca="1"/>
        <v>#N/A</v>
      </c>
      <c r="KVT538" s="22" t="e">
        <f ca="1"/>
        <v>#N/A</v>
      </c>
      <c r="KVU538" s="22" t="e">
        <f ca="1"/>
        <v>#N/A</v>
      </c>
      <c r="KVV538" s="22" t="e">
        <f ca="1"/>
        <v>#N/A</v>
      </c>
      <c r="KVW538" s="22" t="e">
        <f ca="1"/>
        <v>#N/A</v>
      </c>
      <c r="KVX538" s="22" t="e">
        <f ca="1"/>
        <v>#N/A</v>
      </c>
      <c r="KVY538" s="22" t="e">
        <f ca="1"/>
        <v>#N/A</v>
      </c>
      <c r="KVZ538" s="22" t="e">
        <f ca="1"/>
        <v>#N/A</v>
      </c>
      <c r="KWA538" s="22" t="e">
        <f ca="1"/>
        <v>#N/A</v>
      </c>
      <c r="KWB538" s="22" t="e">
        <f ca="1"/>
        <v>#N/A</v>
      </c>
      <c r="KWC538" s="22" t="e">
        <f ca="1"/>
        <v>#N/A</v>
      </c>
      <c r="KWD538" s="22" t="e">
        <f ca="1"/>
        <v>#N/A</v>
      </c>
      <c r="KWE538" s="22" t="e">
        <f ca="1"/>
        <v>#N/A</v>
      </c>
      <c r="KWF538" s="22" t="e">
        <f ca="1"/>
        <v>#N/A</v>
      </c>
      <c r="KWG538" s="22" t="e">
        <f ca="1"/>
        <v>#N/A</v>
      </c>
      <c r="KWH538" s="22" t="e">
        <f ca="1"/>
        <v>#N/A</v>
      </c>
      <c r="KWI538" s="22" t="e">
        <f ca="1"/>
        <v>#N/A</v>
      </c>
      <c r="KWJ538" s="22" t="e">
        <f ca="1"/>
        <v>#N/A</v>
      </c>
      <c r="KWK538" s="22" t="e">
        <f ca="1"/>
        <v>#N/A</v>
      </c>
      <c r="KWL538" s="22" t="e">
        <f ca="1"/>
        <v>#N/A</v>
      </c>
      <c r="KWM538" s="22" t="e">
        <f ca="1"/>
        <v>#N/A</v>
      </c>
      <c r="KWN538" s="22" t="e">
        <f ca="1"/>
        <v>#N/A</v>
      </c>
      <c r="KWO538" s="22" t="e">
        <f ca="1"/>
        <v>#N/A</v>
      </c>
      <c r="KWP538" s="22" t="e">
        <f ca="1"/>
        <v>#N/A</v>
      </c>
      <c r="KWQ538" s="22" t="e">
        <f ca="1"/>
        <v>#N/A</v>
      </c>
      <c r="KWR538" s="22" t="e">
        <f ca="1"/>
        <v>#N/A</v>
      </c>
      <c r="KWS538" s="22" t="e">
        <f ca="1"/>
        <v>#N/A</v>
      </c>
      <c r="KWT538" s="22" t="e">
        <f ca="1"/>
        <v>#N/A</v>
      </c>
      <c r="KWU538" s="22" t="e">
        <f ca="1"/>
        <v>#N/A</v>
      </c>
      <c r="KWV538" s="22" t="e">
        <f ca="1"/>
        <v>#N/A</v>
      </c>
      <c r="KWW538" s="22" t="e">
        <f ca="1"/>
        <v>#N/A</v>
      </c>
      <c r="KWX538" s="22" t="e">
        <f ca="1"/>
        <v>#N/A</v>
      </c>
      <c r="KWY538" s="22" t="e">
        <f ca="1"/>
        <v>#N/A</v>
      </c>
      <c r="KWZ538" s="22" t="e">
        <f ca="1"/>
        <v>#N/A</v>
      </c>
      <c r="KXA538" s="22" t="e">
        <f ca="1"/>
        <v>#N/A</v>
      </c>
      <c r="KXB538" s="22" t="e">
        <f ca="1"/>
        <v>#N/A</v>
      </c>
      <c r="KXC538" s="22" t="e">
        <f ca="1"/>
        <v>#N/A</v>
      </c>
      <c r="KXD538" s="22" t="e">
        <f ca="1"/>
        <v>#N/A</v>
      </c>
      <c r="KXE538" s="22" t="e">
        <f ca="1"/>
        <v>#N/A</v>
      </c>
      <c r="KXF538" s="22" t="e">
        <f ca="1"/>
        <v>#N/A</v>
      </c>
      <c r="KXG538" s="22" t="e">
        <f ca="1"/>
        <v>#N/A</v>
      </c>
      <c r="KXH538" s="22" t="e">
        <f ca="1"/>
        <v>#N/A</v>
      </c>
      <c r="KXI538" s="22" t="e">
        <f ca="1"/>
        <v>#N/A</v>
      </c>
      <c r="KXJ538" s="22" t="e">
        <f ca="1"/>
        <v>#N/A</v>
      </c>
      <c r="KXK538" s="22" t="e">
        <f ca="1"/>
        <v>#N/A</v>
      </c>
      <c r="KXL538" s="22" t="e">
        <f ca="1"/>
        <v>#N/A</v>
      </c>
      <c r="KXM538" s="22" t="e">
        <f ca="1"/>
        <v>#N/A</v>
      </c>
      <c r="KXN538" s="22" t="e">
        <f ca="1"/>
        <v>#N/A</v>
      </c>
      <c r="KXO538" s="22" t="e">
        <f ca="1"/>
        <v>#N/A</v>
      </c>
      <c r="KXP538" s="22" t="e">
        <f ca="1"/>
        <v>#N/A</v>
      </c>
      <c r="KXQ538" s="22" t="e">
        <f ca="1"/>
        <v>#N/A</v>
      </c>
      <c r="KXR538" s="22" t="e">
        <f ca="1"/>
        <v>#N/A</v>
      </c>
      <c r="KXS538" s="22" t="e">
        <f ca="1"/>
        <v>#N/A</v>
      </c>
      <c r="KXT538" s="22" t="e">
        <f ca="1"/>
        <v>#N/A</v>
      </c>
      <c r="KXU538" s="22" t="e">
        <f ca="1"/>
        <v>#N/A</v>
      </c>
      <c r="KXV538" s="22" t="e">
        <f ca="1"/>
        <v>#N/A</v>
      </c>
      <c r="KXW538" s="22" t="e">
        <f ca="1"/>
        <v>#N/A</v>
      </c>
      <c r="KXX538" s="22" t="e">
        <f ca="1"/>
        <v>#N/A</v>
      </c>
      <c r="KXY538" s="22" t="e">
        <f ca="1"/>
        <v>#N/A</v>
      </c>
      <c r="KXZ538" s="22" t="e">
        <f ca="1"/>
        <v>#N/A</v>
      </c>
      <c r="KYA538" s="22" t="e">
        <f ca="1"/>
        <v>#N/A</v>
      </c>
      <c r="KYB538" s="22" t="e">
        <f ca="1"/>
        <v>#N/A</v>
      </c>
      <c r="KYC538" s="22" t="e">
        <f ca="1"/>
        <v>#N/A</v>
      </c>
      <c r="KYD538" s="22" t="e">
        <f ca="1"/>
        <v>#N/A</v>
      </c>
      <c r="KYE538" s="22" t="e">
        <f ca="1"/>
        <v>#N/A</v>
      </c>
      <c r="KYF538" s="22" t="e">
        <f ca="1"/>
        <v>#N/A</v>
      </c>
      <c r="KYG538" s="22" t="e">
        <f ca="1"/>
        <v>#N/A</v>
      </c>
      <c r="KYH538" s="22" t="e">
        <f ca="1"/>
        <v>#N/A</v>
      </c>
      <c r="KYI538" s="22" t="e">
        <f ca="1"/>
        <v>#N/A</v>
      </c>
      <c r="KYJ538" s="22" t="e">
        <f ca="1"/>
        <v>#N/A</v>
      </c>
      <c r="KYK538" s="22" t="e">
        <f ca="1"/>
        <v>#N/A</v>
      </c>
      <c r="KYL538" s="22" t="e">
        <f ca="1"/>
        <v>#N/A</v>
      </c>
      <c r="KYM538" s="22" t="e">
        <f ca="1"/>
        <v>#N/A</v>
      </c>
      <c r="KYN538" s="22" t="e">
        <f ca="1"/>
        <v>#N/A</v>
      </c>
      <c r="KYO538" s="22" t="e">
        <f ca="1"/>
        <v>#N/A</v>
      </c>
      <c r="KYP538" s="22" t="e">
        <f ca="1"/>
        <v>#N/A</v>
      </c>
      <c r="KYQ538" s="22" t="e">
        <f ca="1"/>
        <v>#N/A</v>
      </c>
      <c r="KYR538" s="22" t="e">
        <f ca="1"/>
        <v>#N/A</v>
      </c>
      <c r="KYS538" s="22" t="e">
        <f ca="1"/>
        <v>#N/A</v>
      </c>
      <c r="KYT538" s="22" t="e">
        <f ca="1"/>
        <v>#N/A</v>
      </c>
      <c r="KYU538" s="22" t="e">
        <f ca="1"/>
        <v>#N/A</v>
      </c>
      <c r="KYV538" s="22" t="e">
        <f ca="1"/>
        <v>#N/A</v>
      </c>
      <c r="KYW538" s="22" t="e">
        <f ca="1"/>
        <v>#N/A</v>
      </c>
      <c r="KYX538" s="22" t="e">
        <f ca="1"/>
        <v>#N/A</v>
      </c>
      <c r="KYY538" s="22" t="e">
        <f ca="1"/>
        <v>#N/A</v>
      </c>
      <c r="KYZ538" s="22" t="e">
        <f ca="1"/>
        <v>#N/A</v>
      </c>
      <c r="KZA538" s="22" t="e">
        <f ca="1"/>
        <v>#N/A</v>
      </c>
      <c r="KZB538" s="22" t="e">
        <f ca="1"/>
        <v>#N/A</v>
      </c>
      <c r="KZC538" s="22" t="e">
        <f ca="1"/>
        <v>#N/A</v>
      </c>
      <c r="KZD538" s="22" t="e">
        <f ca="1"/>
        <v>#N/A</v>
      </c>
      <c r="KZE538" s="22" t="e">
        <f ca="1"/>
        <v>#N/A</v>
      </c>
      <c r="KZF538" s="22" t="e">
        <f ca="1"/>
        <v>#N/A</v>
      </c>
      <c r="KZG538" s="22" t="e">
        <f ca="1"/>
        <v>#N/A</v>
      </c>
      <c r="KZH538" s="22" t="e">
        <f ca="1"/>
        <v>#N/A</v>
      </c>
      <c r="KZI538" s="22" t="e">
        <f ca="1"/>
        <v>#N/A</v>
      </c>
      <c r="KZJ538" s="22" t="e">
        <f ca="1"/>
        <v>#N/A</v>
      </c>
      <c r="KZK538" s="22" t="e">
        <f ca="1"/>
        <v>#N/A</v>
      </c>
      <c r="KZL538" s="22" t="e">
        <f ca="1"/>
        <v>#N/A</v>
      </c>
      <c r="KZM538" s="22" t="e">
        <f ca="1"/>
        <v>#N/A</v>
      </c>
      <c r="KZN538" s="22" t="e">
        <f ca="1"/>
        <v>#N/A</v>
      </c>
      <c r="KZO538" s="22" t="e">
        <f ca="1"/>
        <v>#N/A</v>
      </c>
      <c r="KZP538" s="22" t="e">
        <f ca="1"/>
        <v>#N/A</v>
      </c>
      <c r="KZQ538" s="22" t="e">
        <f ca="1"/>
        <v>#N/A</v>
      </c>
      <c r="KZR538" s="22" t="e">
        <f ca="1"/>
        <v>#N/A</v>
      </c>
      <c r="KZS538" s="22" t="e">
        <f ca="1"/>
        <v>#N/A</v>
      </c>
      <c r="KZT538" s="22" t="e">
        <f ca="1"/>
        <v>#N/A</v>
      </c>
      <c r="KZU538" s="22" t="e">
        <f ca="1"/>
        <v>#N/A</v>
      </c>
      <c r="KZV538" s="22" t="e">
        <f ca="1"/>
        <v>#N/A</v>
      </c>
      <c r="KZW538" s="22" t="e">
        <f ca="1"/>
        <v>#N/A</v>
      </c>
      <c r="KZX538" s="22" t="e">
        <f ca="1"/>
        <v>#N/A</v>
      </c>
      <c r="KZY538" s="22" t="e">
        <f ca="1"/>
        <v>#N/A</v>
      </c>
      <c r="KZZ538" s="22" t="e">
        <f ca="1"/>
        <v>#N/A</v>
      </c>
      <c r="LAA538" s="22" t="e">
        <f ca="1"/>
        <v>#N/A</v>
      </c>
      <c r="LAB538" s="22" t="e">
        <f ca="1"/>
        <v>#N/A</v>
      </c>
      <c r="LAC538" s="22" t="e">
        <f ca="1"/>
        <v>#N/A</v>
      </c>
      <c r="LAD538" s="22" t="e">
        <f ca="1"/>
        <v>#N/A</v>
      </c>
      <c r="LAE538" s="22" t="e">
        <f ca="1"/>
        <v>#N/A</v>
      </c>
      <c r="LAF538" s="22" t="e">
        <f ca="1"/>
        <v>#N/A</v>
      </c>
      <c r="LAG538" s="22" t="e">
        <f ca="1"/>
        <v>#N/A</v>
      </c>
      <c r="LAH538" s="22" t="e">
        <f ca="1"/>
        <v>#N/A</v>
      </c>
      <c r="LAI538" s="22" t="e">
        <f ca="1"/>
        <v>#N/A</v>
      </c>
      <c r="LAJ538" s="22" t="e">
        <f ca="1"/>
        <v>#N/A</v>
      </c>
      <c r="LAK538" s="22" t="e">
        <f ca="1"/>
        <v>#N/A</v>
      </c>
      <c r="LAL538" s="22" t="e">
        <f ca="1"/>
        <v>#N/A</v>
      </c>
      <c r="LAM538" s="22" t="e">
        <f ca="1"/>
        <v>#N/A</v>
      </c>
      <c r="LAN538" s="22" t="e">
        <f ca="1"/>
        <v>#N/A</v>
      </c>
      <c r="LAO538" s="22" t="e">
        <f ca="1"/>
        <v>#N/A</v>
      </c>
      <c r="LAP538" s="22" t="e">
        <f ca="1"/>
        <v>#N/A</v>
      </c>
      <c r="LAQ538" s="22" t="e">
        <f ca="1"/>
        <v>#N/A</v>
      </c>
      <c r="LAR538" s="22" t="e">
        <f ca="1"/>
        <v>#N/A</v>
      </c>
      <c r="LAS538" s="22" t="e">
        <f ca="1"/>
        <v>#N/A</v>
      </c>
      <c r="LAT538" s="22" t="e">
        <f ca="1"/>
        <v>#N/A</v>
      </c>
      <c r="LAU538" s="22" t="e">
        <f ca="1"/>
        <v>#N/A</v>
      </c>
      <c r="LAV538" s="22" t="e">
        <f ca="1"/>
        <v>#N/A</v>
      </c>
      <c r="LAW538" s="22" t="e">
        <f ca="1"/>
        <v>#N/A</v>
      </c>
      <c r="LAX538" s="22" t="e">
        <f ca="1"/>
        <v>#N/A</v>
      </c>
      <c r="LAY538" s="22" t="e">
        <f ca="1"/>
        <v>#N/A</v>
      </c>
      <c r="LAZ538" s="22" t="e">
        <f ca="1"/>
        <v>#N/A</v>
      </c>
      <c r="LBA538" s="22" t="e">
        <f ca="1"/>
        <v>#N/A</v>
      </c>
      <c r="LBB538" s="22" t="e">
        <f ca="1"/>
        <v>#N/A</v>
      </c>
      <c r="LBC538" s="22" t="e">
        <f ca="1"/>
        <v>#N/A</v>
      </c>
      <c r="LBD538" s="22" t="e">
        <f ca="1"/>
        <v>#N/A</v>
      </c>
      <c r="LBE538" s="22" t="e">
        <f ca="1"/>
        <v>#N/A</v>
      </c>
      <c r="LBF538" s="22" t="e">
        <f ca="1"/>
        <v>#N/A</v>
      </c>
      <c r="LBG538" s="22" t="e">
        <f ca="1"/>
        <v>#N/A</v>
      </c>
      <c r="LBH538" s="22" t="e">
        <f ca="1"/>
        <v>#N/A</v>
      </c>
      <c r="LBI538" s="22" t="e">
        <f ca="1"/>
        <v>#N/A</v>
      </c>
      <c r="LBJ538" s="22" t="e">
        <f ca="1"/>
        <v>#N/A</v>
      </c>
      <c r="LBK538" s="22" t="e">
        <f ca="1"/>
        <v>#N/A</v>
      </c>
      <c r="LBL538" s="22" t="e">
        <f ca="1"/>
        <v>#N/A</v>
      </c>
      <c r="LBM538" s="22" t="e">
        <f ca="1"/>
        <v>#N/A</v>
      </c>
      <c r="LBN538" s="22" t="e">
        <f ca="1"/>
        <v>#N/A</v>
      </c>
      <c r="LBO538" s="22" t="e">
        <f ca="1"/>
        <v>#N/A</v>
      </c>
      <c r="LBP538" s="22" t="e">
        <f ca="1"/>
        <v>#N/A</v>
      </c>
      <c r="LBQ538" s="22" t="e">
        <f ca="1"/>
        <v>#N/A</v>
      </c>
      <c r="LBR538" s="22" t="e">
        <f ca="1"/>
        <v>#N/A</v>
      </c>
      <c r="LBS538" s="22" t="e">
        <f ca="1"/>
        <v>#N/A</v>
      </c>
      <c r="LBT538" s="22" t="e">
        <f ca="1"/>
        <v>#N/A</v>
      </c>
      <c r="LBU538" s="22" t="e">
        <f ca="1"/>
        <v>#N/A</v>
      </c>
      <c r="LBV538" s="22" t="e">
        <f ca="1"/>
        <v>#N/A</v>
      </c>
      <c r="LBW538" s="22" t="e">
        <f ca="1"/>
        <v>#N/A</v>
      </c>
      <c r="LBX538" s="22" t="e">
        <f ca="1"/>
        <v>#N/A</v>
      </c>
      <c r="LBY538" s="22" t="e">
        <f ca="1"/>
        <v>#N/A</v>
      </c>
      <c r="LBZ538" s="22" t="e">
        <f ca="1"/>
        <v>#N/A</v>
      </c>
      <c r="LCA538" s="22" t="e">
        <f ca="1"/>
        <v>#N/A</v>
      </c>
      <c r="LCB538" s="22" t="e">
        <f ca="1"/>
        <v>#N/A</v>
      </c>
      <c r="LCC538" s="22" t="e">
        <f ca="1"/>
        <v>#N/A</v>
      </c>
      <c r="LCD538" s="22" t="e">
        <f ca="1"/>
        <v>#N/A</v>
      </c>
      <c r="LCE538" s="22" t="e">
        <f ca="1"/>
        <v>#N/A</v>
      </c>
      <c r="LCF538" s="22" t="e">
        <f ca="1"/>
        <v>#N/A</v>
      </c>
      <c r="LCG538" s="22" t="e">
        <f ca="1"/>
        <v>#N/A</v>
      </c>
      <c r="LCH538" s="22" t="e">
        <f ca="1"/>
        <v>#N/A</v>
      </c>
      <c r="LCI538" s="22" t="e">
        <f ca="1"/>
        <v>#N/A</v>
      </c>
      <c r="LCJ538" s="22" t="e">
        <f ca="1"/>
        <v>#N/A</v>
      </c>
      <c r="LCK538" s="22" t="e">
        <f ca="1"/>
        <v>#N/A</v>
      </c>
      <c r="LCL538" s="22" t="e">
        <f ca="1"/>
        <v>#N/A</v>
      </c>
      <c r="LCM538" s="22" t="e">
        <f ca="1"/>
        <v>#N/A</v>
      </c>
      <c r="LCN538" s="22" t="e">
        <f ca="1"/>
        <v>#N/A</v>
      </c>
      <c r="LCO538" s="22" t="e">
        <f ca="1"/>
        <v>#N/A</v>
      </c>
      <c r="LCP538" s="22" t="e">
        <f ca="1"/>
        <v>#N/A</v>
      </c>
      <c r="LCQ538" s="22" t="e">
        <f ca="1"/>
        <v>#N/A</v>
      </c>
      <c r="LCR538" s="22" t="e">
        <f ca="1"/>
        <v>#N/A</v>
      </c>
      <c r="LCS538" s="22" t="e">
        <f ca="1"/>
        <v>#N/A</v>
      </c>
      <c r="LCT538" s="22" t="e">
        <f ca="1"/>
        <v>#N/A</v>
      </c>
      <c r="LCU538" s="22" t="e">
        <f ca="1"/>
        <v>#N/A</v>
      </c>
      <c r="LCV538" s="22" t="e">
        <f ca="1"/>
        <v>#N/A</v>
      </c>
      <c r="LCW538" s="22" t="e">
        <f ca="1"/>
        <v>#N/A</v>
      </c>
      <c r="LCX538" s="22" t="e">
        <f ca="1"/>
        <v>#N/A</v>
      </c>
      <c r="LCY538" s="22" t="e">
        <f ca="1"/>
        <v>#N/A</v>
      </c>
      <c r="LCZ538" s="22" t="e">
        <f ca="1"/>
        <v>#N/A</v>
      </c>
      <c r="LDA538" s="22" t="e">
        <f ca="1"/>
        <v>#N/A</v>
      </c>
      <c r="LDB538" s="22" t="e">
        <f ca="1"/>
        <v>#N/A</v>
      </c>
      <c r="LDC538" s="22" t="e">
        <f ca="1"/>
        <v>#N/A</v>
      </c>
      <c r="LDD538" s="22" t="e">
        <f ca="1"/>
        <v>#N/A</v>
      </c>
      <c r="LDE538" s="22" t="e">
        <f ca="1"/>
        <v>#N/A</v>
      </c>
      <c r="LDF538" s="22" t="e">
        <f ca="1"/>
        <v>#N/A</v>
      </c>
      <c r="LDG538" s="22" t="e">
        <f ca="1"/>
        <v>#N/A</v>
      </c>
      <c r="LDH538" s="22" t="e">
        <f ca="1"/>
        <v>#N/A</v>
      </c>
      <c r="LDI538" s="22" t="e">
        <f ca="1"/>
        <v>#N/A</v>
      </c>
      <c r="LDJ538" s="22" t="e">
        <f ca="1"/>
        <v>#N/A</v>
      </c>
      <c r="LDK538" s="22" t="e">
        <f ca="1"/>
        <v>#N/A</v>
      </c>
      <c r="LDL538" s="22" t="e">
        <f ca="1"/>
        <v>#N/A</v>
      </c>
      <c r="LDM538" s="22" t="e">
        <f ca="1"/>
        <v>#N/A</v>
      </c>
      <c r="LDN538" s="22" t="e">
        <f ca="1"/>
        <v>#N/A</v>
      </c>
      <c r="LDO538" s="22" t="e">
        <f ca="1"/>
        <v>#N/A</v>
      </c>
      <c r="LDP538" s="22" t="e">
        <f ca="1"/>
        <v>#N/A</v>
      </c>
      <c r="LDQ538" s="22" t="e">
        <f ca="1"/>
        <v>#N/A</v>
      </c>
      <c r="LDR538" s="22" t="e">
        <f ca="1"/>
        <v>#N/A</v>
      </c>
      <c r="LDS538" s="22" t="e">
        <f ca="1"/>
        <v>#N/A</v>
      </c>
      <c r="LDT538" s="22" t="e">
        <f ca="1"/>
        <v>#N/A</v>
      </c>
      <c r="LDU538" s="22" t="e">
        <f ca="1"/>
        <v>#N/A</v>
      </c>
      <c r="LDV538" s="22" t="e">
        <f ca="1"/>
        <v>#N/A</v>
      </c>
      <c r="LDW538" s="22" t="e">
        <f ca="1"/>
        <v>#N/A</v>
      </c>
      <c r="LDX538" s="22" t="e">
        <f ca="1"/>
        <v>#N/A</v>
      </c>
      <c r="LDY538" s="22" t="e">
        <f ca="1"/>
        <v>#N/A</v>
      </c>
      <c r="LDZ538" s="22" t="e">
        <f ca="1"/>
        <v>#N/A</v>
      </c>
      <c r="LEA538" s="22" t="e">
        <f ca="1"/>
        <v>#N/A</v>
      </c>
      <c r="LEB538" s="22" t="e">
        <f ca="1"/>
        <v>#N/A</v>
      </c>
      <c r="LEC538" s="22" t="e">
        <f ca="1"/>
        <v>#N/A</v>
      </c>
      <c r="LED538" s="22" t="e">
        <f ca="1"/>
        <v>#N/A</v>
      </c>
      <c r="LEE538" s="22" t="e">
        <f ca="1"/>
        <v>#N/A</v>
      </c>
      <c r="LEF538" s="22" t="e">
        <f ca="1"/>
        <v>#N/A</v>
      </c>
      <c r="LEG538" s="22" t="e">
        <f ca="1"/>
        <v>#N/A</v>
      </c>
      <c r="LEH538" s="22" t="e">
        <f ca="1"/>
        <v>#N/A</v>
      </c>
      <c r="LEI538" s="22" t="e">
        <f ca="1"/>
        <v>#N/A</v>
      </c>
      <c r="LEJ538" s="22" t="e">
        <f ca="1"/>
        <v>#N/A</v>
      </c>
      <c r="LEK538" s="22" t="e">
        <f ca="1"/>
        <v>#N/A</v>
      </c>
      <c r="LEL538" s="22" t="e">
        <f ca="1"/>
        <v>#N/A</v>
      </c>
      <c r="LEM538" s="22" t="e">
        <f ca="1"/>
        <v>#N/A</v>
      </c>
      <c r="LEN538" s="22" t="e">
        <f ca="1"/>
        <v>#N/A</v>
      </c>
      <c r="LEO538" s="22" t="e">
        <f ca="1"/>
        <v>#N/A</v>
      </c>
      <c r="LEP538" s="22" t="e">
        <f ca="1"/>
        <v>#N/A</v>
      </c>
      <c r="LEQ538" s="22" t="e">
        <f ca="1"/>
        <v>#N/A</v>
      </c>
      <c r="LER538" s="22" t="e">
        <f ca="1"/>
        <v>#N/A</v>
      </c>
      <c r="LES538" s="22" t="e">
        <f ca="1"/>
        <v>#N/A</v>
      </c>
      <c r="LET538" s="22" t="e">
        <f ca="1"/>
        <v>#N/A</v>
      </c>
      <c r="LEU538" s="22" t="e">
        <f ca="1"/>
        <v>#N/A</v>
      </c>
      <c r="LEV538" s="22" t="e">
        <f ca="1"/>
        <v>#N/A</v>
      </c>
      <c r="LEW538" s="22" t="e">
        <f ca="1"/>
        <v>#N/A</v>
      </c>
      <c r="LEX538" s="22" t="e">
        <f ca="1"/>
        <v>#N/A</v>
      </c>
      <c r="LEY538" s="22" t="e">
        <f ca="1"/>
        <v>#N/A</v>
      </c>
      <c r="LEZ538" s="22" t="e">
        <f ca="1"/>
        <v>#N/A</v>
      </c>
      <c r="LFA538" s="22" t="e">
        <f ca="1"/>
        <v>#N/A</v>
      </c>
      <c r="LFB538" s="22" t="e">
        <f ca="1"/>
        <v>#N/A</v>
      </c>
      <c r="LFC538" s="22" t="e">
        <f ca="1"/>
        <v>#N/A</v>
      </c>
      <c r="LFD538" s="22" t="e">
        <f ca="1"/>
        <v>#N/A</v>
      </c>
      <c r="LFE538" s="22" t="e">
        <f ca="1"/>
        <v>#N/A</v>
      </c>
      <c r="LFF538" s="22" t="e">
        <f ca="1"/>
        <v>#N/A</v>
      </c>
      <c r="LFG538" s="22" t="e">
        <f ca="1"/>
        <v>#N/A</v>
      </c>
      <c r="LFH538" s="22" t="e">
        <f ca="1"/>
        <v>#N/A</v>
      </c>
      <c r="LFI538" s="22" t="e">
        <f ca="1"/>
        <v>#N/A</v>
      </c>
      <c r="LFJ538" s="22" t="e">
        <f ca="1"/>
        <v>#N/A</v>
      </c>
      <c r="LFK538" s="22" t="e">
        <f ca="1"/>
        <v>#N/A</v>
      </c>
      <c r="LFL538" s="22" t="e">
        <f ca="1"/>
        <v>#N/A</v>
      </c>
      <c r="LFM538" s="22" t="e">
        <f ca="1"/>
        <v>#N/A</v>
      </c>
      <c r="LFN538" s="22" t="e">
        <f ca="1"/>
        <v>#N/A</v>
      </c>
      <c r="LFO538" s="22" t="e">
        <f ca="1"/>
        <v>#N/A</v>
      </c>
      <c r="LFP538" s="22" t="e">
        <f ca="1"/>
        <v>#N/A</v>
      </c>
      <c r="LFQ538" s="22" t="e">
        <f ca="1"/>
        <v>#N/A</v>
      </c>
      <c r="LFR538" s="22" t="e">
        <f ca="1"/>
        <v>#N/A</v>
      </c>
      <c r="LFS538" s="22" t="e">
        <f ca="1"/>
        <v>#N/A</v>
      </c>
      <c r="LFT538" s="22" t="e">
        <f ca="1"/>
        <v>#N/A</v>
      </c>
      <c r="LFU538" s="22" t="e">
        <f ca="1"/>
        <v>#N/A</v>
      </c>
      <c r="LFV538" s="22" t="e">
        <f ca="1"/>
        <v>#N/A</v>
      </c>
      <c r="LFW538" s="22" t="e">
        <f ca="1"/>
        <v>#N/A</v>
      </c>
      <c r="LFX538" s="22" t="e">
        <f ca="1"/>
        <v>#N/A</v>
      </c>
      <c r="LFY538" s="22" t="e">
        <f ca="1"/>
        <v>#N/A</v>
      </c>
      <c r="LFZ538" s="22" t="e">
        <f ca="1"/>
        <v>#N/A</v>
      </c>
      <c r="LGA538" s="22" t="e">
        <f ca="1"/>
        <v>#N/A</v>
      </c>
      <c r="LGB538" s="22" t="e">
        <f ca="1"/>
        <v>#N/A</v>
      </c>
      <c r="LGC538" s="22" t="e">
        <f ca="1"/>
        <v>#N/A</v>
      </c>
      <c r="LGD538" s="22" t="e">
        <f ca="1"/>
        <v>#N/A</v>
      </c>
      <c r="LGE538" s="22" t="e">
        <f ca="1"/>
        <v>#N/A</v>
      </c>
      <c r="LGF538" s="22" t="e">
        <f ca="1"/>
        <v>#N/A</v>
      </c>
      <c r="LGG538" s="22" t="e">
        <f ca="1"/>
        <v>#N/A</v>
      </c>
      <c r="LGH538" s="22" t="e">
        <f ca="1"/>
        <v>#N/A</v>
      </c>
      <c r="LGI538" s="22" t="e">
        <f ca="1"/>
        <v>#N/A</v>
      </c>
      <c r="LGJ538" s="22" t="e">
        <f ca="1"/>
        <v>#N/A</v>
      </c>
      <c r="LGK538" s="22" t="e">
        <f ca="1"/>
        <v>#N/A</v>
      </c>
      <c r="LGL538" s="22" t="e">
        <f ca="1"/>
        <v>#N/A</v>
      </c>
      <c r="LGM538" s="22" t="e">
        <f ca="1"/>
        <v>#N/A</v>
      </c>
      <c r="LGN538" s="22" t="e">
        <f ca="1"/>
        <v>#N/A</v>
      </c>
      <c r="LGO538" s="22" t="e">
        <f ca="1"/>
        <v>#N/A</v>
      </c>
      <c r="LGP538" s="22" t="e">
        <f ca="1"/>
        <v>#N/A</v>
      </c>
      <c r="LGQ538" s="22" t="e">
        <f ca="1"/>
        <v>#N/A</v>
      </c>
      <c r="LGR538" s="22" t="e">
        <f ca="1"/>
        <v>#N/A</v>
      </c>
      <c r="LGS538" s="22" t="e">
        <f ca="1"/>
        <v>#N/A</v>
      </c>
      <c r="LGT538" s="22" t="e">
        <f ca="1"/>
        <v>#N/A</v>
      </c>
      <c r="LGU538" s="22" t="e">
        <f ca="1"/>
        <v>#N/A</v>
      </c>
      <c r="LGV538" s="22" t="e">
        <f ca="1"/>
        <v>#N/A</v>
      </c>
      <c r="LGW538" s="22" t="e">
        <f ca="1"/>
        <v>#N/A</v>
      </c>
      <c r="LGX538" s="22" t="e">
        <f ca="1"/>
        <v>#N/A</v>
      </c>
      <c r="LGY538" s="22" t="e">
        <f ca="1"/>
        <v>#N/A</v>
      </c>
      <c r="LGZ538" s="22" t="e">
        <f ca="1"/>
        <v>#N/A</v>
      </c>
      <c r="LHA538" s="22" t="e">
        <f ca="1"/>
        <v>#N/A</v>
      </c>
      <c r="LHB538" s="22" t="e">
        <f ca="1"/>
        <v>#N/A</v>
      </c>
      <c r="LHC538" s="22" t="e">
        <f ca="1"/>
        <v>#N/A</v>
      </c>
      <c r="LHD538" s="22" t="e">
        <f ca="1"/>
        <v>#N/A</v>
      </c>
      <c r="LHE538" s="22" t="e">
        <f ca="1"/>
        <v>#N/A</v>
      </c>
      <c r="LHF538" s="22" t="e">
        <f ca="1"/>
        <v>#N/A</v>
      </c>
      <c r="LHG538" s="22" t="e">
        <f ca="1"/>
        <v>#N/A</v>
      </c>
      <c r="LHH538" s="22" t="e">
        <f ca="1"/>
        <v>#N/A</v>
      </c>
      <c r="LHI538" s="22" t="e">
        <f ca="1"/>
        <v>#N/A</v>
      </c>
      <c r="LHJ538" s="22" t="e">
        <f ca="1"/>
        <v>#N/A</v>
      </c>
      <c r="LHK538" s="22" t="e">
        <f ca="1"/>
        <v>#N/A</v>
      </c>
      <c r="LHL538" s="22" t="e">
        <f ca="1"/>
        <v>#N/A</v>
      </c>
      <c r="LHM538" s="22" t="e">
        <f ca="1"/>
        <v>#N/A</v>
      </c>
      <c r="LHN538" s="22" t="e">
        <f ca="1"/>
        <v>#N/A</v>
      </c>
      <c r="LHO538" s="22" t="e">
        <f ca="1"/>
        <v>#N/A</v>
      </c>
      <c r="LHP538" s="22" t="e">
        <f ca="1"/>
        <v>#N/A</v>
      </c>
      <c r="LHQ538" s="22" t="e">
        <f ca="1"/>
        <v>#N/A</v>
      </c>
      <c r="LHR538" s="22" t="e">
        <f ca="1"/>
        <v>#N/A</v>
      </c>
      <c r="LHS538" s="22" t="e">
        <f ca="1"/>
        <v>#N/A</v>
      </c>
      <c r="LHT538" s="22" t="e">
        <f ca="1"/>
        <v>#N/A</v>
      </c>
      <c r="LHU538" s="22" t="e">
        <f ca="1"/>
        <v>#N/A</v>
      </c>
      <c r="LHV538" s="22" t="e">
        <f ca="1"/>
        <v>#N/A</v>
      </c>
      <c r="LHW538" s="22" t="e">
        <f ca="1"/>
        <v>#N/A</v>
      </c>
      <c r="LHX538" s="22" t="e">
        <f ca="1"/>
        <v>#N/A</v>
      </c>
      <c r="LHY538" s="22" t="e">
        <f ca="1"/>
        <v>#N/A</v>
      </c>
      <c r="LHZ538" s="22" t="e">
        <f ca="1"/>
        <v>#N/A</v>
      </c>
      <c r="LIA538" s="22" t="e">
        <f ca="1"/>
        <v>#N/A</v>
      </c>
      <c r="LIB538" s="22" t="e">
        <f ca="1"/>
        <v>#N/A</v>
      </c>
      <c r="LIC538" s="22" t="e">
        <f ca="1"/>
        <v>#N/A</v>
      </c>
      <c r="LID538" s="22" t="e">
        <f ca="1"/>
        <v>#N/A</v>
      </c>
      <c r="LIE538" s="22" t="e">
        <f ca="1"/>
        <v>#N/A</v>
      </c>
      <c r="LIF538" s="22" t="e">
        <f ca="1"/>
        <v>#N/A</v>
      </c>
      <c r="LIG538" s="22" t="e">
        <f ca="1"/>
        <v>#N/A</v>
      </c>
      <c r="LIH538" s="22" t="e">
        <f ca="1"/>
        <v>#N/A</v>
      </c>
      <c r="LII538" s="22" t="e">
        <f ca="1"/>
        <v>#N/A</v>
      </c>
      <c r="LIJ538" s="22" t="e">
        <f ca="1"/>
        <v>#N/A</v>
      </c>
      <c r="LIK538" s="22" t="e">
        <f ca="1"/>
        <v>#N/A</v>
      </c>
      <c r="LIL538" s="22" t="e">
        <f ca="1"/>
        <v>#N/A</v>
      </c>
      <c r="LIM538" s="22" t="e">
        <f ca="1"/>
        <v>#N/A</v>
      </c>
      <c r="LIN538" s="22" t="e">
        <f ca="1"/>
        <v>#N/A</v>
      </c>
      <c r="LIO538" s="22" t="e">
        <f ca="1"/>
        <v>#N/A</v>
      </c>
      <c r="LIP538" s="22" t="e">
        <f ca="1"/>
        <v>#N/A</v>
      </c>
      <c r="LIQ538" s="22" t="e">
        <f ca="1"/>
        <v>#N/A</v>
      </c>
      <c r="LIR538" s="22" t="e">
        <f ca="1"/>
        <v>#N/A</v>
      </c>
      <c r="LIS538" s="22" t="e">
        <f ca="1"/>
        <v>#N/A</v>
      </c>
      <c r="LIT538" s="22" t="e">
        <f ca="1"/>
        <v>#N/A</v>
      </c>
      <c r="LIU538" s="22" t="e">
        <f ca="1"/>
        <v>#N/A</v>
      </c>
      <c r="LIV538" s="22" t="e">
        <f ca="1"/>
        <v>#N/A</v>
      </c>
      <c r="LIW538" s="22" t="e">
        <f ca="1"/>
        <v>#N/A</v>
      </c>
      <c r="LIX538" s="22" t="e">
        <f ca="1"/>
        <v>#N/A</v>
      </c>
      <c r="LIY538" s="22" t="e">
        <f ca="1"/>
        <v>#N/A</v>
      </c>
      <c r="LIZ538" s="22" t="e">
        <f ca="1"/>
        <v>#N/A</v>
      </c>
      <c r="LJA538" s="22" t="e">
        <f ca="1"/>
        <v>#N/A</v>
      </c>
      <c r="LJB538" s="22" t="e">
        <f ca="1"/>
        <v>#N/A</v>
      </c>
      <c r="LJC538" s="22" t="e">
        <f ca="1"/>
        <v>#N/A</v>
      </c>
      <c r="LJD538" s="22" t="e">
        <f ca="1"/>
        <v>#N/A</v>
      </c>
      <c r="LJE538" s="22" t="e">
        <f ca="1"/>
        <v>#N/A</v>
      </c>
      <c r="LJF538" s="22" t="e">
        <f ca="1"/>
        <v>#N/A</v>
      </c>
      <c r="LJG538" s="22" t="e">
        <f ca="1"/>
        <v>#N/A</v>
      </c>
      <c r="LJH538" s="22" t="e">
        <f ca="1"/>
        <v>#N/A</v>
      </c>
      <c r="LJI538" s="22" t="e">
        <f ca="1"/>
        <v>#N/A</v>
      </c>
      <c r="LJJ538" s="22" t="e">
        <f ca="1"/>
        <v>#N/A</v>
      </c>
      <c r="LJK538" s="22" t="e">
        <f ca="1"/>
        <v>#N/A</v>
      </c>
      <c r="LJL538" s="22" t="e">
        <f ca="1"/>
        <v>#N/A</v>
      </c>
      <c r="LJM538" s="22" t="e">
        <f ca="1"/>
        <v>#N/A</v>
      </c>
      <c r="LJN538" s="22" t="e">
        <f ca="1"/>
        <v>#N/A</v>
      </c>
      <c r="LJO538" s="22" t="e">
        <f ca="1"/>
        <v>#N/A</v>
      </c>
      <c r="LJP538" s="22" t="e">
        <f ca="1"/>
        <v>#N/A</v>
      </c>
      <c r="LJQ538" s="22" t="e">
        <f ca="1"/>
        <v>#N/A</v>
      </c>
      <c r="LJR538" s="22" t="e">
        <f ca="1"/>
        <v>#N/A</v>
      </c>
      <c r="LJS538" s="22" t="e">
        <f ca="1"/>
        <v>#N/A</v>
      </c>
      <c r="LJT538" s="22" t="e">
        <f ca="1"/>
        <v>#N/A</v>
      </c>
      <c r="LJU538" s="22" t="e">
        <f ca="1"/>
        <v>#N/A</v>
      </c>
      <c r="LJV538" s="22" t="e">
        <f ca="1"/>
        <v>#N/A</v>
      </c>
      <c r="LJW538" s="22" t="e">
        <f ca="1"/>
        <v>#N/A</v>
      </c>
      <c r="LJX538" s="22" t="e">
        <f ca="1"/>
        <v>#N/A</v>
      </c>
      <c r="LJY538" s="22" t="e">
        <f ca="1"/>
        <v>#N/A</v>
      </c>
      <c r="LJZ538" s="22" t="e">
        <f ca="1"/>
        <v>#N/A</v>
      </c>
      <c r="LKA538" s="22" t="e">
        <f ca="1"/>
        <v>#N/A</v>
      </c>
      <c r="LKB538" s="22" t="e">
        <f ca="1"/>
        <v>#N/A</v>
      </c>
      <c r="LKC538" s="22" t="e">
        <f ca="1"/>
        <v>#N/A</v>
      </c>
      <c r="LKD538" s="22" t="e">
        <f ca="1"/>
        <v>#N/A</v>
      </c>
      <c r="LKE538" s="22" t="e">
        <f ca="1"/>
        <v>#N/A</v>
      </c>
      <c r="LKF538" s="22" t="e">
        <f ca="1"/>
        <v>#N/A</v>
      </c>
      <c r="LKG538" s="22" t="e">
        <f ca="1"/>
        <v>#N/A</v>
      </c>
      <c r="LKH538" s="22" t="e">
        <f ca="1"/>
        <v>#N/A</v>
      </c>
      <c r="LKI538" s="22" t="e">
        <f ca="1"/>
        <v>#N/A</v>
      </c>
      <c r="LKJ538" s="22" t="e">
        <f ca="1"/>
        <v>#N/A</v>
      </c>
      <c r="LKK538" s="22" t="e">
        <f ca="1"/>
        <v>#N/A</v>
      </c>
      <c r="LKL538" s="22" t="e">
        <f ca="1"/>
        <v>#N/A</v>
      </c>
      <c r="LKM538" s="22" t="e">
        <f ca="1"/>
        <v>#N/A</v>
      </c>
      <c r="LKN538" s="22" t="e">
        <f ca="1"/>
        <v>#N/A</v>
      </c>
      <c r="LKO538" s="22" t="e">
        <f ca="1"/>
        <v>#N/A</v>
      </c>
      <c r="LKP538" s="22" t="e">
        <f ca="1"/>
        <v>#N/A</v>
      </c>
      <c r="LKQ538" s="22" t="e">
        <f ca="1"/>
        <v>#N/A</v>
      </c>
      <c r="LKR538" s="22" t="e">
        <f ca="1"/>
        <v>#N/A</v>
      </c>
      <c r="LKS538" s="22" t="e">
        <f ca="1"/>
        <v>#N/A</v>
      </c>
      <c r="LKT538" s="22" t="e">
        <f ca="1"/>
        <v>#N/A</v>
      </c>
      <c r="LKU538" s="22" t="e">
        <f ca="1"/>
        <v>#N/A</v>
      </c>
      <c r="LKV538" s="22" t="e">
        <f ca="1"/>
        <v>#N/A</v>
      </c>
      <c r="LKW538" s="22" t="e">
        <f ca="1"/>
        <v>#N/A</v>
      </c>
      <c r="LKX538" s="22" t="e">
        <f ca="1"/>
        <v>#N/A</v>
      </c>
      <c r="LKY538" s="22" t="e">
        <f ca="1"/>
        <v>#N/A</v>
      </c>
      <c r="LKZ538" s="22" t="e">
        <f ca="1"/>
        <v>#N/A</v>
      </c>
      <c r="LLA538" s="22" t="e">
        <f ca="1"/>
        <v>#N/A</v>
      </c>
      <c r="LLB538" s="22" t="e">
        <f ca="1"/>
        <v>#N/A</v>
      </c>
      <c r="LLC538" s="22" t="e">
        <f ca="1"/>
        <v>#N/A</v>
      </c>
      <c r="LLD538" s="22" t="e">
        <f ca="1"/>
        <v>#N/A</v>
      </c>
      <c r="LLE538" s="22" t="e">
        <f ca="1"/>
        <v>#N/A</v>
      </c>
      <c r="LLF538" s="22" t="e">
        <f ca="1"/>
        <v>#N/A</v>
      </c>
      <c r="LLG538" s="22" t="e">
        <f ca="1"/>
        <v>#N/A</v>
      </c>
      <c r="LLH538" s="22" t="e">
        <f ca="1"/>
        <v>#N/A</v>
      </c>
      <c r="LLI538" s="22" t="e">
        <f ca="1"/>
        <v>#N/A</v>
      </c>
      <c r="LLJ538" s="22" t="e">
        <f ca="1"/>
        <v>#N/A</v>
      </c>
      <c r="LLK538" s="22" t="e">
        <f ca="1"/>
        <v>#N/A</v>
      </c>
      <c r="LLL538" s="22" t="e">
        <f ca="1"/>
        <v>#N/A</v>
      </c>
      <c r="LLM538" s="22" t="e">
        <f ca="1"/>
        <v>#N/A</v>
      </c>
      <c r="LLN538" s="22" t="e">
        <f ca="1"/>
        <v>#N/A</v>
      </c>
      <c r="LLO538" s="22" t="e">
        <f ca="1"/>
        <v>#N/A</v>
      </c>
      <c r="LLP538" s="22" t="e">
        <f ca="1"/>
        <v>#N/A</v>
      </c>
      <c r="LLQ538" s="22" t="e">
        <f ca="1"/>
        <v>#N/A</v>
      </c>
      <c r="LLR538" s="22" t="e">
        <f ca="1"/>
        <v>#N/A</v>
      </c>
      <c r="LLS538" s="22" t="e">
        <f ca="1"/>
        <v>#N/A</v>
      </c>
      <c r="LLT538" s="22" t="e">
        <f ca="1"/>
        <v>#N/A</v>
      </c>
      <c r="LLU538" s="22" t="e">
        <f ca="1"/>
        <v>#N/A</v>
      </c>
      <c r="LLV538" s="22" t="e">
        <f ca="1"/>
        <v>#N/A</v>
      </c>
      <c r="LLW538" s="22" t="e">
        <f ca="1"/>
        <v>#N/A</v>
      </c>
      <c r="LLX538" s="22" t="e">
        <f ca="1"/>
        <v>#N/A</v>
      </c>
      <c r="LLY538" s="22" t="e">
        <f ca="1"/>
        <v>#N/A</v>
      </c>
      <c r="LLZ538" s="22" t="e">
        <f ca="1"/>
        <v>#N/A</v>
      </c>
      <c r="LMA538" s="22" t="e">
        <f ca="1"/>
        <v>#N/A</v>
      </c>
      <c r="LMB538" s="22" t="e">
        <f ca="1"/>
        <v>#N/A</v>
      </c>
      <c r="LMC538" s="22" t="e">
        <f ca="1"/>
        <v>#N/A</v>
      </c>
      <c r="LMD538" s="22" t="e">
        <f ca="1"/>
        <v>#N/A</v>
      </c>
      <c r="LME538" s="22" t="e">
        <f ca="1"/>
        <v>#N/A</v>
      </c>
      <c r="LMF538" s="22" t="e">
        <f ca="1"/>
        <v>#N/A</v>
      </c>
      <c r="LMG538" s="22" t="e">
        <f ca="1"/>
        <v>#N/A</v>
      </c>
      <c r="LMH538" s="22" t="e">
        <f ca="1"/>
        <v>#N/A</v>
      </c>
      <c r="LMI538" s="22" t="e">
        <f ca="1"/>
        <v>#N/A</v>
      </c>
      <c r="LMJ538" s="22" t="e">
        <f ca="1"/>
        <v>#N/A</v>
      </c>
      <c r="LMK538" s="22" t="e">
        <f ca="1"/>
        <v>#N/A</v>
      </c>
      <c r="LML538" s="22" t="e">
        <f ca="1"/>
        <v>#N/A</v>
      </c>
      <c r="LMM538" s="22" t="e">
        <f ca="1"/>
        <v>#N/A</v>
      </c>
      <c r="LMN538" s="22" t="e">
        <f ca="1"/>
        <v>#N/A</v>
      </c>
      <c r="LMO538" s="22" t="e">
        <f ca="1"/>
        <v>#N/A</v>
      </c>
      <c r="LMP538" s="22" t="e">
        <f ca="1"/>
        <v>#N/A</v>
      </c>
      <c r="LMQ538" s="22" t="e">
        <f ca="1"/>
        <v>#N/A</v>
      </c>
      <c r="LMR538" s="22" t="e">
        <f ca="1"/>
        <v>#N/A</v>
      </c>
      <c r="LMS538" s="22" t="e">
        <f ca="1"/>
        <v>#N/A</v>
      </c>
      <c r="LMT538" s="22" t="e">
        <f ca="1"/>
        <v>#N/A</v>
      </c>
      <c r="LMU538" s="22" t="e">
        <f ca="1"/>
        <v>#N/A</v>
      </c>
      <c r="LMV538" s="22" t="e">
        <f ca="1"/>
        <v>#N/A</v>
      </c>
      <c r="LMW538" s="22" t="e">
        <f ca="1"/>
        <v>#N/A</v>
      </c>
      <c r="LMX538" s="22" t="e">
        <f ca="1"/>
        <v>#N/A</v>
      </c>
      <c r="LMY538" s="22" t="e">
        <f ca="1"/>
        <v>#N/A</v>
      </c>
      <c r="LMZ538" s="22" t="e">
        <f ca="1"/>
        <v>#N/A</v>
      </c>
      <c r="LNA538" s="22" t="e">
        <f ca="1"/>
        <v>#N/A</v>
      </c>
      <c r="LNB538" s="22" t="e">
        <f ca="1"/>
        <v>#N/A</v>
      </c>
      <c r="LNC538" s="22" t="e">
        <f ca="1"/>
        <v>#N/A</v>
      </c>
      <c r="LND538" s="22" t="e">
        <f ca="1"/>
        <v>#N/A</v>
      </c>
      <c r="LNE538" s="22" t="e">
        <f ca="1"/>
        <v>#N/A</v>
      </c>
      <c r="LNF538" s="22" t="e">
        <f ca="1"/>
        <v>#N/A</v>
      </c>
      <c r="LNG538" s="22" t="e">
        <f ca="1"/>
        <v>#N/A</v>
      </c>
      <c r="LNH538" s="22" t="e">
        <f ca="1"/>
        <v>#N/A</v>
      </c>
      <c r="LNI538" s="22" t="e">
        <f ca="1"/>
        <v>#N/A</v>
      </c>
      <c r="LNJ538" s="22" t="e">
        <f ca="1"/>
        <v>#N/A</v>
      </c>
      <c r="LNK538" s="22" t="e">
        <f ca="1"/>
        <v>#N/A</v>
      </c>
      <c r="LNL538" s="22" t="e">
        <f ca="1"/>
        <v>#N/A</v>
      </c>
      <c r="LNM538" s="22" t="e">
        <f ca="1"/>
        <v>#N/A</v>
      </c>
      <c r="LNN538" s="22" t="e">
        <f ca="1"/>
        <v>#N/A</v>
      </c>
      <c r="LNO538" s="22" t="e">
        <f ca="1"/>
        <v>#N/A</v>
      </c>
      <c r="LNP538" s="22" t="e">
        <f ca="1"/>
        <v>#N/A</v>
      </c>
      <c r="LNQ538" s="22" t="e">
        <f ca="1"/>
        <v>#N/A</v>
      </c>
      <c r="LNR538" s="22" t="e">
        <f ca="1"/>
        <v>#N/A</v>
      </c>
      <c r="LNS538" s="22" t="e">
        <f ca="1"/>
        <v>#N/A</v>
      </c>
      <c r="LNT538" s="22" t="e">
        <f ca="1"/>
        <v>#N/A</v>
      </c>
      <c r="LNU538" s="22" t="e">
        <f ca="1"/>
        <v>#N/A</v>
      </c>
      <c r="LNV538" s="22" t="e">
        <f ca="1"/>
        <v>#N/A</v>
      </c>
      <c r="LNW538" s="22" t="e">
        <f ca="1"/>
        <v>#N/A</v>
      </c>
      <c r="LNX538" s="22" t="e">
        <f ca="1"/>
        <v>#N/A</v>
      </c>
      <c r="LNY538" s="22" t="e">
        <f ca="1"/>
        <v>#N/A</v>
      </c>
      <c r="LNZ538" s="22" t="e">
        <f ca="1"/>
        <v>#N/A</v>
      </c>
      <c r="LOA538" s="22" t="e">
        <f ca="1"/>
        <v>#N/A</v>
      </c>
      <c r="LOB538" s="22" t="e">
        <f ca="1"/>
        <v>#N/A</v>
      </c>
      <c r="LOC538" s="22" t="e">
        <f ca="1"/>
        <v>#N/A</v>
      </c>
      <c r="LOD538" s="22" t="e">
        <f ca="1"/>
        <v>#N/A</v>
      </c>
      <c r="LOE538" s="22" t="e">
        <f ca="1"/>
        <v>#N/A</v>
      </c>
      <c r="LOF538" s="22" t="e">
        <f ca="1"/>
        <v>#N/A</v>
      </c>
      <c r="LOG538" s="22" t="e">
        <f ca="1"/>
        <v>#N/A</v>
      </c>
      <c r="LOH538" s="22" t="e">
        <f ca="1"/>
        <v>#N/A</v>
      </c>
      <c r="LOI538" s="22" t="e">
        <f ca="1"/>
        <v>#N/A</v>
      </c>
      <c r="LOJ538" s="22" t="e">
        <f ca="1"/>
        <v>#N/A</v>
      </c>
      <c r="LOK538" s="22" t="e">
        <f ca="1"/>
        <v>#N/A</v>
      </c>
      <c r="LOL538" s="22" t="e">
        <f ca="1"/>
        <v>#N/A</v>
      </c>
      <c r="LOM538" s="22" t="e">
        <f ca="1"/>
        <v>#N/A</v>
      </c>
      <c r="LON538" s="22" t="e">
        <f ca="1"/>
        <v>#N/A</v>
      </c>
      <c r="LOO538" s="22" t="e">
        <f ca="1"/>
        <v>#N/A</v>
      </c>
      <c r="LOP538" s="22" t="e">
        <f ca="1"/>
        <v>#N/A</v>
      </c>
      <c r="LOQ538" s="22" t="e">
        <f ca="1"/>
        <v>#N/A</v>
      </c>
      <c r="LOR538" s="22" t="e">
        <f ca="1"/>
        <v>#N/A</v>
      </c>
      <c r="LOS538" s="22" t="e">
        <f ca="1"/>
        <v>#N/A</v>
      </c>
      <c r="LOT538" s="22" t="e">
        <f ca="1"/>
        <v>#N/A</v>
      </c>
      <c r="LOU538" s="22" t="e">
        <f ca="1"/>
        <v>#N/A</v>
      </c>
      <c r="LOV538" s="22" t="e">
        <f ca="1"/>
        <v>#N/A</v>
      </c>
      <c r="LOW538" s="22" t="e">
        <f ca="1"/>
        <v>#N/A</v>
      </c>
      <c r="LOX538" s="22" t="e">
        <f ca="1"/>
        <v>#N/A</v>
      </c>
      <c r="LOY538" s="22" t="e">
        <f ca="1"/>
        <v>#N/A</v>
      </c>
      <c r="LOZ538" s="22" t="e">
        <f ca="1"/>
        <v>#N/A</v>
      </c>
      <c r="LPA538" s="22" t="e">
        <f ca="1"/>
        <v>#N/A</v>
      </c>
      <c r="LPB538" s="22" t="e">
        <f ca="1"/>
        <v>#N/A</v>
      </c>
      <c r="LPC538" s="22" t="e">
        <f ca="1"/>
        <v>#N/A</v>
      </c>
      <c r="LPD538" s="22" t="e">
        <f ca="1"/>
        <v>#N/A</v>
      </c>
      <c r="LPE538" s="22" t="e">
        <f ca="1"/>
        <v>#N/A</v>
      </c>
      <c r="LPF538" s="22" t="e">
        <f ca="1"/>
        <v>#N/A</v>
      </c>
      <c r="LPG538" s="22" t="e">
        <f ca="1"/>
        <v>#N/A</v>
      </c>
      <c r="LPH538" s="22" t="e">
        <f ca="1"/>
        <v>#N/A</v>
      </c>
      <c r="LPI538" s="22" t="e">
        <f ca="1"/>
        <v>#N/A</v>
      </c>
      <c r="LPJ538" s="22" t="e">
        <f ca="1"/>
        <v>#N/A</v>
      </c>
      <c r="LPK538" s="22" t="e">
        <f ca="1"/>
        <v>#N/A</v>
      </c>
      <c r="LPL538" s="22" t="e">
        <f ca="1"/>
        <v>#N/A</v>
      </c>
      <c r="LPM538" s="22" t="e">
        <f ca="1"/>
        <v>#N/A</v>
      </c>
      <c r="LPN538" s="22" t="e">
        <f ca="1"/>
        <v>#N/A</v>
      </c>
      <c r="LPO538" s="22" t="e">
        <f ca="1"/>
        <v>#N/A</v>
      </c>
      <c r="LPP538" s="22" t="e">
        <f ca="1"/>
        <v>#N/A</v>
      </c>
      <c r="LPQ538" s="22" t="e">
        <f ca="1"/>
        <v>#N/A</v>
      </c>
      <c r="LPR538" s="22" t="e">
        <f ca="1"/>
        <v>#N/A</v>
      </c>
      <c r="LPS538" s="22" t="e">
        <f ca="1"/>
        <v>#N/A</v>
      </c>
      <c r="LPT538" s="22" t="e">
        <f ca="1"/>
        <v>#N/A</v>
      </c>
      <c r="LPU538" s="22" t="e">
        <f ca="1"/>
        <v>#N/A</v>
      </c>
      <c r="LPV538" s="22" t="e">
        <f ca="1"/>
        <v>#N/A</v>
      </c>
      <c r="LPW538" s="22" t="e">
        <f ca="1"/>
        <v>#N/A</v>
      </c>
      <c r="LPX538" s="22" t="e">
        <f ca="1"/>
        <v>#N/A</v>
      </c>
      <c r="LPY538" s="22" t="e">
        <f ca="1"/>
        <v>#N/A</v>
      </c>
      <c r="LPZ538" s="22" t="e">
        <f ca="1"/>
        <v>#N/A</v>
      </c>
      <c r="LQA538" s="22" t="e">
        <f ca="1"/>
        <v>#N/A</v>
      </c>
      <c r="LQB538" s="22" t="e">
        <f ca="1"/>
        <v>#N/A</v>
      </c>
      <c r="LQC538" s="22" t="e">
        <f ca="1"/>
        <v>#N/A</v>
      </c>
      <c r="LQD538" s="22" t="e">
        <f ca="1"/>
        <v>#N/A</v>
      </c>
      <c r="LQE538" s="22" t="e">
        <f ca="1"/>
        <v>#N/A</v>
      </c>
      <c r="LQF538" s="22" t="e">
        <f ca="1"/>
        <v>#N/A</v>
      </c>
      <c r="LQG538" s="22" t="e">
        <f ca="1"/>
        <v>#N/A</v>
      </c>
      <c r="LQH538" s="22" t="e">
        <f ca="1"/>
        <v>#N/A</v>
      </c>
      <c r="LQI538" s="22" t="e">
        <f ca="1"/>
        <v>#N/A</v>
      </c>
      <c r="LQJ538" s="22" t="e">
        <f ca="1"/>
        <v>#N/A</v>
      </c>
      <c r="LQK538" s="22" t="e">
        <f ca="1"/>
        <v>#N/A</v>
      </c>
      <c r="LQL538" s="22" t="e">
        <f ca="1"/>
        <v>#N/A</v>
      </c>
      <c r="LQM538" s="22" t="e">
        <f ca="1"/>
        <v>#N/A</v>
      </c>
      <c r="LQN538" s="22" t="e">
        <f ca="1"/>
        <v>#N/A</v>
      </c>
      <c r="LQO538" s="22" t="e">
        <f ca="1"/>
        <v>#N/A</v>
      </c>
      <c r="LQP538" s="22" t="e">
        <f ca="1"/>
        <v>#N/A</v>
      </c>
      <c r="LQQ538" s="22" t="e">
        <f ca="1"/>
        <v>#N/A</v>
      </c>
      <c r="LQR538" s="22" t="e">
        <f ca="1"/>
        <v>#N/A</v>
      </c>
      <c r="LQS538" s="22" t="e">
        <f ca="1"/>
        <v>#N/A</v>
      </c>
      <c r="LQT538" s="22" t="e">
        <f ca="1"/>
        <v>#N/A</v>
      </c>
      <c r="LQU538" s="22" t="e">
        <f ca="1"/>
        <v>#N/A</v>
      </c>
      <c r="LQV538" s="22" t="e">
        <f ca="1"/>
        <v>#N/A</v>
      </c>
      <c r="LQW538" s="22" t="e">
        <f ca="1"/>
        <v>#N/A</v>
      </c>
      <c r="LQX538" s="22" t="e">
        <f ca="1"/>
        <v>#N/A</v>
      </c>
      <c r="LQY538" s="22" t="e">
        <f ca="1"/>
        <v>#N/A</v>
      </c>
      <c r="LQZ538" s="22" t="e">
        <f ca="1"/>
        <v>#N/A</v>
      </c>
      <c r="LRA538" s="22" t="e">
        <f ca="1"/>
        <v>#N/A</v>
      </c>
      <c r="LRB538" s="22" t="e">
        <f ca="1"/>
        <v>#N/A</v>
      </c>
      <c r="LRC538" s="22" t="e">
        <f ca="1"/>
        <v>#N/A</v>
      </c>
      <c r="LRD538" s="22" t="e">
        <f ca="1"/>
        <v>#N/A</v>
      </c>
      <c r="LRE538" s="22" t="e">
        <f ca="1"/>
        <v>#N/A</v>
      </c>
      <c r="LRF538" s="22" t="e">
        <f ca="1"/>
        <v>#N/A</v>
      </c>
      <c r="LRG538" s="22" t="e">
        <f ca="1"/>
        <v>#N/A</v>
      </c>
      <c r="LRH538" s="22" t="e">
        <f ca="1"/>
        <v>#N/A</v>
      </c>
      <c r="LRI538" s="22" t="e">
        <f ca="1"/>
        <v>#N/A</v>
      </c>
      <c r="LRJ538" s="22" t="e">
        <f ca="1"/>
        <v>#N/A</v>
      </c>
      <c r="LRK538" s="22" t="e">
        <f ca="1"/>
        <v>#N/A</v>
      </c>
      <c r="LRL538" s="22" t="e">
        <f ca="1"/>
        <v>#N/A</v>
      </c>
      <c r="LRM538" s="22" t="e">
        <f ca="1"/>
        <v>#N/A</v>
      </c>
      <c r="LRN538" s="22" t="e">
        <f ca="1"/>
        <v>#N/A</v>
      </c>
      <c r="LRO538" s="22" t="e">
        <f ca="1"/>
        <v>#N/A</v>
      </c>
      <c r="LRP538" s="22" t="e">
        <f ca="1"/>
        <v>#N/A</v>
      </c>
      <c r="LRQ538" s="22" t="e">
        <f ca="1"/>
        <v>#N/A</v>
      </c>
      <c r="LRR538" s="22" t="e">
        <f ca="1"/>
        <v>#N/A</v>
      </c>
      <c r="LRS538" s="22" t="e">
        <f ca="1"/>
        <v>#N/A</v>
      </c>
      <c r="LRT538" s="22" t="e">
        <f ca="1"/>
        <v>#N/A</v>
      </c>
      <c r="LRU538" s="22" t="e">
        <f ca="1"/>
        <v>#N/A</v>
      </c>
      <c r="LRV538" s="22" t="e">
        <f ca="1"/>
        <v>#N/A</v>
      </c>
      <c r="LRW538" s="22" t="e">
        <f ca="1"/>
        <v>#N/A</v>
      </c>
      <c r="LRX538" s="22" t="e">
        <f ca="1"/>
        <v>#N/A</v>
      </c>
      <c r="LRY538" s="22" t="e">
        <f ca="1"/>
        <v>#N/A</v>
      </c>
      <c r="LRZ538" s="22" t="e">
        <f ca="1"/>
        <v>#N/A</v>
      </c>
      <c r="LSA538" s="22" t="e">
        <f ca="1"/>
        <v>#N/A</v>
      </c>
      <c r="LSB538" s="22" t="e">
        <f ca="1"/>
        <v>#N/A</v>
      </c>
      <c r="LSC538" s="22" t="e">
        <f ca="1"/>
        <v>#N/A</v>
      </c>
      <c r="LSD538" s="22" t="e">
        <f ca="1"/>
        <v>#N/A</v>
      </c>
      <c r="LSE538" s="22" t="e">
        <f ca="1"/>
        <v>#N/A</v>
      </c>
      <c r="LSF538" s="22" t="e">
        <f ca="1"/>
        <v>#N/A</v>
      </c>
      <c r="LSG538" s="22" t="e">
        <f ca="1"/>
        <v>#N/A</v>
      </c>
      <c r="LSH538" s="22" t="e">
        <f ca="1"/>
        <v>#N/A</v>
      </c>
      <c r="LSI538" s="22" t="e">
        <f ca="1"/>
        <v>#N/A</v>
      </c>
      <c r="LSJ538" s="22" t="e">
        <f ca="1"/>
        <v>#N/A</v>
      </c>
      <c r="LSK538" s="22" t="e">
        <f ca="1"/>
        <v>#N/A</v>
      </c>
      <c r="LSL538" s="22" t="e">
        <f ca="1"/>
        <v>#N/A</v>
      </c>
      <c r="LSM538" s="22" t="e">
        <f ca="1"/>
        <v>#N/A</v>
      </c>
      <c r="LSN538" s="22" t="e">
        <f ca="1"/>
        <v>#N/A</v>
      </c>
      <c r="LSO538" s="22" t="e">
        <f ca="1"/>
        <v>#N/A</v>
      </c>
      <c r="LSP538" s="22" t="e">
        <f ca="1"/>
        <v>#N/A</v>
      </c>
      <c r="LSQ538" s="22" t="e">
        <f ca="1"/>
        <v>#N/A</v>
      </c>
      <c r="LSR538" s="22" t="e">
        <f ca="1"/>
        <v>#N/A</v>
      </c>
      <c r="LSS538" s="22" t="e">
        <f ca="1"/>
        <v>#N/A</v>
      </c>
      <c r="LST538" s="22" t="e">
        <f ca="1"/>
        <v>#N/A</v>
      </c>
      <c r="LSU538" s="22" t="e">
        <f ca="1"/>
        <v>#N/A</v>
      </c>
      <c r="LSV538" s="22" t="e">
        <f ca="1"/>
        <v>#N/A</v>
      </c>
      <c r="LSW538" s="22" t="e">
        <f ca="1"/>
        <v>#N/A</v>
      </c>
      <c r="LSX538" s="22" t="e">
        <f ca="1"/>
        <v>#N/A</v>
      </c>
      <c r="LSY538" s="22" t="e">
        <f ca="1"/>
        <v>#N/A</v>
      </c>
      <c r="LSZ538" s="22" t="e">
        <f ca="1"/>
        <v>#N/A</v>
      </c>
      <c r="LTA538" s="22" t="e">
        <f ca="1"/>
        <v>#N/A</v>
      </c>
      <c r="LTB538" s="22" t="e">
        <f ca="1"/>
        <v>#N/A</v>
      </c>
      <c r="LTC538" s="22" t="e">
        <f ca="1"/>
        <v>#N/A</v>
      </c>
      <c r="LTD538" s="22" t="e">
        <f ca="1"/>
        <v>#N/A</v>
      </c>
      <c r="LTE538" s="22" t="e">
        <f ca="1"/>
        <v>#N/A</v>
      </c>
      <c r="LTF538" s="22" t="e">
        <f ca="1"/>
        <v>#N/A</v>
      </c>
      <c r="LTG538" s="22" t="e">
        <f ca="1"/>
        <v>#N/A</v>
      </c>
      <c r="LTH538" s="22" t="e">
        <f ca="1"/>
        <v>#N/A</v>
      </c>
      <c r="LTI538" s="22" t="e">
        <f ca="1"/>
        <v>#N/A</v>
      </c>
      <c r="LTJ538" s="22" t="e">
        <f ca="1"/>
        <v>#N/A</v>
      </c>
      <c r="LTK538" s="22" t="e">
        <f ca="1"/>
        <v>#N/A</v>
      </c>
      <c r="LTL538" s="22" t="e">
        <f ca="1"/>
        <v>#N/A</v>
      </c>
      <c r="LTM538" s="22" t="e">
        <f ca="1"/>
        <v>#N/A</v>
      </c>
      <c r="LTN538" s="22" t="e">
        <f ca="1"/>
        <v>#N/A</v>
      </c>
      <c r="LTO538" s="22" t="e">
        <f ca="1"/>
        <v>#N/A</v>
      </c>
      <c r="LTP538" s="22" t="e">
        <f ca="1"/>
        <v>#N/A</v>
      </c>
      <c r="LTQ538" s="22" t="e">
        <f ca="1"/>
        <v>#N/A</v>
      </c>
      <c r="LTR538" s="22" t="e">
        <f ca="1"/>
        <v>#N/A</v>
      </c>
      <c r="LTS538" s="22" t="e">
        <f ca="1"/>
        <v>#N/A</v>
      </c>
      <c r="LTT538" s="22" t="e">
        <f ca="1"/>
        <v>#N/A</v>
      </c>
      <c r="LTU538" s="22" t="e">
        <f ca="1"/>
        <v>#N/A</v>
      </c>
      <c r="LTV538" s="22" t="e">
        <f ca="1"/>
        <v>#N/A</v>
      </c>
      <c r="LTW538" s="22" t="e">
        <f ca="1"/>
        <v>#N/A</v>
      </c>
      <c r="LTX538" s="22" t="e">
        <f ca="1"/>
        <v>#N/A</v>
      </c>
      <c r="LTY538" s="22" t="e">
        <f ca="1"/>
        <v>#N/A</v>
      </c>
      <c r="LTZ538" s="22" t="e">
        <f ca="1"/>
        <v>#N/A</v>
      </c>
      <c r="LUA538" s="22" t="e">
        <f ca="1"/>
        <v>#N/A</v>
      </c>
      <c r="LUB538" s="22" t="e">
        <f ca="1"/>
        <v>#N/A</v>
      </c>
      <c r="LUC538" s="22" t="e">
        <f ca="1"/>
        <v>#N/A</v>
      </c>
      <c r="LUD538" s="22" t="e">
        <f ca="1"/>
        <v>#N/A</v>
      </c>
      <c r="LUE538" s="22" t="e">
        <f ca="1"/>
        <v>#N/A</v>
      </c>
      <c r="LUF538" s="22" t="e">
        <f ca="1"/>
        <v>#N/A</v>
      </c>
      <c r="LUG538" s="22" t="e">
        <f ca="1"/>
        <v>#N/A</v>
      </c>
      <c r="LUH538" s="22" t="e">
        <f ca="1"/>
        <v>#N/A</v>
      </c>
      <c r="LUI538" s="22" t="e">
        <f ca="1"/>
        <v>#N/A</v>
      </c>
      <c r="LUJ538" s="22" t="e">
        <f ca="1"/>
        <v>#N/A</v>
      </c>
      <c r="LUK538" s="22" t="e">
        <f ca="1"/>
        <v>#N/A</v>
      </c>
      <c r="LUL538" s="22" t="e">
        <f ca="1"/>
        <v>#N/A</v>
      </c>
      <c r="LUM538" s="22" t="e">
        <f ca="1"/>
        <v>#N/A</v>
      </c>
      <c r="LUN538" s="22" t="e">
        <f ca="1"/>
        <v>#N/A</v>
      </c>
      <c r="LUO538" s="22" t="e">
        <f ca="1"/>
        <v>#N/A</v>
      </c>
      <c r="LUP538" s="22" t="e">
        <f ca="1"/>
        <v>#N/A</v>
      </c>
      <c r="LUQ538" s="22" t="e">
        <f ca="1"/>
        <v>#N/A</v>
      </c>
      <c r="LUR538" s="22" t="e">
        <f ca="1"/>
        <v>#N/A</v>
      </c>
      <c r="LUS538" s="22" t="e">
        <f ca="1"/>
        <v>#N/A</v>
      </c>
      <c r="LUT538" s="22" t="e">
        <f ca="1"/>
        <v>#N/A</v>
      </c>
      <c r="LUU538" s="22" t="e">
        <f ca="1"/>
        <v>#N/A</v>
      </c>
      <c r="LUV538" s="22" t="e">
        <f ca="1"/>
        <v>#N/A</v>
      </c>
      <c r="LUW538" s="22" t="e">
        <f ca="1"/>
        <v>#N/A</v>
      </c>
      <c r="LUX538" s="22" t="e">
        <f ca="1"/>
        <v>#N/A</v>
      </c>
      <c r="LUY538" s="22" t="e">
        <f ca="1"/>
        <v>#N/A</v>
      </c>
      <c r="LUZ538" s="22" t="e">
        <f ca="1"/>
        <v>#N/A</v>
      </c>
      <c r="LVA538" s="22" t="e">
        <f ca="1"/>
        <v>#N/A</v>
      </c>
      <c r="LVB538" s="22" t="e">
        <f ca="1"/>
        <v>#N/A</v>
      </c>
      <c r="LVC538" s="22" t="e">
        <f ca="1"/>
        <v>#N/A</v>
      </c>
      <c r="LVD538" s="22" t="e">
        <f ca="1"/>
        <v>#N/A</v>
      </c>
      <c r="LVE538" s="22" t="e">
        <f ca="1"/>
        <v>#N/A</v>
      </c>
      <c r="LVF538" s="22" t="e">
        <f ca="1"/>
        <v>#N/A</v>
      </c>
      <c r="LVG538" s="22" t="e">
        <f ca="1"/>
        <v>#N/A</v>
      </c>
      <c r="LVH538" s="22" t="e">
        <f ca="1"/>
        <v>#N/A</v>
      </c>
      <c r="LVI538" s="22" t="e">
        <f ca="1"/>
        <v>#N/A</v>
      </c>
      <c r="LVJ538" s="22" t="e">
        <f ca="1"/>
        <v>#N/A</v>
      </c>
      <c r="LVK538" s="22" t="e">
        <f ca="1"/>
        <v>#N/A</v>
      </c>
      <c r="LVL538" s="22" t="e">
        <f ca="1"/>
        <v>#N/A</v>
      </c>
      <c r="LVM538" s="22" t="e">
        <f ca="1"/>
        <v>#N/A</v>
      </c>
      <c r="LVN538" s="22" t="e">
        <f ca="1"/>
        <v>#N/A</v>
      </c>
      <c r="LVO538" s="22" t="e">
        <f ca="1"/>
        <v>#N/A</v>
      </c>
      <c r="LVP538" s="22" t="e">
        <f ca="1"/>
        <v>#N/A</v>
      </c>
      <c r="LVQ538" s="22" t="e">
        <f ca="1"/>
        <v>#N/A</v>
      </c>
      <c r="LVR538" s="22" t="e">
        <f ca="1"/>
        <v>#N/A</v>
      </c>
      <c r="LVS538" s="22" t="e">
        <f ca="1"/>
        <v>#N/A</v>
      </c>
      <c r="LVT538" s="22" t="e">
        <f ca="1"/>
        <v>#N/A</v>
      </c>
      <c r="LVU538" s="22" t="e">
        <f ca="1"/>
        <v>#N/A</v>
      </c>
      <c r="LVV538" s="22" t="e">
        <f ca="1"/>
        <v>#N/A</v>
      </c>
      <c r="LVW538" s="22" t="e">
        <f ca="1"/>
        <v>#N/A</v>
      </c>
      <c r="LVX538" s="22" t="e">
        <f ca="1"/>
        <v>#N/A</v>
      </c>
      <c r="LVY538" s="22" t="e">
        <f ca="1"/>
        <v>#N/A</v>
      </c>
      <c r="LVZ538" s="22" t="e">
        <f ca="1"/>
        <v>#N/A</v>
      </c>
      <c r="LWA538" s="22" t="e">
        <f ca="1"/>
        <v>#N/A</v>
      </c>
      <c r="LWB538" s="22" t="e">
        <f ca="1"/>
        <v>#N/A</v>
      </c>
      <c r="LWC538" s="22" t="e">
        <f ca="1"/>
        <v>#N/A</v>
      </c>
      <c r="LWD538" s="22" t="e">
        <f ca="1"/>
        <v>#N/A</v>
      </c>
      <c r="LWE538" s="22" t="e">
        <f ca="1"/>
        <v>#N/A</v>
      </c>
      <c r="LWF538" s="22" t="e">
        <f ca="1"/>
        <v>#N/A</v>
      </c>
      <c r="LWG538" s="22" t="e">
        <f ca="1"/>
        <v>#N/A</v>
      </c>
      <c r="LWH538" s="22" t="e">
        <f ca="1"/>
        <v>#N/A</v>
      </c>
      <c r="LWI538" s="22" t="e">
        <f ca="1"/>
        <v>#N/A</v>
      </c>
      <c r="LWJ538" s="22" t="e">
        <f ca="1"/>
        <v>#N/A</v>
      </c>
      <c r="LWK538" s="22" t="e">
        <f ca="1"/>
        <v>#N/A</v>
      </c>
      <c r="LWL538" s="22" t="e">
        <f ca="1"/>
        <v>#N/A</v>
      </c>
      <c r="LWM538" s="22" t="e">
        <f ca="1"/>
        <v>#N/A</v>
      </c>
      <c r="LWN538" s="22" t="e">
        <f ca="1"/>
        <v>#N/A</v>
      </c>
      <c r="LWO538" s="22" t="e">
        <f ca="1"/>
        <v>#N/A</v>
      </c>
      <c r="LWP538" s="22" t="e">
        <f ca="1"/>
        <v>#N/A</v>
      </c>
      <c r="LWQ538" s="22" t="e">
        <f ca="1"/>
        <v>#N/A</v>
      </c>
      <c r="LWR538" s="22" t="e">
        <f ca="1"/>
        <v>#N/A</v>
      </c>
      <c r="LWS538" s="22" t="e">
        <f ca="1"/>
        <v>#N/A</v>
      </c>
      <c r="LWT538" s="22" t="e">
        <f ca="1"/>
        <v>#N/A</v>
      </c>
      <c r="LWU538" s="22" t="e">
        <f ca="1"/>
        <v>#N/A</v>
      </c>
      <c r="LWV538" s="22" t="e">
        <f ca="1"/>
        <v>#N/A</v>
      </c>
      <c r="LWW538" s="22" t="e">
        <f ca="1"/>
        <v>#N/A</v>
      </c>
      <c r="LWX538" s="22" t="e">
        <f ca="1"/>
        <v>#N/A</v>
      </c>
      <c r="LWY538" s="22" t="e">
        <f ca="1"/>
        <v>#N/A</v>
      </c>
      <c r="LWZ538" s="22" t="e">
        <f ca="1"/>
        <v>#N/A</v>
      </c>
      <c r="LXA538" s="22" t="e">
        <f ca="1"/>
        <v>#N/A</v>
      </c>
      <c r="LXB538" s="22" t="e">
        <f ca="1"/>
        <v>#N/A</v>
      </c>
      <c r="LXC538" s="22" t="e">
        <f ca="1"/>
        <v>#N/A</v>
      </c>
      <c r="LXD538" s="22" t="e">
        <f ca="1"/>
        <v>#N/A</v>
      </c>
      <c r="LXE538" s="22" t="e">
        <f ca="1"/>
        <v>#N/A</v>
      </c>
      <c r="LXF538" s="22" t="e">
        <f ca="1"/>
        <v>#N/A</v>
      </c>
      <c r="LXG538" s="22" t="e">
        <f ca="1"/>
        <v>#N/A</v>
      </c>
      <c r="LXH538" s="22" t="e">
        <f ca="1"/>
        <v>#N/A</v>
      </c>
      <c r="LXI538" s="22" t="e">
        <f ca="1"/>
        <v>#N/A</v>
      </c>
      <c r="LXJ538" s="22" t="e">
        <f ca="1"/>
        <v>#N/A</v>
      </c>
      <c r="LXK538" s="22" t="e">
        <f ca="1"/>
        <v>#N/A</v>
      </c>
      <c r="LXL538" s="22" t="e">
        <f ca="1"/>
        <v>#N/A</v>
      </c>
      <c r="LXM538" s="22" t="e">
        <f ca="1"/>
        <v>#N/A</v>
      </c>
      <c r="LXN538" s="22" t="e">
        <f ca="1"/>
        <v>#N/A</v>
      </c>
      <c r="LXO538" s="22" t="e">
        <f ca="1"/>
        <v>#N/A</v>
      </c>
      <c r="LXP538" s="22" t="e">
        <f ca="1"/>
        <v>#N/A</v>
      </c>
      <c r="LXQ538" s="22" t="e">
        <f ca="1"/>
        <v>#N/A</v>
      </c>
      <c r="LXR538" s="22" t="e">
        <f ca="1"/>
        <v>#N/A</v>
      </c>
      <c r="LXS538" s="22" t="e">
        <f ca="1"/>
        <v>#N/A</v>
      </c>
      <c r="LXT538" s="22" t="e">
        <f ca="1"/>
        <v>#N/A</v>
      </c>
      <c r="LXU538" s="22" t="e">
        <f ca="1"/>
        <v>#N/A</v>
      </c>
      <c r="LXV538" s="22" t="e">
        <f ca="1"/>
        <v>#N/A</v>
      </c>
      <c r="LXW538" s="22" t="e">
        <f ca="1"/>
        <v>#N/A</v>
      </c>
      <c r="LXX538" s="22" t="e">
        <f ca="1"/>
        <v>#N/A</v>
      </c>
      <c r="LXY538" s="22" t="e">
        <f ca="1"/>
        <v>#N/A</v>
      </c>
      <c r="LXZ538" s="22" t="e">
        <f ca="1"/>
        <v>#N/A</v>
      </c>
      <c r="LYA538" s="22" t="e">
        <f ca="1"/>
        <v>#N/A</v>
      </c>
      <c r="LYB538" s="22" t="e">
        <f ca="1"/>
        <v>#N/A</v>
      </c>
      <c r="LYC538" s="22" t="e">
        <f ca="1"/>
        <v>#N/A</v>
      </c>
      <c r="LYD538" s="22" t="e">
        <f ca="1"/>
        <v>#N/A</v>
      </c>
      <c r="LYE538" s="22" t="e">
        <f ca="1"/>
        <v>#N/A</v>
      </c>
      <c r="LYF538" s="22" t="e">
        <f ca="1"/>
        <v>#N/A</v>
      </c>
      <c r="LYG538" s="22" t="e">
        <f ca="1"/>
        <v>#N/A</v>
      </c>
      <c r="LYH538" s="22" t="e">
        <f ca="1"/>
        <v>#N/A</v>
      </c>
      <c r="LYI538" s="22" t="e">
        <f ca="1"/>
        <v>#N/A</v>
      </c>
      <c r="LYJ538" s="22" t="e">
        <f ca="1"/>
        <v>#N/A</v>
      </c>
      <c r="LYK538" s="22" t="e">
        <f ca="1"/>
        <v>#N/A</v>
      </c>
      <c r="LYL538" s="22" t="e">
        <f ca="1"/>
        <v>#N/A</v>
      </c>
      <c r="LYM538" s="22" t="e">
        <f ca="1"/>
        <v>#N/A</v>
      </c>
      <c r="LYN538" s="22" t="e">
        <f ca="1"/>
        <v>#N/A</v>
      </c>
      <c r="LYO538" s="22" t="e">
        <f ca="1"/>
        <v>#N/A</v>
      </c>
      <c r="LYP538" s="22" t="e">
        <f ca="1"/>
        <v>#N/A</v>
      </c>
      <c r="LYQ538" s="22" t="e">
        <f ca="1"/>
        <v>#N/A</v>
      </c>
      <c r="LYR538" s="22" t="e">
        <f ca="1"/>
        <v>#N/A</v>
      </c>
      <c r="LYS538" s="22" t="e">
        <f ca="1"/>
        <v>#N/A</v>
      </c>
      <c r="LYT538" s="22" t="e">
        <f ca="1"/>
        <v>#N/A</v>
      </c>
      <c r="LYU538" s="22" t="e">
        <f ca="1"/>
        <v>#N/A</v>
      </c>
      <c r="LYV538" s="22" t="e">
        <f ca="1"/>
        <v>#N/A</v>
      </c>
      <c r="LYW538" s="22" t="e">
        <f ca="1"/>
        <v>#N/A</v>
      </c>
      <c r="LYX538" s="22" t="e">
        <f ca="1"/>
        <v>#N/A</v>
      </c>
      <c r="LYY538" s="22" t="e">
        <f ca="1"/>
        <v>#N/A</v>
      </c>
      <c r="LYZ538" s="22" t="e">
        <f ca="1"/>
        <v>#N/A</v>
      </c>
      <c r="LZA538" s="22" t="e">
        <f ca="1"/>
        <v>#N/A</v>
      </c>
      <c r="LZB538" s="22" t="e">
        <f ca="1"/>
        <v>#N/A</v>
      </c>
      <c r="LZC538" s="22" t="e">
        <f ca="1"/>
        <v>#N/A</v>
      </c>
      <c r="LZD538" s="22" t="e">
        <f ca="1"/>
        <v>#N/A</v>
      </c>
      <c r="LZE538" s="22" t="e">
        <f ca="1"/>
        <v>#N/A</v>
      </c>
      <c r="LZF538" s="22" t="e">
        <f ca="1"/>
        <v>#N/A</v>
      </c>
      <c r="LZG538" s="22" t="e">
        <f ca="1"/>
        <v>#N/A</v>
      </c>
      <c r="LZH538" s="22" t="e">
        <f ca="1"/>
        <v>#N/A</v>
      </c>
      <c r="LZI538" s="22" t="e">
        <f ca="1"/>
        <v>#N/A</v>
      </c>
      <c r="LZJ538" s="22" t="e">
        <f ca="1"/>
        <v>#N/A</v>
      </c>
      <c r="LZK538" s="22" t="e">
        <f ca="1"/>
        <v>#N/A</v>
      </c>
      <c r="LZL538" s="22" t="e">
        <f ca="1"/>
        <v>#N/A</v>
      </c>
      <c r="LZM538" s="22" t="e">
        <f ca="1"/>
        <v>#N/A</v>
      </c>
      <c r="LZN538" s="22" t="e">
        <f ca="1"/>
        <v>#N/A</v>
      </c>
      <c r="LZO538" s="22" t="e">
        <f ca="1"/>
        <v>#N/A</v>
      </c>
      <c r="LZP538" s="22" t="e">
        <f ca="1"/>
        <v>#N/A</v>
      </c>
      <c r="LZQ538" s="22" t="e">
        <f ca="1"/>
        <v>#N/A</v>
      </c>
      <c r="LZR538" s="22" t="e">
        <f ca="1"/>
        <v>#N/A</v>
      </c>
      <c r="LZS538" s="22" t="e">
        <f ca="1"/>
        <v>#N/A</v>
      </c>
      <c r="LZT538" s="22" t="e">
        <f ca="1"/>
        <v>#N/A</v>
      </c>
      <c r="LZU538" s="22" t="e">
        <f ca="1"/>
        <v>#N/A</v>
      </c>
      <c r="LZV538" s="22" t="e">
        <f ca="1"/>
        <v>#N/A</v>
      </c>
      <c r="LZW538" s="22" t="e">
        <f ca="1"/>
        <v>#N/A</v>
      </c>
      <c r="LZX538" s="22" t="e">
        <f ca="1"/>
        <v>#N/A</v>
      </c>
      <c r="LZY538" s="22" t="e">
        <f ca="1"/>
        <v>#N/A</v>
      </c>
      <c r="LZZ538" s="22" t="e">
        <f ca="1"/>
        <v>#N/A</v>
      </c>
      <c r="MAA538" s="22" t="e">
        <f ca="1"/>
        <v>#N/A</v>
      </c>
      <c r="MAB538" s="22" t="e">
        <f ca="1"/>
        <v>#N/A</v>
      </c>
      <c r="MAC538" s="22" t="e">
        <f ca="1"/>
        <v>#N/A</v>
      </c>
      <c r="MAD538" s="22" t="e">
        <f ca="1"/>
        <v>#N/A</v>
      </c>
      <c r="MAE538" s="22" t="e">
        <f ca="1"/>
        <v>#N/A</v>
      </c>
      <c r="MAF538" s="22" t="e">
        <f ca="1"/>
        <v>#N/A</v>
      </c>
      <c r="MAG538" s="22" t="e">
        <f ca="1"/>
        <v>#N/A</v>
      </c>
      <c r="MAH538" s="22" t="e">
        <f ca="1"/>
        <v>#N/A</v>
      </c>
      <c r="MAI538" s="22" t="e">
        <f ca="1"/>
        <v>#N/A</v>
      </c>
      <c r="MAJ538" s="22" t="e">
        <f ca="1"/>
        <v>#N/A</v>
      </c>
      <c r="MAK538" s="22" t="e">
        <f ca="1"/>
        <v>#N/A</v>
      </c>
      <c r="MAL538" s="22" t="e">
        <f ca="1"/>
        <v>#N/A</v>
      </c>
      <c r="MAM538" s="22" t="e">
        <f ca="1"/>
        <v>#N/A</v>
      </c>
      <c r="MAN538" s="22" t="e">
        <f ca="1"/>
        <v>#N/A</v>
      </c>
      <c r="MAO538" s="22" t="e">
        <f ca="1"/>
        <v>#N/A</v>
      </c>
      <c r="MAP538" s="22" t="e">
        <f ca="1"/>
        <v>#N/A</v>
      </c>
      <c r="MAQ538" s="22" t="e">
        <f ca="1"/>
        <v>#N/A</v>
      </c>
      <c r="MAR538" s="22" t="e">
        <f ca="1"/>
        <v>#N/A</v>
      </c>
      <c r="MAS538" s="22" t="e">
        <f ca="1"/>
        <v>#N/A</v>
      </c>
      <c r="MAT538" s="22" t="e">
        <f ca="1"/>
        <v>#N/A</v>
      </c>
      <c r="MAU538" s="22" t="e">
        <f ca="1"/>
        <v>#N/A</v>
      </c>
      <c r="MAV538" s="22" t="e">
        <f ca="1"/>
        <v>#N/A</v>
      </c>
      <c r="MAW538" s="22" t="e">
        <f ca="1"/>
        <v>#N/A</v>
      </c>
      <c r="MAX538" s="22" t="e">
        <f ca="1"/>
        <v>#N/A</v>
      </c>
      <c r="MAY538" s="22" t="e">
        <f ca="1"/>
        <v>#N/A</v>
      </c>
      <c r="MAZ538" s="22" t="e">
        <f ca="1"/>
        <v>#N/A</v>
      </c>
      <c r="MBA538" s="22" t="e">
        <f ca="1"/>
        <v>#N/A</v>
      </c>
      <c r="MBB538" s="22" t="e">
        <f ca="1"/>
        <v>#N/A</v>
      </c>
      <c r="MBC538" s="22" t="e">
        <f ca="1"/>
        <v>#N/A</v>
      </c>
      <c r="MBD538" s="22" t="e">
        <f ca="1"/>
        <v>#N/A</v>
      </c>
      <c r="MBE538" s="22" t="e">
        <f ca="1"/>
        <v>#N/A</v>
      </c>
      <c r="MBF538" s="22" t="e">
        <f ca="1"/>
        <v>#N/A</v>
      </c>
      <c r="MBG538" s="22" t="e">
        <f ca="1"/>
        <v>#N/A</v>
      </c>
      <c r="MBH538" s="22" t="e">
        <f ca="1"/>
        <v>#N/A</v>
      </c>
      <c r="MBI538" s="22" t="e">
        <f ca="1"/>
        <v>#N/A</v>
      </c>
      <c r="MBJ538" s="22" t="e">
        <f ca="1"/>
        <v>#N/A</v>
      </c>
      <c r="MBK538" s="22" t="e">
        <f ca="1"/>
        <v>#N/A</v>
      </c>
      <c r="MBL538" s="22" t="e">
        <f ca="1"/>
        <v>#N/A</v>
      </c>
      <c r="MBM538" s="22" t="e">
        <f ca="1"/>
        <v>#N/A</v>
      </c>
      <c r="MBN538" s="22" t="e">
        <f ca="1"/>
        <v>#N/A</v>
      </c>
      <c r="MBO538" s="22" t="e">
        <f ca="1"/>
        <v>#N/A</v>
      </c>
      <c r="MBP538" s="22" t="e">
        <f ca="1"/>
        <v>#N/A</v>
      </c>
      <c r="MBQ538" s="22" t="e">
        <f ca="1"/>
        <v>#N/A</v>
      </c>
      <c r="MBR538" s="22" t="e">
        <f ca="1"/>
        <v>#N/A</v>
      </c>
      <c r="MBS538" s="22" t="e">
        <f ca="1"/>
        <v>#N/A</v>
      </c>
      <c r="MBT538" s="22" t="e">
        <f ca="1"/>
        <v>#N/A</v>
      </c>
      <c r="MBU538" s="22" t="e">
        <f ca="1"/>
        <v>#N/A</v>
      </c>
      <c r="MBV538" s="22" t="e">
        <f ca="1"/>
        <v>#N/A</v>
      </c>
      <c r="MBW538" s="22" t="e">
        <f ca="1"/>
        <v>#N/A</v>
      </c>
      <c r="MBX538" s="22" t="e">
        <f ca="1"/>
        <v>#N/A</v>
      </c>
      <c r="MBY538" s="22" t="e">
        <f ca="1"/>
        <v>#N/A</v>
      </c>
      <c r="MBZ538" s="22" t="e">
        <f ca="1"/>
        <v>#N/A</v>
      </c>
      <c r="MCA538" s="22" t="e">
        <f ca="1"/>
        <v>#N/A</v>
      </c>
      <c r="MCB538" s="22" t="e">
        <f ca="1"/>
        <v>#N/A</v>
      </c>
      <c r="MCC538" s="22" t="e">
        <f ca="1"/>
        <v>#N/A</v>
      </c>
      <c r="MCD538" s="22" t="e">
        <f ca="1"/>
        <v>#N/A</v>
      </c>
      <c r="MCE538" s="22" t="e">
        <f ca="1"/>
        <v>#N/A</v>
      </c>
      <c r="MCF538" s="22" t="e">
        <f ca="1"/>
        <v>#N/A</v>
      </c>
      <c r="MCG538" s="22" t="e">
        <f ca="1"/>
        <v>#N/A</v>
      </c>
      <c r="MCH538" s="22" t="e">
        <f ca="1"/>
        <v>#N/A</v>
      </c>
      <c r="MCI538" s="22" t="e">
        <f ca="1"/>
        <v>#N/A</v>
      </c>
      <c r="MCJ538" s="22" t="e">
        <f ca="1"/>
        <v>#N/A</v>
      </c>
      <c r="MCK538" s="22" t="e">
        <f ca="1"/>
        <v>#N/A</v>
      </c>
      <c r="MCL538" s="22" t="e">
        <f ca="1"/>
        <v>#N/A</v>
      </c>
      <c r="MCM538" s="22" t="e">
        <f ca="1"/>
        <v>#N/A</v>
      </c>
      <c r="MCN538" s="22" t="e">
        <f ca="1"/>
        <v>#N/A</v>
      </c>
      <c r="MCO538" s="22" t="e">
        <f ca="1"/>
        <v>#N/A</v>
      </c>
      <c r="MCP538" s="22" t="e">
        <f ca="1"/>
        <v>#N/A</v>
      </c>
      <c r="MCQ538" s="22" t="e">
        <f ca="1"/>
        <v>#N/A</v>
      </c>
      <c r="MCR538" s="22" t="e">
        <f ca="1"/>
        <v>#N/A</v>
      </c>
      <c r="MCS538" s="22" t="e">
        <f ca="1"/>
        <v>#N/A</v>
      </c>
      <c r="MCT538" s="22" t="e">
        <f ca="1"/>
        <v>#N/A</v>
      </c>
      <c r="MCU538" s="22" t="e">
        <f ca="1"/>
        <v>#N/A</v>
      </c>
      <c r="MCV538" s="22" t="e">
        <f ca="1"/>
        <v>#N/A</v>
      </c>
      <c r="MCW538" s="22" t="e">
        <f ca="1"/>
        <v>#N/A</v>
      </c>
      <c r="MCX538" s="22" t="e">
        <f ca="1"/>
        <v>#N/A</v>
      </c>
      <c r="MCY538" s="22" t="e">
        <f ca="1"/>
        <v>#N/A</v>
      </c>
      <c r="MCZ538" s="22" t="e">
        <f ca="1"/>
        <v>#N/A</v>
      </c>
      <c r="MDA538" s="22" t="e">
        <f ca="1"/>
        <v>#N/A</v>
      </c>
      <c r="MDB538" s="22" t="e">
        <f ca="1"/>
        <v>#N/A</v>
      </c>
      <c r="MDC538" s="22" t="e">
        <f ca="1"/>
        <v>#N/A</v>
      </c>
      <c r="MDD538" s="22" t="e">
        <f ca="1"/>
        <v>#N/A</v>
      </c>
      <c r="MDE538" s="22" t="e">
        <f ca="1"/>
        <v>#N/A</v>
      </c>
      <c r="MDF538" s="22" t="e">
        <f ca="1"/>
        <v>#N/A</v>
      </c>
      <c r="MDG538" s="22" t="e">
        <f ca="1"/>
        <v>#N/A</v>
      </c>
      <c r="MDH538" s="22" t="e">
        <f ca="1"/>
        <v>#N/A</v>
      </c>
      <c r="MDI538" s="22" t="e">
        <f ca="1"/>
        <v>#N/A</v>
      </c>
      <c r="MDJ538" s="22" t="e">
        <f ca="1"/>
        <v>#N/A</v>
      </c>
      <c r="MDK538" s="22" t="e">
        <f ca="1"/>
        <v>#N/A</v>
      </c>
      <c r="MDL538" s="22" t="e">
        <f ca="1"/>
        <v>#N/A</v>
      </c>
      <c r="MDM538" s="22" t="e">
        <f ca="1"/>
        <v>#N/A</v>
      </c>
      <c r="MDN538" s="22" t="e">
        <f ca="1"/>
        <v>#N/A</v>
      </c>
      <c r="MDO538" s="22" t="e">
        <f ca="1"/>
        <v>#N/A</v>
      </c>
      <c r="MDP538" s="22" t="e">
        <f ca="1"/>
        <v>#N/A</v>
      </c>
      <c r="MDQ538" s="22" t="e">
        <f ca="1"/>
        <v>#N/A</v>
      </c>
      <c r="MDR538" s="22" t="e">
        <f ca="1"/>
        <v>#N/A</v>
      </c>
      <c r="MDS538" s="22" t="e">
        <f ca="1"/>
        <v>#N/A</v>
      </c>
      <c r="MDT538" s="22" t="e">
        <f ca="1"/>
        <v>#N/A</v>
      </c>
      <c r="MDU538" s="22" t="e">
        <f ca="1"/>
        <v>#N/A</v>
      </c>
      <c r="MDV538" s="22" t="e">
        <f ca="1"/>
        <v>#N/A</v>
      </c>
      <c r="MDW538" s="22" t="e">
        <f ca="1"/>
        <v>#N/A</v>
      </c>
      <c r="MDX538" s="22" t="e">
        <f ca="1"/>
        <v>#N/A</v>
      </c>
      <c r="MDY538" s="22" t="e">
        <f ca="1"/>
        <v>#N/A</v>
      </c>
      <c r="MDZ538" s="22" t="e">
        <f ca="1"/>
        <v>#N/A</v>
      </c>
      <c r="MEA538" s="22" t="e">
        <f ca="1"/>
        <v>#N/A</v>
      </c>
      <c r="MEB538" s="22" t="e">
        <f ca="1"/>
        <v>#N/A</v>
      </c>
      <c r="MEC538" s="22" t="e">
        <f ca="1"/>
        <v>#N/A</v>
      </c>
      <c r="MED538" s="22" t="e">
        <f ca="1"/>
        <v>#N/A</v>
      </c>
      <c r="MEE538" s="22" t="e">
        <f ca="1"/>
        <v>#N/A</v>
      </c>
      <c r="MEF538" s="22" t="e">
        <f ca="1"/>
        <v>#N/A</v>
      </c>
      <c r="MEG538" s="22" t="e">
        <f ca="1"/>
        <v>#N/A</v>
      </c>
      <c r="MEH538" s="22" t="e">
        <f ca="1"/>
        <v>#N/A</v>
      </c>
      <c r="MEI538" s="22" t="e">
        <f ca="1"/>
        <v>#N/A</v>
      </c>
      <c r="MEJ538" s="22" t="e">
        <f ca="1"/>
        <v>#N/A</v>
      </c>
      <c r="MEK538" s="22" t="e">
        <f ca="1"/>
        <v>#N/A</v>
      </c>
      <c r="MEL538" s="22" t="e">
        <f ca="1"/>
        <v>#N/A</v>
      </c>
      <c r="MEM538" s="22" t="e">
        <f ca="1"/>
        <v>#N/A</v>
      </c>
      <c r="MEN538" s="22" t="e">
        <f ca="1"/>
        <v>#N/A</v>
      </c>
      <c r="MEO538" s="22" t="e">
        <f ca="1"/>
        <v>#N/A</v>
      </c>
      <c r="MEP538" s="22" t="e">
        <f ca="1"/>
        <v>#N/A</v>
      </c>
      <c r="MEQ538" s="22" t="e">
        <f ca="1"/>
        <v>#N/A</v>
      </c>
      <c r="MER538" s="22" t="e">
        <f ca="1"/>
        <v>#N/A</v>
      </c>
      <c r="MES538" s="22" t="e">
        <f ca="1"/>
        <v>#N/A</v>
      </c>
      <c r="MET538" s="22" t="e">
        <f ca="1"/>
        <v>#N/A</v>
      </c>
      <c r="MEU538" s="22" t="e">
        <f ca="1"/>
        <v>#N/A</v>
      </c>
      <c r="MEV538" s="22" t="e">
        <f ca="1"/>
        <v>#N/A</v>
      </c>
      <c r="MEW538" s="22" t="e">
        <f ca="1"/>
        <v>#N/A</v>
      </c>
      <c r="MEX538" s="22" t="e">
        <f ca="1"/>
        <v>#N/A</v>
      </c>
      <c r="MEY538" s="22" t="e">
        <f ca="1"/>
        <v>#N/A</v>
      </c>
      <c r="MEZ538" s="22" t="e">
        <f ca="1"/>
        <v>#N/A</v>
      </c>
      <c r="MFA538" s="22" t="e">
        <f ca="1"/>
        <v>#N/A</v>
      </c>
      <c r="MFB538" s="22" t="e">
        <f ca="1"/>
        <v>#N/A</v>
      </c>
      <c r="MFC538" s="22" t="e">
        <f ca="1"/>
        <v>#N/A</v>
      </c>
      <c r="MFD538" s="22" t="e">
        <f ca="1"/>
        <v>#N/A</v>
      </c>
      <c r="MFE538" s="22" t="e">
        <f ca="1"/>
        <v>#N/A</v>
      </c>
      <c r="MFF538" s="22" t="e">
        <f ca="1"/>
        <v>#N/A</v>
      </c>
      <c r="MFG538" s="22" t="e">
        <f ca="1"/>
        <v>#N/A</v>
      </c>
      <c r="MFH538" s="22" t="e">
        <f ca="1"/>
        <v>#N/A</v>
      </c>
      <c r="MFI538" s="22" t="e">
        <f ca="1"/>
        <v>#N/A</v>
      </c>
      <c r="MFJ538" s="22" t="e">
        <f ca="1"/>
        <v>#N/A</v>
      </c>
      <c r="MFK538" s="22" t="e">
        <f ca="1"/>
        <v>#N/A</v>
      </c>
      <c r="MFL538" s="22" t="e">
        <f ca="1"/>
        <v>#N/A</v>
      </c>
      <c r="MFM538" s="22" t="e">
        <f ca="1"/>
        <v>#N/A</v>
      </c>
      <c r="MFN538" s="22" t="e">
        <f ca="1"/>
        <v>#N/A</v>
      </c>
      <c r="MFO538" s="22" t="e">
        <f ca="1"/>
        <v>#N/A</v>
      </c>
      <c r="MFP538" s="22" t="e">
        <f ca="1"/>
        <v>#N/A</v>
      </c>
      <c r="MFQ538" s="22" t="e">
        <f ca="1"/>
        <v>#N/A</v>
      </c>
      <c r="MFR538" s="22" t="e">
        <f ca="1"/>
        <v>#N/A</v>
      </c>
      <c r="MFS538" s="22" t="e">
        <f ca="1"/>
        <v>#N/A</v>
      </c>
      <c r="MFT538" s="22" t="e">
        <f ca="1"/>
        <v>#N/A</v>
      </c>
      <c r="MFU538" s="22" t="e">
        <f ca="1"/>
        <v>#N/A</v>
      </c>
      <c r="MFV538" s="22" t="e">
        <f ca="1"/>
        <v>#N/A</v>
      </c>
      <c r="MFW538" s="22" t="e">
        <f ca="1"/>
        <v>#N/A</v>
      </c>
      <c r="MFX538" s="22" t="e">
        <f ca="1"/>
        <v>#N/A</v>
      </c>
      <c r="MFY538" s="22" t="e">
        <f ca="1"/>
        <v>#N/A</v>
      </c>
      <c r="MFZ538" s="22" t="e">
        <f ca="1"/>
        <v>#N/A</v>
      </c>
      <c r="MGA538" s="22" t="e">
        <f ca="1"/>
        <v>#N/A</v>
      </c>
      <c r="MGB538" s="22" t="e">
        <f ca="1"/>
        <v>#N/A</v>
      </c>
      <c r="MGC538" s="22" t="e">
        <f ca="1"/>
        <v>#N/A</v>
      </c>
      <c r="MGD538" s="22" t="e">
        <f ca="1"/>
        <v>#N/A</v>
      </c>
      <c r="MGE538" s="22" t="e">
        <f ca="1"/>
        <v>#N/A</v>
      </c>
      <c r="MGF538" s="22" t="e">
        <f ca="1"/>
        <v>#N/A</v>
      </c>
      <c r="MGG538" s="22" t="e">
        <f ca="1"/>
        <v>#N/A</v>
      </c>
      <c r="MGH538" s="22" t="e">
        <f ca="1"/>
        <v>#N/A</v>
      </c>
      <c r="MGI538" s="22" t="e">
        <f ca="1"/>
        <v>#N/A</v>
      </c>
      <c r="MGJ538" s="22" t="e">
        <f ca="1"/>
        <v>#N/A</v>
      </c>
      <c r="MGK538" s="22" t="e">
        <f ca="1"/>
        <v>#N/A</v>
      </c>
      <c r="MGL538" s="22" t="e">
        <f ca="1"/>
        <v>#N/A</v>
      </c>
      <c r="MGM538" s="22" t="e">
        <f ca="1"/>
        <v>#N/A</v>
      </c>
      <c r="MGN538" s="22" t="e">
        <f ca="1"/>
        <v>#N/A</v>
      </c>
      <c r="MGO538" s="22" t="e">
        <f ca="1"/>
        <v>#N/A</v>
      </c>
      <c r="MGP538" s="22" t="e">
        <f ca="1"/>
        <v>#N/A</v>
      </c>
      <c r="MGQ538" s="22" t="e">
        <f ca="1"/>
        <v>#N/A</v>
      </c>
      <c r="MGR538" s="22" t="e">
        <f ca="1"/>
        <v>#N/A</v>
      </c>
      <c r="MGS538" s="22" t="e">
        <f ca="1"/>
        <v>#N/A</v>
      </c>
      <c r="MGT538" s="22" t="e">
        <f ca="1"/>
        <v>#N/A</v>
      </c>
      <c r="MGU538" s="22" t="e">
        <f ca="1"/>
        <v>#N/A</v>
      </c>
      <c r="MGV538" s="22" t="e">
        <f ca="1"/>
        <v>#N/A</v>
      </c>
      <c r="MGW538" s="22" t="e">
        <f ca="1"/>
        <v>#N/A</v>
      </c>
      <c r="MGX538" s="22" t="e">
        <f ca="1"/>
        <v>#N/A</v>
      </c>
      <c r="MGY538" s="22" t="e">
        <f ca="1"/>
        <v>#N/A</v>
      </c>
      <c r="MGZ538" s="22" t="e">
        <f ca="1"/>
        <v>#N/A</v>
      </c>
      <c r="MHA538" s="22" t="e">
        <f ca="1"/>
        <v>#N/A</v>
      </c>
      <c r="MHB538" s="22" t="e">
        <f ca="1"/>
        <v>#N/A</v>
      </c>
      <c r="MHC538" s="22" t="e">
        <f ca="1"/>
        <v>#N/A</v>
      </c>
      <c r="MHD538" s="22" t="e">
        <f ca="1"/>
        <v>#N/A</v>
      </c>
      <c r="MHE538" s="22" t="e">
        <f ca="1"/>
        <v>#N/A</v>
      </c>
      <c r="MHF538" s="22" t="e">
        <f ca="1"/>
        <v>#N/A</v>
      </c>
      <c r="MHG538" s="22" t="e">
        <f ca="1"/>
        <v>#N/A</v>
      </c>
      <c r="MHH538" s="22" t="e">
        <f ca="1"/>
        <v>#N/A</v>
      </c>
      <c r="MHI538" s="22" t="e">
        <f ca="1"/>
        <v>#N/A</v>
      </c>
      <c r="MHJ538" s="22" t="e">
        <f ca="1"/>
        <v>#N/A</v>
      </c>
      <c r="MHK538" s="22" t="e">
        <f ca="1"/>
        <v>#N/A</v>
      </c>
      <c r="MHL538" s="22" t="e">
        <f ca="1"/>
        <v>#N/A</v>
      </c>
      <c r="MHM538" s="22" t="e">
        <f ca="1"/>
        <v>#N/A</v>
      </c>
      <c r="MHN538" s="22" t="e">
        <f ca="1"/>
        <v>#N/A</v>
      </c>
      <c r="MHO538" s="22" t="e">
        <f ca="1"/>
        <v>#N/A</v>
      </c>
      <c r="MHP538" s="22" t="e">
        <f ca="1"/>
        <v>#N/A</v>
      </c>
      <c r="MHQ538" s="22" t="e">
        <f ca="1"/>
        <v>#N/A</v>
      </c>
      <c r="MHR538" s="22" t="e">
        <f ca="1"/>
        <v>#N/A</v>
      </c>
      <c r="MHS538" s="22" t="e">
        <f ca="1"/>
        <v>#N/A</v>
      </c>
      <c r="MHT538" s="22" t="e">
        <f ca="1"/>
        <v>#N/A</v>
      </c>
      <c r="MHU538" s="22" t="e">
        <f ca="1"/>
        <v>#N/A</v>
      </c>
      <c r="MHV538" s="22" t="e">
        <f ca="1"/>
        <v>#N/A</v>
      </c>
      <c r="MHW538" s="22" t="e">
        <f ca="1"/>
        <v>#N/A</v>
      </c>
      <c r="MHX538" s="22" t="e">
        <f ca="1"/>
        <v>#N/A</v>
      </c>
      <c r="MHY538" s="22" t="e">
        <f ca="1"/>
        <v>#N/A</v>
      </c>
      <c r="MHZ538" s="22" t="e">
        <f ca="1"/>
        <v>#N/A</v>
      </c>
      <c r="MIA538" s="22" t="e">
        <f ca="1"/>
        <v>#N/A</v>
      </c>
      <c r="MIB538" s="22" t="e">
        <f ca="1"/>
        <v>#N/A</v>
      </c>
      <c r="MIC538" s="22" t="e">
        <f ca="1"/>
        <v>#N/A</v>
      </c>
      <c r="MID538" s="22" t="e">
        <f ca="1"/>
        <v>#N/A</v>
      </c>
      <c r="MIE538" s="22" t="e">
        <f ca="1"/>
        <v>#N/A</v>
      </c>
      <c r="MIF538" s="22" t="e">
        <f ca="1"/>
        <v>#N/A</v>
      </c>
      <c r="MIG538" s="22" t="e">
        <f ca="1"/>
        <v>#N/A</v>
      </c>
      <c r="MIH538" s="22" t="e">
        <f ca="1"/>
        <v>#N/A</v>
      </c>
      <c r="MII538" s="22" t="e">
        <f ca="1"/>
        <v>#N/A</v>
      </c>
      <c r="MIJ538" s="22" t="e">
        <f ca="1"/>
        <v>#N/A</v>
      </c>
      <c r="MIK538" s="22" t="e">
        <f ca="1"/>
        <v>#N/A</v>
      </c>
      <c r="MIL538" s="22" t="e">
        <f ca="1"/>
        <v>#N/A</v>
      </c>
      <c r="MIM538" s="22" t="e">
        <f ca="1"/>
        <v>#N/A</v>
      </c>
      <c r="MIN538" s="22" t="e">
        <f ca="1"/>
        <v>#N/A</v>
      </c>
      <c r="MIO538" s="22" t="e">
        <f ca="1"/>
        <v>#N/A</v>
      </c>
      <c r="MIP538" s="22" t="e">
        <f ca="1"/>
        <v>#N/A</v>
      </c>
      <c r="MIQ538" s="22" t="e">
        <f ca="1"/>
        <v>#N/A</v>
      </c>
      <c r="MIR538" s="22" t="e">
        <f ca="1"/>
        <v>#N/A</v>
      </c>
      <c r="MIS538" s="22" t="e">
        <f ca="1"/>
        <v>#N/A</v>
      </c>
      <c r="MIT538" s="22" t="e">
        <f ca="1"/>
        <v>#N/A</v>
      </c>
      <c r="MIU538" s="22" t="e">
        <f ca="1"/>
        <v>#N/A</v>
      </c>
      <c r="MIV538" s="22" t="e">
        <f ca="1"/>
        <v>#N/A</v>
      </c>
      <c r="MIW538" s="22" t="e">
        <f ca="1"/>
        <v>#N/A</v>
      </c>
      <c r="MIX538" s="22" t="e">
        <f ca="1"/>
        <v>#N/A</v>
      </c>
      <c r="MIY538" s="22" t="e">
        <f ca="1"/>
        <v>#N/A</v>
      </c>
      <c r="MIZ538" s="22" t="e">
        <f ca="1"/>
        <v>#N/A</v>
      </c>
      <c r="MJA538" s="22" t="e">
        <f ca="1"/>
        <v>#N/A</v>
      </c>
      <c r="MJB538" s="22" t="e">
        <f ca="1"/>
        <v>#N/A</v>
      </c>
      <c r="MJC538" s="22" t="e">
        <f ca="1"/>
        <v>#N/A</v>
      </c>
      <c r="MJD538" s="22" t="e">
        <f ca="1"/>
        <v>#N/A</v>
      </c>
      <c r="MJE538" s="22" t="e">
        <f ca="1"/>
        <v>#N/A</v>
      </c>
      <c r="MJF538" s="22" t="e">
        <f ca="1"/>
        <v>#N/A</v>
      </c>
      <c r="MJG538" s="22" t="e">
        <f ca="1"/>
        <v>#N/A</v>
      </c>
      <c r="MJH538" s="22" t="e">
        <f ca="1"/>
        <v>#N/A</v>
      </c>
      <c r="MJI538" s="22" t="e">
        <f ca="1"/>
        <v>#N/A</v>
      </c>
      <c r="MJJ538" s="22" t="e">
        <f ca="1"/>
        <v>#N/A</v>
      </c>
      <c r="MJK538" s="22" t="e">
        <f ca="1"/>
        <v>#N/A</v>
      </c>
      <c r="MJL538" s="22" t="e">
        <f ca="1"/>
        <v>#N/A</v>
      </c>
      <c r="MJM538" s="22" t="e">
        <f ca="1"/>
        <v>#N/A</v>
      </c>
      <c r="MJN538" s="22" t="e">
        <f ca="1"/>
        <v>#N/A</v>
      </c>
      <c r="MJO538" s="22" t="e">
        <f ca="1"/>
        <v>#N/A</v>
      </c>
      <c r="MJP538" s="22" t="e">
        <f ca="1"/>
        <v>#N/A</v>
      </c>
      <c r="MJQ538" s="22" t="e">
        <f ca="1"/>
        <v>#N/A</v>
      </c>
      <c r="MJR538" s="22" t="e">
        <f ca="1"/>
        <v>#N/A</v>
      </c>
      <c r="MJS538" s="22" t="e">
        <f ca="1"/>
        <v>#N/A</v>
      </c>
      <c r="MJT538" s="22" t="e">
        <f ca="1"/>
        <v>#N/A</v>
      </c>
      <c r="MJU538" s="22" t="e">
        <f ca="1"/>
        <v>#N/A</v>
      </c>
      <c r="MJV538" s="22" t="e">
        <f ca="1"/>
        <v>#N/A</v>
      </c>
      <c r="MJW538" s="22" t="e">
        <f ca="1"/>
        <v>#N/A</v>
      </c>
      <c r="MJX538" s="22" t="e">
        <f ca="1"/>
        <v>#N/A</v>
      </c>
      <c r="MJY538" s="22" t="e">
        <f ca="1"/>
        <v>#N/A</v>
      </c>
      <c r="MJZ538" s="22" t="e">
        <f ca="1"/>
        <v>#N/A</v>
      </c>
      <c r="MKA538" s="22" t="e">
        <f ca="1"/>
        <v>#N/A</v>
      </c>
      <c r="MKB538" s="22" t="e">
        <f ca="1"/>
        <v>#N/A</v>
      </c>
      <c r="MKC538" s="22" t="e">
        <f ca="1"/>
        <v>#N/A</v>
      </c>
      <c r="MKD538" s="22" t="e">
        <f ca="1"/>
        <v>#N/A</v>
      </c>
      <c r="MKE538" s="22" t="e">
        <f ca="1"/>
        <v>#N/A</v>
      </c>
      <c r="MKF538" s="22" t="e">
        <f ca="1"/>
        <v>#N/A</v>
      </c>
      <c r="MKG538" s="22" t="e">
        <f ca="1"/>
        <v>#N/A</v>
      </c>
      <c r="MKH538" s="22" t="e">
        <f ca="1"/>
        <v>#N/A</v>
      </c>
      <c r="MKI538" s="22" t="e">
        <f ca="1"/>
        <v>#N/A</v>
      </c>
      <c r="MKJ538" s="22" t="e">
        <f ca="1"/>
        <v>#N/A</v>
      </c>
      <c r="MKK538" s="22" t="e">
        <f ca="1"/>
        <v>#N/A</v>
      </c>
      <c r="MKL538" s="22" t="e">
        <f ca="1"/>
        <v>#N/A</v>
      </c>
      <c r="MKM538" s="22" t="e">
        <f ca="1"/>
        <v>#N/A</v>
      </c>
      <c r="MKN538" s="22" t="e">
        <f ca="1"/>
        <v>#N/A</v>
      </c>
      <c r="MKO538" s="22" t="e">
        <f ca="1"/>
        <v>#N/A</v>
      </c>
      <c r="MKP538" s="22" t="e">
        <f ca="1"/>
        <v>#N/A</v>
      </c>
      <c r="MKQ538" s="22" t="e">
        <f ca="1"/>
        <v>#N/A</v>
      </c>
      <c r="MKR538" s="22" t="e">
        <f ca="1"/>
        <v>#N/A</v>
      </c>
      <c r="MKS538" s="22" t="e">
        <f ca="1"/>
        <v>#N/A</v>
      </c>
      <c r="MKT538" s="22" t="e">
        <f ca="1"/>
        <v>#N/A</v>
      </c>
      <c r="MKU538" s="22" t="e">
        <f ca="1"/>
        <v>#N/A</v>
      </c>
      <c r="MKV538" s="22" t="e">
        <f ca="1"/>
        <v>#N/A</v>
      </c>
      <c r="MKW538" s="22" t="e">
        <f ca="1"/>
        <v>#N/A</v>
      </c>
      <c r="MKX538" s="22" t="e">
        <f ca="1"/>
        <v>#N/A</v>
      </c>
      <c r="MKY538" s="22" t="e">
        <f ca="1"/>
        <v>#N/A</v>
      </c>
      <c r="MKZ538" s="22" t="e">
        <f ca="1"/>
        <v>#N/A</v>
      </c>
      <c r="MLA538" s="22" t="e">
        <f ca="1"/>
        <v>#N/A</v>
      </c>
      <c r="MLB538" s="22" t="e">
        <f ca="1"/>
        <v>#N/A</v>
      </c>
      <c r="MLC538" s="22" t="e">
        <f ca="1"/>
        <v>#N/A</v>
      </c>
      <c r="MLD538" s="22" t="e">
        <f ca="1"/>
        <v>#N/A</v>
      </c>
      <c r="MLE538" s="22" t="e">
        <f ca="1"/>
        <v>#N/A</v>
      </c>
      <c r="MLF538" s="22" t="e">
        <f ca="1"/>
        <v>#N/A</v>
      </c>
      <c r="MLG538" s="22" t="e">
        <f ca="1"/>
        <v>#N/A</v>
      </c>
      <c r="MLH538" s="22" t="e">
        <f ca="1"/>
        <v>#N/A</v>
      </c>
      <c r="MLI538" s="22" t="e">
        <f ca="1"/>
        <v>#N/A</v>
      </c>
      <c r="MLJ538" s="22" t="e">
        <f ca="1"/>
        <v>#N/A</v>
      </c>
      <c r="MLK538" s="22" t="e">
        <f ca="1"/>
        <v>#N/A</v>
      </c>
      <c r="MLL538" s="22" t="e">
        <f ca="1"/>
        <v>#N/A</v>
      </c>
      <c r="MLM538" s="22" t="e">
        <f ca="1"/>
        <v>#N/A</v>
      </c>
      <c r="MLN538" s="22" t="e">
        <f ca="1"/>
        <v>#N/A</v>
      </c>
      <c r="MLO538" s="22" t="e">
        <f ca="1"/>
        <v>#N/A</v>
      </c>
      <c r="MLP538" s="22" t="e">
        <f ca="1"/>
        <v>#N/A</v>
      </c>
      <c r="MLQ538" s="22" t="e">
        <f ca="1"/>
        <v>#N/A</v>
      </c>
      <c r="MLR538" s="22" t="e">
        <f ca="1"/>
        <v>#N/A</v>
      </c>
      <c r="MLS538" s="22" t="e">
        <f ca="1"/>
        <v>#N/A</v>
      </c>
      <c r="MLT538" s="22" t="e">
        <f ca="1"/>
        <v>#N/A</v>
      </c>
      <c r="MLU538" s="22" t="e">
        <f ca="1"/>
        <v>#N/A</v>
      </c>
      <c r="MLV538" s="22" t="e">
        <f ca="1"/>
        <v>#N/A</v>
      </c>
      <c r="MLW538" s="22" t="e">
        <f ca="1"/>
        <v>#N/A</v>
      </c>
      <c r="MLX538" s="22" t="e">
        <f ca="1"/>
        <v>#N/A</v>
      </c>
      <c r="MLY538" s="22" t="e">
        <f ca="1"/>
        <v>#N/A</v>
      </c>
      <c r="MLZ538" s="22" t="e">
        <f ca="1"/>
        <v>#N/A</v>
      </c>
      <c r="MMA538" s="22" t="e">
        <f ca="1"/>
        <v>#N/A</v>
      </c>
      <c r="MMB538" s="22" t="e">
        <f ca="1"/>
        <v>#N/A</v>
      </c>
      <c r="MMC538" s="22" t="e">
        <f ca="1"/>
        <v>#N/A</v>
      </c>
      <c r="MMD538" s="22" t="e">
        <f ca="1"/>
        <v>#N/A</v>
      </c>
      <c r="MME538" s="22" t="e">
        <f ca="1"/>
        <v>#N/A</v>
      </c>
      <c r="MMF538" s="22" t="e">
        <f ca="1"/>
        <v>#N/A</v>
      </c>
      <c r="MMG538" s="22" t="e">
        <f ca="1"/>
        <v>#N/A</v>
      </c>
      <c r="MMH538" s="22" t="e">
        <f ca="1"/>
        <v>#N/A</v>
      </c>
      <c r="MMI538" s="22" t="e">
        <f ca="1"/>
        <v>#N/A</v>
      </c>
      <c r="MMJ538" s="22" t="e">
        <f ca="1"/>
        <v>#N/A</v>
      </c>
      <c r="MMK538" s="22" t="e">
        <f ca="1"/>
        <v>#N/A</v>
      </c>
      <c r="MML538" s="22" t="e">
        <f ca="1"/>
        <v>#N/A</v>
      </c>
      <c r="MMM538" s="22" t="e">
        <f ca="1"/>
        <v>#N/A</v>
      </c>
      <c r="MMN538" s="22" t="e">
        <f ca="1"/>
        <v>#N/A</v>
      </c>
      <c r="MMO538" s="22" t="e">
        <f ca="1"/>
        <v>#N/A</v>
      </c>
      <c r="MMP538" s="22" t="e">
        <f ca="1"/>
        <v>#N/A</v>
      </c>
      <c r="MMQ538" s="22" t="e">
        <f ca="1"/>
        <v>#N/A</v>
      </c>
      <c r="MMR538" s="22" t="e">
        <f ca="1"/>
        <v>#N/A</v>
      </c>
      <c r="MMS538" s="22" t="e">
        <f ca="1"/>
        <v>#N/A</v>
      </c>
      <c r="MMT538" s="22" t="e">
        <f ca="1"/>
        <v>#N/A</v>
      </c>
      <c r="MMU538" s="22" t="e">
        <f ca="1"/>
        <v>#N/A</v>
      </c>
      <c r="MMV538" s="22" t="e">
        <f ca="1"/>
        <v>#N/A</v>
      </c>
      <c r="MMW538" s="22" t="e">
        <f ca="1"/>
        <v>#N/A</v>
      </c>
      <c r="MMX538" s="22" t="e">
        <f ca="1"/>
        <v>#N/A</v>
      </c>
      <c r="MMY538" s="22" t="e">
        <f ca="1"/>
        <v>#N/A</v>
      </c>
      <c r="MMZ538" s="22" t="e">
        <f ca="1"/>
        <v>#N/A</v>
      </c>
      <c r="MNA538" s="22" t="e">
        <f ca="1"/>
        <v>#N/A</v>
      </c>
      <c r="MNB538" s="22" t="e">
        <f ca="1"/>
        <v>#N/A</v>
      </c>
      <c r="MNC538" s="22" t="e">
        <f ca="1"/>
        <v>#N/A</v>
      </c>
      <c r="MND538" s="22" t="e">
        <f ca="1"/>
        <v>#N/A</v>
      </c>
      <c r="MNE538" s="22" t="e">
        <f ca="1"/>
        <v>#N/A</v>
      </c>
      <c r="MNF538" s="22" t="e">
        <f ca="1"/>
        <v>#N/A</v>
      </c>
      <c r="MNG538" s="22" t="e">
        <f ca="1"/>
        <v>#N/A</v>
      </c>
      <c r="MNH538" s="22" t="e">
        <f ca="1"/>
        <v>#N/A</v>
      </c>
      <c r="MNI538" s="22" t="e">
        <f ca="1"/>
        <v>#N/A</v>
      </c>
      <c r="MNJ538" s="22" t="e">
        <f ca="1"/>
        <v>#N/A</v>
      </c>
      <c r="MNK538" s="22" t="e">
        <f ca="1"/>
        <v>#N/A</v>
      </c>
      <c r="MNL538" s="22" t="e">
        <f ca="1"/>
        <v>#N/A</v>
      </c>
      <c r="MNM538" s="22" t="e">
        <f ca="1"/>
        <v>#N/A</v>
      </c>
      <c r="MNN538" s="22" t="e">
        <f ca="1"/>
        <v>#N/A</v>
      </c>
      <c r="MNO538" s="22" t="e">
        <f ca="1"/>
        <v>#N/A</v>
      </c>
      <c r="MNP538" s="22" t="e">
        <f ca="1"/>
        <v>#N/A</v>
      </c>
      <c r="MNQ538" s="22" t="e">
        <f ca="1"/>
        <v>#N/A</v>
      </c>
      <c r="MNR538" s="22" t="e">
        <f ca="1"/>
        <v>#N/A</v>
      </c>
      <c r="MNS538" s="22" t="e">
        <f ca="1"/>
        <v>#N/A</v>
      </c>
      <c r="MNT538" s="22" t="e">
        <f ca="1"/>
        <v>#N/A</v>
      </c>
      <c r="MNU538" s="22" t="e">
        <f ca="1"/>
        <v>#N/A</v>
      </c>
      <c r="MNV538" s="22" t="e">
        <f ca="1"/>
        <v>#N/A</v>
      </c>
      <c r="MNW538" s="22" t="e">
        <f ca="1"/>
        <v>#N/A</v>
      </c>
      <c r="MNX538" s="22" t="e">
        <f ca="1"/>
        <v>#N/A</v>
      </c>
      <c r="MNY538" s="22" t="e">
        <f ca="1"/>
        <v>#N/A</v>
      </c>
      <c r="MNZ538" s="22" t="e">
        <f ca="1"/>
        <v>#N/A</v>
      </c>
      <c r="MOA538" s="22" t="e">
        <f ca="1"/>
        <v>#N/A</v>
      </c>
      <c r="MOB538" s="22" t="e">
        <f ca="1"/>
        <v>#N/A</v>
      </c>
      <c r="MOC538" s="22" t="e">
        <f ca="1"/>
        <v>#N/A</v>
      </c>
      <c r="MOD538" s="22" t="e">
        <f ca="1"/>
        <v>#N/A</v>
      </c>
      <c r="MOE538" s="22" t="e">
        <f ca="1"/>
        <v>#N/A</v>
      </c>
      <c r="MOF538" s="22" t="e">
        <f ca="1"/>
        <v>#N/A</v>
      </c>
      <c r="MOG538" s="22" t="e">
        <f ca="1"/>
        <v>#N/A</v>
      </c>
      <c r="MOH538" s="22" t="e">
        <f ca="1"/>
        <v>#N/A</v>
      </c>
      <c r="MOI538" s="22" t="e">
        <f ca="1"/>
        <v>#N/A</v>
      </c>
      <c r="MOJ538" s="22" t="e">
        <f ca="1"/>
        <v>#N/A</v>
      </c>
      <c r="MOK538" s="22" t="e">
        <f ca="1"/>
        <v>#N/A</v>
      </c>
      <c r="MOL538" s="22" t="e">
        <f ca="1"/>
        <v>#N/A</v>
      </c>
      <c r="MOM538" s="22" t="e">
        <f ca="1"/>
        <v>#N/A</v>
      </c>
      <c r="MON538" s="22" t="e">
        <f ca="1"/>
        <v>#N/A</v>
      </c>
      <c r="MOO538" s="22" t="e">
        <f ca="1"/>
        <v>#N/A</v>
      </c>
      <c r="MOP538" s="22" t="e">
        <f ca="1"/>
        <v>#N/A</v>
      </c>
      <c r="MOQ538" s="22" t="e">
        <f ca="1"/>
        <v>#N/A</v>
      </c>
      <c r="MOR538" s="22" t="e">
        <f ca="1"/>
        <v>#N/A</v>
      </c>
      <c r="MOS538" s="22" t="e">
        <f ca="1"/>
        <v>#N/A</v>
      </c>
      <c r="MOT538" s="22" t="e">
        <f ca="1"/>
        <v>#N/A</v>
      </c>
      <c r="MOU538" s="22" t="e">
        <f ca="1"/>
        <v>#N/A</v>
      </c>
      <c r="MOV538" s="22" t="e">
        <f ca="1"/>
        <v>#N/A</v>
      </c>
      <c r="MOW538" s="22" t="e">
        <f ca="1"/>
        <v>#N/A</v>
      </c>
      <c r="MOX538" s="22" t="e">
        <f ca="1"/>
        <v>#N/A</v>
      </c>
      <c r="MOY538" s="22" t="e">
        <f ca="1"/>
        <v>#N/A</v>
      </c>
      <c r="MOZ538" s="22" t="e">
        <f ca="1"/>
        <v>#N/A</v>
      </c>
      <c r="MPA538" s="22" t="e">
        <f ca="1"/>
        <v>#N/A</v>
      </c>
      <c r="MPB538" s="22" t="e">
        <f ca="1"/>
        <v>#N/A</v>
      </c>
      <c r="MPC538" s="22" t="e">
        <f ca="1"/>
        <v>#N/A</v>
      </c>
      <c r="MPD538" s="22" t="e">
        <f ca="1"/>
        <v>#N/A</v>
      </c>
      <c r="MPE538" s="22" t="e">
        <f ca="1"/>
        <v>#N/A</v>
      </c>
      <c r="MPF538" s="22" t="e">
        <f ca="1"/>
        <v>#N/A</v>
      </c>
      <c r="MPG538" s="22" t="e">
        <f ca="1"/>
        <v>#N/A</v>
      </c>
      <c r="MPH538" s="22" t="e">
        <f ca="1"/>
        <v>#N/A</v>
      </c>
      <c r="MPI538" s="22" t="e">
        <f ca="1"/>
        <v>#N/A</v>
      </c>
      <c r="MPJ538" s="22" t="e">
        <f ca="1"/>
        <v>#N/A</v>
      </c>
      <c r="MPK538" s="22" t="e">
        <f ca="1"/>
        <v>#N/A</v>
      </c>
      <c r="MPL538" s="22" t="e">
        <f ca="1"/>
        <v>#N/A</v>
      </c>
      <c r="MPM538" s="22" t="e">
        <f ca="1"/>
        <v>#N/A</v>
      </c>
      <c r="MPN538" s="22" t="e">
        <f ca="1"/>
        <v>#N/A</v>
      </c>
      <c r="MPO538" s="22" t="e">
        <f ca="1"/>
        <v>#N/A</v>
      </c>
      <c r="MPP538" s="22" t="e">
        <f ca="1"/>
        <v>#N/A</v>
      </c>
      <c r="MPQ538" s="22" t="e">
        <f ca="1"/>
        <v>#N/A</v>
      </c>
      <c r="MPR538" s="22" t="e">
        <f ca="1"/>
        <v>#N/A</v>
      </c>
      <c r="MPS538" s="22" t="e">
        <f ca="1"/>
        <v>#N/A</v>
      </c>
      <c r="MPT538" s="22" t="e">
        <f ca="1"/>
        <v>#N/A</v>
      </c>
      <c r="MPU538" s="22" t="e">
        <f ca="1"/>
        <v>#N/A</v>
      </c>
      <c r="MPV538" s="22" t="e">
        <f ca="1"/>
        <v>#N/A</v>
      </c>
      <c r="MPW538" s="22" t="e">
        <f ca="1"/>
        <v>#N/A</v>
      </c>
      <c r="MPX538" s="22" t="e">
        <f ca="1"/>
        <v>#N/A</v>
      </c>
      <c r="MPY538" s="22" t="e">
        <f ca="1"/>
        <v>#N/A</v>
      </c>
      <c r="MPZ538" s="22" t="e">
        <f ca="1"/>
        <v>#N/A</v>
      </c>
      <c r="MQA538" s="22" t="e">
        <f ca="1"/>
        <v>#N/A</v>
      </c>
      <c r="MQB538" s="22" t="e">
        <f ca="1"/>
        <v>#N/A</v>
      </c>
      <c r="MQC538" s="22" t="e">
        <f ca="1"/>
        <v>#N/A</v>
      </c>
      <c r="MQD538" s="22" t="e">
        <f ca="1"/>
        <v>#N/A</v>
      </c>
      <c r="MQE538" s="22" t="e">
        <f ca="1"/>
        <v>#N/A</v>
      </c>
      <c r="MQF538" s="22" t="e">
        <f ca="1"/>
        <v>#N/A</v>
      </c>
      <c r="MQG538" s="22" t="e">
        <f ca="1"/>
        <v>#N/A</v>
      </c>
      <c r="MQH538" s="22" t="e">
        <f ca="1"/>
        <v>#N/A</v>
      </c>
      <c r="MQI538" s="22" t="e">
        <f ca="1"/>
        <v>#N/A</v>
      </c>
      <c r="MQJ538" s="22" t="e">
        <f ca="1"/>
        <v>#N/A</v>
      </c>
      <c r="MQK538" s="22" t="e">
        <f ca="1"/>
        <v>#N/A</v>
      </c>
      <c r="MQL538" s="22" t="e">
        <f ca="1"/>
        <v>#N/A</v>
      </c>
      <c r="MQM538" s="22" t="e">
        <f ca="1"/>
        <v>#N/A</v>
      </c>
      <c r="MQN538" s="22" t="e">
        <f ca="1"/>
        <v>#N/A</v>
      </c>
      <c r="MQO538" s="22" t="e">
        <f ca="1"/>
        <v>#N/A</v>
      </c>
      <c r="MQP538" s="22" t="e">
        <f ca="1"/>
        <v>#N/A</v>
      </c>
      <c r="MQQ538" s="22" t="e">
        <f ca="1"/>
        <v>#N/A</v>
      </c>
      <c r="MQR538" s="22" t="e">
        <f ca="1"/>
        <v>#N/A</v>
      </c>
      <c r="MQS538" s="22" t="e">
        <f ca="1"/>
        <v>#N/A</v>
      </c>
      <c r="MQT538" s="22" t="e">
        <f ca="1"/>
        <v>#N/A</v>
      </c>
      <c r="MQU538" s="22" t="e">
        <f ca="1"/>
        <v>#N/A</v>
      </c>
      <c r="MQV538" s="22" t="e">
        <f ca="1"/>
        <v>#N/A</v>
      </c>
      <c r="MQW538" s="22" t="e">
        <f ca="1"/>
        <v>#N/A</v>
      </c>
      <c r="MQX538" s="22" t="e">
        <f ca="1"/>
        <v>#N/A</v>
      </c>
      <c r="MQY538" s="22" t="e">
        <f ca="1"/>
        <v>#N/A</v>
      </c>
      <c r="MQZ538" s="22" t="e">
        <f ca="1"/>
        <v>#N/A</v>
      </c>
      <c r="MRA538" s="22" t="e">
        <f ca="1"/>
        <v>#N/A</v>
      </c>
      <c r="MRB538" s="22" t="e">
        <f ca="1"/>
        <v>#N/A</v>
      </c>
      <c r="MRC538" s="22" t="e">
        <f ca="1"/>
        <v>#N/A</v>
      </c>
      <c r="MRD538" s="22" t="e">
        <f ca="1"/>
        <v>#N/A</v>
      </c>
      <c r="MRE538" s="22" t="e">
        <f ca="1"/>
        <v>#N/A</v>
      </c>
      <c r="MRF538" s="22" t="e">
        <f ca="1"/>
        <v>#N/A</v>
      </c>
      <c r="MRG538" s="22" t="e">
        <f ca="1"/>
        <v>#N/A</v>
      </c>
      <c r="MRH538" s="22" t="e">
        <f ca="1"/>
        <v>#N/A</v>
      </c>
      <c r="MRI538" s="22" t="e">
        <f ca="1"/>
        <v>#N/A</v>
      </c>
      <c r="MRJ538" s="22" t="e">
        <f ca="1"/>
        <v>#N/A</v>
      </c>
      <c r="MRK538" s="22" t="e">
        <f ca="1"/>
        <v>#N/A</v>
      </c>
      <c r="MRL538" s="22" t="e">
        <f ca="1"/>
        <v>#N/A</v>
      </c>
      <c r="MRM538" s="22" t="e">
        <f ca="1"/>
        <v>#N/A</v>
      </c>
      <c r="MRN538" s="22" t="e">
        <f ca="1"/>
        <v>#N/A</v>
      </c>
      <c r="MRO538" s="22" t="e">
        <f ca="1"/>
        <v>#N/A</v>
      </c>
      <c r="MRP538" s="22" t="e">
        <f ca="1"/>
        <v>#N/A</v>
      </c>
      <c r="MRQ538" s="22" t="e">
        <f ca="1"/>
        <v>#N/A</v>
      </c>
      <c r="MRR538" s="22" t="e">
        <f ca="1"/>
        <v>#N/A</v>
      </c>
      <c r="MRS538" s="22" t="e">
        <f ca="1"/>
        <v>#N/A</v>
      </c>
      <c r="MRT538" s="22" t="e">
        <f ca="1"/>
        <v>#N/A</v>
      </c>
      <c r="MRU538" s="22" t="e">
        <f ca="1"/>
        <v>#N/A</v>
      </c>
      <c r="MRV538" s="22" t="e">
        <f ca="1"/>
        <v>#N/A</v>
      </c>
      <c r="MRW538" s="22" t="e">
        <f ca="1"/>
        <v>#N/A</v>
      </c>
      <c r="MRX538" s="22" t="e">
        <f ca="1"/>
        <v>#N/A</v>
      </c>
      <c r="MRY538" s="22" t="e">
        <f ca="1"/>
        <v>#N/A</v>
      </c>
      <c r="MRZ538" s="22" t="e">
        <f ca="1"/>
        <v>#N/A</v>
      </c>
      <c r="MSA538" s="22" t="e">
        <f ca="1"/>
        <v>#N/A</v>
      </c>
      <c r="MSB538" s="22" t="e">
        <f ca="1"/>
        <v>#N/A</v>
      </c>
      <c r="MSC538" s="22" t="e">
        <f ca="1"/>
        <v>#N/A</v>
      </c>
      <c r="MSD538" s="22" t="e">
        <f ca="1"/>
        <v>#N/A</v>
      </c>
      <c r="MSE538" s="22" t="e">
        <f ca="1"/>
        <v>#N/A</v>
      </c>
      <c r="MSF538" s="22" t="e">
        <f ca="1"/>
        <v>#N/A</v>
      </c>
      <c r="MSG538" s="22" t="e">
        <f ca="1"/>
        <v>#N/A</v>
      </c>
      <c r="MSH538" s="22" t="e">
        <f ca="1"/>
        <v>#N/A</v>
      </c>
      <c r="MSI538" s="22" t="e">
        <f ca="1"/>
        <v>#N/A</v>
      </c>
      <c r="MSJ538" s="22" t="e">
        <f ca="1"/>
        <v>#N/A</v>
      </c>
      <c r="MSK538" s="22" t="e">
        <f ca="1"/>
        <v>#N/A</v>
      </c>
      <c r="MSL538" s="22" t="e">
        <f ca="1"/>
        <v>#N/A</v>
      </c>
      <c r="MSM538" s="22" t="e">
        <f ca="1"/>
        <v>#N/A</v>
      </c>
      <c r="MSN538" s="22" t="e">
        <f ca="1"/>
        <v>#N/A</v>
      </c>
      <c r="MSO538" s="22" t="e">
        <f ca="1"/>
        <v>#N/A</v>
      </c>
      <c r="MSP538" s="22" t="e">
        <f ca="1"/>
        <v>#N/A</v>
      </c>
      <c r="MSQ538" s="22" t="e">
        <f ca="1"/>
        <v>#N/A</v>
      </c>
      <c r="MSR538" s="22" t="e">
        <f ca="1"/>
        <v>#N/A</v>
      </c>
      <c r="MSS538" s="22" t="e">
        <f ca="1"/>
        <v>#N/A</v>
      </c>
      <c r="MST538" s="22" t="e">
        <f ca="1"/>
        <v>#N/A</v>
      </c>
      <c r="MSU538" s="22" t="e">
        <f ca="1"/>
        <v>#N/A</v>
      </c>
      <c r="MSV538" s="22" t="e">
        <f ca="1"/>
        <v>#N/A</v>
      </c>
      <c r="MSW538" s="22" t="e">
        <f ca="1"/>
        <v>#N/A</v>
      </c>
      <c r="MSX538" s="22" t="e">
        <f ca="1"/>
        <v>#N/A</v>
      </c>
      <c r="MSY538" s="22" t="e">
        <f ca="1"/>
        <v>#N/A</v>
      </c>
      <c r="MSZ538" s="22" t="e">
        <f ca="1"/>
        <v>#N/A</v>
      </c>
      <c r="MTA538" s="22" t="e">
        <f ca="1"/>
        <v>#N/A</v>
      </c>
      <c r="MTB538" s="22" t="e">
        <f ca="1"/>
        <v>#N/A</v>
      </c>
      <c r="MTC538" s="22" t="e">
        <f ca="1"/>
        <v>#N/A</v>
      </c>
      <c r="MTD538" s="22" t="e">
        <f ca="1"/>
        <v>#N/A</v>
      </c>
      <c r="MTE538" s="22" t="e">
        <f ca="1"/>
        <v>#N/A</v>
      </c>
      <c r="MTF538" s="22" t="e">
        <f ca="1"/>
        <v>#N/A</v>
      </c>
      <c r="MTG538" s="22" t="e">
        <f ca="1"/>
        <v>#N/A</v>
      </c>
      <c r="MTH538" s="22" t="e">
        <f ca="1"/>
        <v>#N/A</v>
      </c>
      <c r="MTI538" s="22" t="e">
        <f ca="1"/>
        <v>#N/A</v>
      </c>
      <c r="MTJ538" s="22" t="e">
        <f ca="1"/>
        <v>#N/A</v>
      </c>
      <c r="MTK538" s="22" t="e">
        <f ca="1"/>
        <v>#N/A</v>
      </c>
      <c r="MTL538" s="22" t="e">
        <f ca="1"/>
        <v>#N/A</v>
      </c>
      <c r="MTM538" s="22" t="e">
        <f ca="1"/>
        <v>#N/A</v>
      </c>
      <c r="MTN538" s="22" t="e">
        <f ca="1"/>
        <v>#N/A</v>
      </c>
      <c r="MTO538" s="22" t="e">
        <f ca="1"/>
        <v>#N/A</v>
      </c>
      <c r="MTP538" s="22" t="e">
        <f ca="1"/>
        <v>#N/A</v>
      </c>
      <c r="MTQ538" s="22" t="e">
        <f ca="1"/>
        <v>#N/A</v>
      </c>
      <c r="MTR538" s="22" t="e">
        <f ca="1"/>
        <v>#N/A</v>
      </c>
      <c r="MTS538" s="22" t="e">
        <f ca="1"/>
        <v>#N/A</v>
      </c>
      <c r="MTT538" s="22" t="e">
        <f ca="1"/>
        <v>#N/A</v>
      </c>
      <c r="MTU538" s="22" t="e">
        <f ca="1"/>
        <v>#N/A</v>
      </c>
      <c r="MTV538" s="22" t="e">
        <f ca="1"/>
        <v>#N/A</v>
      </c>
      <c r="MTW538" s="22" t="e">
        <f ca="1"/>
        <v>#N/A</v>
      </c>
      <c r="MTX538" s="22" t="e">
        <f ca="1"/>
        <v>#N/A</v>
      </c>
      <c r="MTY538" s="22" t="e">
        <f ca="1"/>
        <v>#N/A</v>
      </c>
      <c r="MTZ538" s="22" t="e">
        <f ca="1"/>
        <v>#N/A</v>
      </c>
      <c r="MUA538" s="22" t="e">
        <f ca="1"/>
        <v>#N/A</v>
      </c>
      <c r="MUB538" s="22" t="e">
        <f ca="1"/>
        <v>#N/A</v>
      </c>
      <c r="MUC538" s="22" t="e">
        <f ca="1"/>
        <v>#N/A</v>
      </c>
      <c r="MUD538" s="22" t="e">
        <f ca="1"/>
        <v>#N/A</v>
      </c>
      <c r="MUE538" s="22" t="e">
        <f ca="1"/>
        <v>#N/A</v>
      </c>
      <c r="MUF538" s="22" t="e">
        <f ca="1"/>
        <v>#N/A</v>
      </c>
      <c r="MUG538" s="22" t="e">
        <f ca="1"/>
        <v>#N/A</v>
      </c>
      <c r="MUH538" s="22" t="e">
        <f ca="1"/>
        <v>#N/A</v>
      </c>
      <c r="MUI538" s="22" t="e">
        <f ca="1"/>
        <v>#N/A</v>
      </c>
      <c r="MUJ538" s="22" t="e">
        <f ca="1"/>
        <v>#N/A</v>
      </c>
      <c r="MUK538" s="22" t="e">
        <f ca="1"/>
        <v>#N/A</v>
      </c>
      <c r="MUL538" s="22" t="e">
        <f ca="1"/>
        <v>#N/A</v>
      </c>
      <c r="MUM538" s="22" t="e">
        <f ca="1"/>
        <v>#N/A</v>
      </c>
      <c r="MUN538" s="22" t="e">
        <f ca="1"/>
        <v>#N/A</v>
      </c>
      <c r="MUO538" s="22" t="e">
        <f ca="1"/>
        <v>#N/A</v>
      </c>
      <c r="MUP538" s="22" t="e">
        <f ca="1"/>
        <v>#N/A</v>
      </c>
      <c r="MUQ538" s="22" t="e">
        <f ca="1"/>
        <v>#N/A</v>
      </c>
      <c r="MUR538" s="22" t="e">
        <f ca="1"/>
        <v>#N/A</v>
      </c>
      <c r="MUS538" s="22" t="e">
        <f ca="1"/>
        <v>#N/A</v>
      </c>
      <c r="MUT538" s="22" t="e">
        <f ca="1"/>
        <v>#N/A</v>
      </c>
      <c r="MUU538" s="22" t="e">
        <f ca="1"/>
        <v>#N/A</v>
      </c>
      <c r="MUV538" s="22" t="e">
        <f ca="1"/>
        <v>#N/A</v>
      </c>
      <c r="MUW538" s="22" t="e">
        <f ca="1"/>
        <v>#N/A</v>
      </c>
      <c r="MUX538" s="22" t="e">
        <f ca="1"/>
        <v>#N/A</v>
      </c>
      <c r="MUY538" s="22" t="e">
        <f ca="1"/>
        <v>#N/A</v>
      </c>
      <c r="MUZ538" s="22" t="e">
        <f ca="1"/>
        <v>#N/A</v>
      </c>
      <c r="MVA538" s="22" t="e">
        <f ca="1"/>
        <v>#N/A</v>
      </c>
      <c r="MVB538" s="22" t="e">
        <f ca="1"/>
        <v>#N/A</v>
      </c>
      <c r="MVC538" s="22" t="e">
        <f ca="1"/>
        <v>#N/A</v>
      </c>
      <c r="MVD538" s="22" t="e">
        <f ca="1"/>
        <v>#N/A</v>
      </c>
      <c r="MVE538" s="22" t="e">
        <f ca="1"/>
        <v>#N/A</v>
      </c>
      <c r="MVF538" s="22" t="e">
        <f ca="1"/>
        <v>#N/A</v>
      </c>
      <c r="MVG538" s="22" t="e">
        <f ca="1"/>
        <v>#N/A</v>
      </c>
      <c r="MVH538" s="22" t="e">
        <f ca="1"/>
        <v>#N/A</v>
      </c>
      <c r="MVI538" s="22" t="e">
        <f ca="1"/>
        <v>#N/A</v>
      </c>
      <c r="MVJ538" s="22" t="e">
        <f ca="1"/>
        <v>#N/A</v>
      </c>
      <c r="MVK538" s="22" t="e">
        <f ca="1"/>
        <v>#N/A</v>
      </c>
      <c r="MVL538" s="22" t="e">
        <f ca="1"/>
        <v>#N/A</v>
      </c>
      <c r="MVM538" s="22" t="e">
        <f ca="1"/>
        <v>#N/A</v>
      </c>
      <c r="MVN538" s="22" t="e">
        <f ca="1"/>
        <v>#N/A</v>
      </c>
      <c r="MVO538" s="22" t="e">
        <f ca="1"/>
        <v>#N/A</v>
      </c>
      <c r="MVP538" s="22" t="e">
        <f ca="1"/>
        <v>#N/A</v>
      </c>
      <c r="MVQ538" s="22" t="e">
        <f ca="1"/>
        <v>#N/A</v>
      </c>
      <c r="MVR538" s="22" t="e">
        <f ca="1"/>
        <v>#N/A</v>
      </c>
      <c r="MVS538" s="22" t="e">
        <f ca="1"/>
        <v>#N/A</v>
      </c>
      <c r="MVT538" s="22" t="e">
        <f ca="1"/>
        <v>#N/A</v>
      </c>
      <c r="MVU538" s="22" t="e">
        <f ca="1"/>
        <v>#N/A</v>
      </c>
      <c r="MVV538" s="22" t="e">
        <f ca="1"/>
        <v>#N/A</v>
      </c>
      <c r="MVW538" s="22" t="e">
        <f ca="1"/>
        <v>#N/A</v>
      </c>
      <c r="MVX538" s="22" t="e">
        <f ca="1"/>
        <v>#N/A</v>
      </c>
      <c r="MVY538" s="22" t="e">
        <f ca="1"/>
        <v>#N/A</v>
      </c>
      <c r="MVZ538" s="22" t="e">
        <f ca="1"/>
        <v>#N/A</v>
      </c>
      <c r="MWA538" s="22" t="e">
        <f ca="1"/>
        <v>#N/A</v>
      </c>
      <c r="MWB538" s="22" t="e">
        <f ca="1"/>
        <v>#N/A</v>
      </c>
      <c r="MWC538" s="22" t="e">
        <f ca="1"/>
        <v>#N/A</v>
      </c>
      <c r="MWD538" s="22" t="e">
        <f ca="1"/>
        <v>#N/A</v>
      </c>
      <c r="MWE538" s="22" t="e">
        <f ca="1"/>
        <v>#N/A</v>
      </c>
      <c r="MWF538" s="22" t="e">
        <f ca="1"/>
        <v>#N/A</v>
      </c>
      <c r="MWG538" s="22" t="e">
        <f ca="1"/>
        <v>#N/A</v>
      </c>
      <c r="MWH538" s="22" t="e">
        <f ca="1"/>
        <v>#N/A</v>
      </c>
      <c r="MWI538" s="22" t="e">
        <f ca="1"/>
        <v>#N/A</v>
      </c>
      <c r="MWJ538" s="22" t="e">
        <f ca="1"/>
        <v>#N/A</v>
      </c>
      <c r="MWK538" s="22" t="e">
        <f ca="1"/>
        <v>#N/A</v>
      </c>
      <c r="MWL538" s="22" t="e">
        <f ca="1"/>
        <v>#N/A</v>
      </c>
      <c r="MWM538" s="22" t="e">
        <f ca="1"/>
        <v>#N/A</v>
      </c>
      <c r="MWN538" s="22" t="e">
        <f ca="1"/>
        <v>#N/A</v>
      </c>
      <c r="MWO538" s="22" t="e">
        <f ca="1"/>
        <v>#N/A</v>
      </c>
      <c r="MWP538" s="22" t="e">
        <f ca="1"/>
        <v>#N/A</v>
      </c>
      <c r="MWQ538" s="22" t="e">
        <f ca="1"/>
        <v>#N/A</v>
      </c>
      <c r="MWR538" s="22" t="e">
        <f ca="1"/>
        <v>#N/A</v>
      </c>
      <c r="MWS538" s="22" t="e">
        <f ca="1"/>
        <v>#N/A</v>
      </c>
      <c r="MWT538" s="22" t="e">
        <f ca="1"/>
        <v>#N/A</v>
      </c>
      <c r="MWU538" s="22" t="e">
        <f ca="1"/>
        <v>#N/A</v>
      </c>
      <c r="MWV538" s="22" t="e">
        <f ca="1"/>
        <v>#N/A</v>
      </c>
      <c r="MWW538" s="22" t="e">
        <f ca="1"/>
        <v>#N/A</v>
      </c>
      <c r="MWX538" s="22" t="e">
        <f ca="1"/>
        <v>#N/A</v>
      </c>
      <c r="MWY538" s="22" t="e">
        <f ca="1"/>
        <v>#N/A</v>
      </c>
      <c r="MWZ538" s="22" t="e">
        <f ca="1"/>
        <v>#N/A</v>
      </c>
      <c r="MXA538" s="22" t="e">
        <f ca="1"/>
        <v>#N/A</v>
      </c>
      <c r="MXB538" s="22" t="e">
        <f ca="1"/>
        <v>#N/A</v>
      </c>
      <c r="MXC538" s="22" t="e">
        <f ca="1"/>
        <v>#N/A</v>
      </c>
      <c r="MXD538" s="22" t="e">
        <f ca="1"/>
        <v>#N/A</v>
      </c>
      <c r="MXE538" s="22" t="e">
        <f ca="1"/>
        <v>#N/A</v>
      </c>
      <c r="MXF538" s="22" t="e">
        <f ca="1"/>
        <v>#N/A</v>
      </c>
      <c r="MXG538" s="22" t="e">
        <f ca="1"/>
        <v>#N/A</v>
      </c>
      <c r="MXH538" s="22" t="e">
        <f ca="1"/>
        <v>#N/A</v>
      </c>
      <c r="MXI538" s="22" t="e">
        <f ca="1"/>
        <v>#N/A</v>
      </c>
      <c r="MXJ538" s="22" t="e">
        <f ca="1"/>
        <v>#N/A</v>
      </c>
      <c r="MXK538" s="22" t="e">
        <f ca="1"/>
        <v>#N/A</v>
      </c>
      <c r="MXL538" s="22" t="e">
        <f ca="1"/>
        <v>#N/A</v>
      </c>
      <c r="MXM538" s="22" t="e">
        <f ca="1"/>
        <v>#N/A</v>
      </c>
      <c r="MXN538" s="22" t="e">
        <f ca="1"/>
        <v>#N/A</v>
      </c>
      <c r="MXO538" s="22" t="e">
        <f ca="1"/>
        <v>#N/A</v>
      </c>
      <c r="MXP538" s="22" t="e">
        <f ca="1"/>
        <v>#N/A</v>
      </c>
      <c r="MXQ538" s="22" t="e">
        <f ca="1"/>
        <v>#N/A</v>
      </c>
      <c r="MXR538" s="22" t="e">
        <f ca="1"/>
        <v>#N/A</v>
      </c>
      <c r="MXS538" s="22" t="e">
        <f ca="1"/>
        <v>#N/A</v>
      </c>
      <c r="MXT538" s="22" t="e">
        <f ca="1"/>
        <v>#N/A</v>
      </c>
      <c r="MXU538" s="22" t="e">
        <f ca="1"/>
        <v>#N/A</v>
      </c>
      <c r="MXV538" s="22" t="e">
        <f ca="1"/>
        <v>#N/A</v>
      </c>
      <c r="MXW538" s="22" t="e">
        <f ca="1"/>
        <v>#N/A</v>
      </c>
      <c r="MXX538" s="22" t="e">
        <f ca="1"/>
        <v>#N/A</v>
      </c>
      <c r="MXY538" s="22" t="e">
        <f ca="1"/>
        <v>#N/A</v>
      </c>
      <c r="MXZ538" s="22" t="e">
        <f ca="1"/>
        <v>#N/A</v>
      </c>
      <c r="MYA538" s="22" t="e">
        <f ca="1"/>
        <v>#N/A</v>
      </c>
      <c r="MYB538" s="22" t="e">
        <f ca="1"/>
        <v>#N/A</v>
      </c>
      <c r="MYC538" s="22" t="e">
        <f ca="1"/>
        <v>#N/A</v>
      </c>
      <c r="MYD538" s="22" t="e">
        <f ca="1"/>
        <v>#N/A</v>
      </c>
      <c r="MYE538" s="22" t="e">
        <f ca="1"/>
        <v>#N/A</v>
      </c>
      <c r="MYF538" s="22" t="e">
        <f ca="1"/>
        <v>#N/A</v>
      </c>
      <c r="MYG538" s="22" t="e">
        <f ca="1"/>
        <v>#N/A</v>
      </c>
      <c r="MYH538" s="22" t="e">
        <f ca="1"/>
        <v>#N/A</v>
      </c>
      <c r="MYI538" s="22" t="e">
        <f ca="1"/>
        <v>#N/A</v>
      </c>
      <c r="MYJ538" s="22" t="e">
        <f ca="1"/>
        <v>#N/A</v>
      </c>
      <c r="MYK538" s="22" t="e">
        <f ca="1"/>
        <v>#N/A</v>
      </c>
      <c r="MYL538" s="22" t="e">
        <f ca="1"/>
        <v>#N/A</v>
      </c>
      <c r="MYM538" s="22" t="e">
        <f ca="1"/>
        <v>#N/A</v>
      </c>
      <c r="MYN538" s="22" t="e">
        <f ca="1"/>
        <v>#N/A</v>
      </c>
      <c r="MYO538" s="22" t="e">
        <f ca="1"/>
        <v>#N/A</v>
      </c>
      <c r="MYP538" s="22" t="e">
        <f ca="1"/>
        <v>#N/A</v>
      </c>
      <c r="MYQ538" s="22" t="e">
        <f ca="1"/>
        <v>#N/A</v>
      </c>
      <c r="MYR538" s="22" t="e">
        <f ca="1"/>
        <v>#N/A</v>
      </c>
      <c r="MYS538" s="22" t="e">
        <f ca="1"/>
        <v>#N/A</v>
      </c>
      <c r="MYT538" s="22" t="e">
        <f ca="1"/>
        <v>#N/A</v>
      </c>
      <c r="MYU538" s="22" t="e">
        <f ca="1"/>
        <v>#N/A</v>
      </c>
      <c r="MYV538" s="22" t="e">
        <f ca="1"/>
        <v>#N/A</v>
      </c>
      <c r="MYW538" s="22" t="e">
        <f ca="1"/>
        <v>#N/A</v>
      </c>
      <c r="MYX538" s="22" t="e">
        <f ca="1"/>
        <v>#N/A</v>
      </c>
      <c r="MYY538" s="22" t="e">
        <f ca="1"/>
        <v>#N/A</v>
      </c>
      <c r="MYZ538" s="22" t="e">
        <f ca="1"/>
        <v>#N/A</v>
      </c>
      <c r="MZA538" s="22" t="e">
        <f ca="1"/>
        <v>#N/A</v>
      </c>
      <c r="MZB538" s="22" t="e">
        <f ca="1"/>
        <v>#N/A</v>
      </c>
      <c r="MZC538" s="22" t="e">
        <f ca="1"/>
        <v>#N/A</v>
      </c>
      <c r="MZD538" s="22" t="e">
        <f ca="1"/>
        <v>#N/A</v>
      </c>
      <c r="MZE538" s="22" t="e">
        <f ca="1"/>
        <v>#N/A</v>
      </c>
      <c r="MZF538" s="22" t="e">
        <f ca="1"/>
        <v>#N/A</v>
      </c>
      <c r="MZG538" s="22" t="e">
        <f ca="1"/>
        <v>#N/A</v>
      </c>
      <c r="MZH538" s="22" t="e">
        <f ca="1"/>
        <v>#N/A</v>
      </c>
      <c r="MZI538" s="22" t="e">
        <f ca="1"/>
        <v>#N/A</v>
      </c>
      <c r="MZJ538" s="22" t="e">
        <f ca="1"/>
        <v>#N/A</v>
      </c>
      <c r="MZK538" s="22" t="e">
        <f ca="1"/>
        <v>#N/A</v>
      </c>
      <c r="MZL538" s="22" t="e">
        <f ca="1"/>
        <v>#N/A</v>
      </c>
      <c r="MZM538" s="22" t="e">
        <f ca="1"/>
        <v>#N/A</v>
      </c>
      <c r="MZN538" s="22" t="e">
        <f ca="1"/>
        <v>#N/A</v>
      </c>
      <c r="MZO538" s="22" t="e">
        <f ca="1"/>
        <v>#N/A</v>
      </c>
      <c r="MZP538" s="22" t="e">
        <f ca="1"/>
        <v>#N/A</v>
      </c>
      <c r="MZQ538" s="22" t="e">
        <f ca="1"/>
        <v>#N/A</v>
      </c>
      <c r="MZR538" s="22" t="e">
        <f ca="1"/>
        <v>#N/A</v>
      </c>
      <c r="MZS538" s="22" t="e">
        <f ca="1"/>
        <v>#N/A</v>
      </c>
      <c r="MZT538" s="22" t="e">
        <f ca="1"/>
        <v>#N/A</v>
      </c>
      <c r="MZU538" s="22" t="e">
        <f ca="1"/>
        <v>#N/A</v>
      </c>
      <c r="MZV538" s="22" t="e">
        <f ca="1"/>
        <v>#N/A</v>
      </c>
      <c r="MZW538" s="22" t="e">
        <f ca="1"/>
        <v>#N/A</v>
      </c>
      <c r="MZX538" s="22" t="e">
        <f ca="1"/>
        <v>#N/A</v>
      </c>
      <c r="MZY538" s="22" t="e">
        <f ca="1"/>
        <v>#N/A</v>
      </c>
      <c r="MZZ538" s="22" t="e">
        <f ca="1"/>
        <v>#N/A</v>
      </c>
      <c r="NAA538" s="22" t="e">
        <f ca="1"/>
        <v>#N/A</v>
      </c>
      <c r="NAB538" s="22" t="e">
        <f ca="1"/>
        <v>#N/A</v>
      </c>
      <c r="NAC538" s="22" t="e">
        <f ca="1"/>
        <v>#N/A</v>
      </c>
      <c r="NAD538" s="22" t="e">
        <f ca="1"/>
        <v>#N/A</v>
      </c>
      <c r="NAE538" s="22" t="e">
        <f ca="1"/>
        <v>#N/A</v>
      </c>
      <c r="NAF538" s="22" t="e">
        <f ca="1"/>
        <v>#N/A</v>
      </c>
      <c r="NAG538" s="22" t="e">
        <f ca="1"/>
        <v>#N/A</v>
      </c>
      <c r="NAH538" s="22" t="e">
        <f ca="1"/>
        <v>#N/A</v>
      </c>
      <c r="NAI538" s="22" t="e">
        <f ca="1"/>
        <v>#N/A</v>
      </c>
      <c r="NAJ538" s="22" t="e">
        <f ca="1"/>
        <v>#N/A</v>
      </c>
      <c r="NAK538" s="22" t="e">
        <f ca="1"/>
        <v>#N/A</v>
      </c>
      <c r="NAL538" s="22" t="e">
        <f ca="1"/>
        <v>#N/A</v>
      </c>
      <c r="NAM538" s="22" t="e">
        <f ca="1"/>
        <v>#N/A</v>
      </c>
      <c r="NAN538" s="22" t="e">
        <f ca="1"/>
        <v>#N/A</v>
      </c>
      <c r="NAO538" s="22" t="e">
        <f ca="1"/>
        <v>#N/A</v>
      </c>
      <c r="NAP538" s="22" t="e">
        <f ca="1"/>
        <v>#N/A</v>
      </c>
      <c r="NAQ538" s="22" t="e">
        <f ca="1"/>
        <v>#N/A</v>
      </c>
      <c r="NAR538" s="22" t="e">
        <f ca="1"/>
        <v>#N/A</v>
      </c>
      <c r="NAS538" s="22" t="e">
        <f ca="1"/>
        <v>#N/A</v>
      </c>
      <c r="NAT538" s="22" t="e">
        <f ca="1"/>
        <v>#N/A</v>
      </c>
      <c r="NAU538" s="22" t="e">
        <f ca="1"/>
        <v>#N/A</v>
      </c>
      <c r="NAV538" s="22" t="e">
        <f ca="1"/>
        <v>#N/A</v>
      </c>
      <c r="NAW538" s="22" t="e">
        <f ca="1"/>
        <v>#N/A</v>
      </c>
      <c r="NAX538" s="22" t="e">
        <f ca="1"/>
        <v>#N/A</v>
      </c>
      <c r="NAY538" s="22" t="e">
        <f ca="1"/>
        <v>#N/A</v>
      </c>
      <c r="NAZ538" s="22" t="e">
        <f ca="1"/>
        <v>#N/A</v>
      </c>
      <c r="NBA538" s="22" t="e">
        <f ca="1"/>
        <v>#N/A</v>
      </c>
      <c r="NBB538" s="22" t="e">
        <f ca="1"/>
        <v>#N/A</v>
      </c>
      <c r="NBC538" s="22" t="e">
        <f ca="1"/>
        <v>#N/A</v>
      </c>
      <c r="NBD538" s="22" t="e">
        <f ca="1"/>
        <v>#N/A</v>
      </c>
      <c r="NBE538" s="22" t="e">
        <f ca="1"/>
        <v>#N/A</v>
      </c>
      <c r="NBF538" s="22" t="e">
        <f ca="1"/>
        <v>#N/A</v>
      </c>
      <c r="NBG538" s="22" t="e">
        <f ca="1"/>
        <v>#N/A</v>
      </c>
      <c r="NBH538" s="22" t="e">
        <f ca="1"/>
        <v>#N/A</v>
      </c>
      <c r="NBI538" s="22" t="e">
        <f ca="1"/>
        <v>#N/A</v>
      </c>
      <c r="NBJ538" s="22" t="e">
        <f ca="1"/>
        <v>#N/A</v>
      </c>
      <c r="NBK538" s="22" t="e">
        <f ca="1"/>
        <v>#N/A</v>
      </c>
      <c r="NBL538" s="22" t="e">
        <f ca="1"/>
        <v>#N/A</v>
      </c>
      <c r="NBM538" s="22" t="e">
        <f ca="1"/>
        <v>#N/A</v>
      </c>
      <c r="NBN538" s="22" t="e">
        <f ca="1"/>
        <v>#N/A</v>
      </c>
      <c r="NBO538" s="22" t="e">
        <f ca="1"/>
        <v>#N/A</v>
      </c>
      <c r="NBP538" s="22" t="e">
        <f ca="1"/>
        <v>#N/A</v>
      </c>
      <c r="NBQ538" s="22" t="e">
        <f ca="1"/>
        <v>#N/A</v>
      </c>
      <c r="NBR538" s="22" t="e">
        <f ca="1"/>
        <v>#N/A</v>
      </c>
      <c r="NBS538" s="22" t="e">
        <f ca="1"/>
        <v>#N/A</v>
      </c>
      <c r="NBT538" s="22" t="e">
        <f ca="1"/>
        <v>#N/A</v>
      </c>
      <c r="NBU538" s="22" t="e">
        <f ca="1"/>
        <v>#N/A</v>
      </c>
      <c r="NBV538" s="22" t="e">
        <f ca="1"/>
        <v>#N/A</v>
      </c>
      <c r="NBW538" s="22" t="e">
        <f ca="1"/>
        <v>#N/A</v>
      </c>
      <c r="NBX538" s="22" t="e">
        <f ca="1"/>
        <v>#N/A</v>
      </c>
      <c r="NBY538" s="22" t="e">
        <f ca="1"/>
        <v>#N/A</v>
      </c>
      <c r="NBZ538" s="22" t="e">
        <f ca="1"/>
        <v>#N/A</v>
      </c>
      <c r="NCA538" s="22" t="e">
        <f ca="1"/>
        <v>#N/A</v>
      </c>
      <c r="NCB538" s="22" t="e">
        <f ca="1"/>
        <v>#N/A</v>
      </c>
      <c r="NCC538" s="22" t="e">
        <f ca="1"/>
        <v>#N/A</v>
      </c>
      <c r="NCD538" s="22" t="e">
        <f ca="1"/>
        <v>#N/A</v>
      </c>
      <c r="NCE538" s="22" t="e">
        <f ca="1"/>
        <v>#N/A</v>
      </c>
      <c r="NCF538" s="22" t="e">
        <f ca="1"/>
        <v>#N/A</v>
      </c>
      <c r="NCG538" s="22" t="e">
        <f ca="1"/>
        <v>#N/A</v>
      </c>
      <c r="NCH538" s="22" t="e">
        <f ca="1"/>
        <v>#N/A</v>
      </c>
      <c r="NCI538" s="22" t="e">
        <f ca="1"/>
        <v>#N/A</v>
      </c>
      <c r="NCJ538" s="22" t="e">
        <f ca="1"/>
        <v>#N/A</v>
      </c>
      <c r="NCK538" s="22" t="e">
        <f ca="1"/>
        <v>#N/A</v>
      </c>
      <c r="NCL538" s="22" t="e">
        <f ca="1"/>
        <v>#N/A</v>
      </c>
      <c r="NCM538" s="22" t="e">
        <f ca="1"/>
        <v>#N/A</v>
      </c>
      <c r="NCN538" s="22" t="e">
        <f ca="1"/>
        <v>#N/A</v>
      </c>
      <c r="NCO538" s="22" t="e">
        <f ca="1"/>
        <v>#N/A</v>
      </c>
      <c r="NCP538" s="22" t="e">
        <f ca="1"/>
        <v>#N/A</v>
      </c>
      <c r="NCQ538" s="22" t="e">
        <f ca="1"/>
        <v>#N/A</v>
      </c>
      <c r="NCR538" s="22" t="e">
        <f ca="1"/>
        <v>#N/A</v>
      </c>
      <c r="NCS538" s="22" t="e">
        <f ca="1"/>
        <v>#N/A</v>
      </c>
      <c r="NCT538" s="22" t="e">
        <f ca="1"/>
        <v>#N/A</v>
      </c>
      <c r="NCU538" s="22" t="e">
        <f ca="1"/>
        <v>#N/A</v>
      </c>
      <c r="NCV538" s="22" t="e">
        <f ca="1"/>
        <v>#N/A</v>
      </c>
      <c r="NCW538" s="22" t="e">
        <f ca="1"/>
        <v>#N/A</v>
      </c>
      <c r="NCX538" s="22" t="e">
        <f ca="1"/>
        <v>#N/A</v>
      </c>
      <c r="NCY538" s="22" t="e">
        <f ca="1"/>
        <v>#N/A</v>
      </c>
      <c r="NCZ538" s="22" t="e">
        <f ca="1"/>
        <v>#N/A</v>
      </c>
      <c r="NDA538" s="22" t="e">
        <f ca="1"/>
        <v>#N/A</v>
      </c>
      <c r="NDB538" s="22" t="e">
        <f ca="1"/>
        <v>#N/A</v>
      </c>
      <c r="NDC538" s="22" t="e">
        <f ca="1"/>
        <v>#N/A</v>
      </c>
      <c r="NDD538" s="22" t="e">
        <f ca="1"/>
        <v>#N/A</v>
      </c>
      <c r="NDE538" s="22" t="e">
        <f ca="1"/>
        <v>#N/A</v>
      </c>
      <c r="NDF538" s="22" t="e">
        <f ca="1"/>
        <v>#N/A</v>
      </c>
      <c r="NDG538" s="22" t="e">
        <f ca="1"/>
        <v>#N/A</v>
      </c>
      <c r="NDH538" s="22" t="e">
        <f ca="1"/>
        <v>#N/A</v>
      </c>
      <c r="NDI538" s="22" t="e">
        <f ca="1"/>
        <v>#N/A</v>
      </c>
      <c r="NDJ538" s="22" t="e">
        <f ca="1"/>
        <v>#N/A</v>
      </c>
      <c r="NDK538" s="22" t="e">
        <f ca="1"/>
        <v>#N/A</v>
      </c>
      <c r="NDL538" s="22" t="e">
        <f ca="1"/>
        <v>#N/A</v>
      </c>
      <c r="NDM538" s="22" t="e">
        <f ca="1"/>
        <v>#N/A</v>
      </c>
      <c r="NDN538" s="22" t="e">
        <f ca="1"/>
        <v>#N/A</v>
      </c>
      <c r="NDO538" s="22" t="e">
        <f ca="1"/>
        <v>#N/A</v>
      </c>
      <c r="NDP538" s="22" t="e">
        <f ca="1"/>
        <v>#N/A</v>
      </c>
      <c r="NDQ538" s="22" t="e">
        <f ca="1"/>
        <v>#N/A</v>
      </c>
      <c r="NDR538" s="22" t="e">
        <f ca="1"/>
        <v>#N/A</v>
      </c>
      <c r="NDS538" s="22" t="e">
        <f ca="1"/>
        <v>#N/A</v>
      </c>
      <c r="NDT538" s="22" t="e">
        <f ca="1"/>
        <v>#N/A</v>
      </c>
      <c r="NDU538" s="22" t="e">
        <f ca="1"/>
        <v>#N/A</v>
      </c>
      <c r="NDV538" s="22" t="e">
        <f ca="1"/>
        <v>#N/A</v>
      </c>
      <c r="NDW538" s="22" t="e">
        <f ca="1"/>
        <v>#N/A</v>
      </c>
      <c r="NDX538" s="22" t="e">
        <f ca="1"/>
        <v>#N/A</v>
      </c>
      <c r="NDY538" s="22" t="e">
        <f ca="1"/>
        <v>#N/A</v>
      </c>
      <c r="NDZ538" s="22" t="e">
        <f ca="1"/>
        <v>#N/A</v>
      </c>
      <c r="NEA538" s="22" t="e">
        <f ca="1"/>
        <v>#N/A</v>
      </c>
      <c r="NEB538" s="22" t="e">
        <f ca="1"/>
        <v>#N/A</v>
      </c>
      <c r="NEC538" s="22" t="e">
        <f ca="1"/>
        <v>#N/A</v>
      </c>
      <c r="NED538" s="22" t="e">
        <f ca="1"/>
        <v>#N/A</v>
      </c>
      <c r="NEE538" s="22" t="e">
        <f ca="1"/>
        <v>#N/A</v>
      </c>
      <c r="NEF538" s="22" t="e">
        <f ca="1"/>
        <v>#N/A</v>
      </c>
      <c r="NEG538" s="22" t="e">
        <f ca="1"/>
        <v>#N/A</v>
      </c>
      <c r="NEH538" s="22" t="e">
        <f ca="1"/>
        <v>#N/A</v>
      </c>
      <c r="NEI538" s="22" t="e">
        <f ca="1"/>
        <v>#N/A</v>
      </c>
      <c r="NEJ538" s="22" t="e">
        <f ca="1"/>
        <v>#N/A</v>
      </c>
      <c r="NEK538" s="22" t="e">
        <f ca="1"/>
        <v>#N/A</v>
      </c>
      <c r="NEL538" s="22" t="e">
        <f ca="1"/>
        <v>#N/A</v>
      </c>
      <c r="NEM538" s="22" t="e">
        <f ca="1"/>
        <v>#N/A</v>
      </c>
      <c r="NEN538" s="22" t="e">
        <f ca="1"/>
        <v>#N/A</v>
      </c>
      <c r="NEO538" s="22" t="e">
        <f ca="1"/>
        <v>#N/A</v>
      </c>
      <c r="NEP538" s="22" t="e">
        <f ca="1"/>
        <v>#N/A</v>
      </c>
      <c r="NEQ538" s="22" t="e">
        <f ca="1"/>
        <v>#N/A</v>
      </c>
      <c r="NER538" s="22" t="e">
        <f ca="1"/>
        <v>#N/A</v>
      </c>
      <c r="NES538" s="22" t="e">
        <f ca="1"/>
        <v>#N/A</v>
      </c>
      <c r="NET538" s="22" t="e">
        <f ca="1"/>
        <v>#N/A</v>
      </c>
      <c r="NEU538" s="22" t="e">
        <f ca="1"/>
        <v>#N/A</v>
      </c>
      <c r="NEV538" s="22" t="e">
        <f ca="1"/>
        <v>#N/A</v>
      </c>
      <c r="NEW538" s="22" t="e">
        <f ca="1"/>
        <v>#N/A</v>
      </c>
      <c r="NEX538" s="22" t="e">
        <f ca="1"/>
        <v>#N/A</v>
      </c>
      <c r="NEY538" s="22" t="e">
        <f ca="1"/>
        <v>#N/A</v>
      </c>
      <c r="NEZ538" s="22" t="e">
        <f ca="1"/>
        <v>#N/A</v>
      </c>
      <c r="NFA538" s="22" t="e">
        <f ca="1"/>
        <v>#N/A</v>
      </c>
      <c r="NFB538" s="22" t="e">
        <f ca="1"/>
        <v>#N/A</v>
      </c>
      <c r="NFC538" s="22" t="e">
        <f ca="1"/>
        <v>#N/A</v>
      </c>
      <c r="NFD538" s="22" t="e">
        <f ca="1"/>
        <v>#N/A</v>
      </c>
      <c r="NFE538" s="22" t="e">
        <f ca="1"/>
        <v>#N/A</v>
      </c>
      <c r="NFF538" s="22" t="e">
        <f ca="1"/>
        <v>#N/A</v>
      </c>
      <c r="NFG538" s="22" t="e">
        <f ca="1"/>
        <v>#N/A</v>
      </c>
      <c r="NFH538" s="22" t="e">
        <f ca="1"/>
        <v>#N/A</v>
      </c>
      <c r="NFI538" s="22" t="e">
        <f ca="1"/>
        <v>#N/A</v>
      </c>
      <c r="NFJ538" s="22" t="e">
        <f ca="1"/>
        <v>#N/A</v>
      </c>
      <c r="NFK538" s="22" t="e">
        <f ca="1"/>
        <v>#N/A</v>
      </c>
      <c r="NFL538" s="22" t="e">
        <f ca="1"/>
        <v>#N/A</v>
      </c>
      <c r="NFM538" s="22" t="e">
        <f ca="1"/>
        <v>#N/A</v>
      </c>
      <c r="NFN538" s="22" t="e">
        <f ca="1"/>
        <v>#N/A</v>
      </c>
      <c r="NFO538" s="22" t="e">
        <f ca="1"/>
        <v>#N/A</v>
      </c>
      <c r="NFP538" s="22" t="e">
        <f ca="1"/>
        <v>#N/A</v>
      </c>
      <c r="NFQ538" s="22" t="e">
        <f ca="1"/>
        <v>#N/A</v>
      </c>
      <c r="NFR538" s="22" t="e">
        <f ca="1"/>
        <v>#N/A</v>
      </c>
      <c r="NFS538" s="22" t="e">
        <f ca="1"/>
        <v>#N/A</v>
      </c>
      <c r="NFT538" s="22" t="e">
        <f ca="1"/>
        <v>#N/A</v>
      </c>
      <c r="NFU538" s="22" t="e">
        <f ca="1"/>
        <v>#N/A</v>
      </c>
      <c r="NFV538" s="22" t="e">
        <f ca="1"/>
        <v>#N/A</v>
      </c>
      <c r="NFW538" s="22" t="e">
        <f ca="1"/>
        <v>#N/A</v>
      </c>
      <c r="NFX538" s="22" t="e">
        <f ca="1"/>
        <v>#N/A</v>
      </c>
      <c r="NFY538" s="22" t="e">
        <f ca="1"/>
        <v>#N/A</v>
      </c>
      <c r="NFZ538" s="22" t="e">
        <f ca="1"/>
        <v>#N/A</v>
      </c>
      <c r="NGA538" s="22" t="e">
        <f ca="1"/>
        <v>#N/A</v>
      </c>
      <c r="NGB538" s="22" t="e">
        <f ca="1"/>
        <v>#N/A</v>
      </c>
      <c r="NGC538" s="22" t="e">
        <f ca="1"/>
        <v>#N/A</v>
      </c>
      <c r="NGD538" s="22" t="e">
        <f ca="1"/>
        <v>#N/A</v>
      </c>
      <c r="NGE538" s="22" t="e">
        <f ca="1"/>
        <v>#N/A</v>
      </c>
      <c r="NGF538" s="22" t="e">
        <f ca="1"/>
        <v>#N/A</v>
      </c>
      <c r="NGG538" s="22" t="e">
        <f ca="1"/>
        <v>#N/A</v>
      </c>
      <c r="NGH538" s="22" t="e">
        <f ca="1"/>
        <v>#N/A</v>
      </c>
      <c r="NGI538" s="22" t="e">
        <f ca="1"/>
        <v>#N/A</v>
      </c>
      <c r="NGJ538" s="22" t="e">
        <f ca="1"/>
        <v>#N/A</v>
      </c>
      <c r="NGK538" s="22" t="e">
        <f ca="1"/>
        <v>#N/A</v>
      </c>
      <c r="NGL538" s="22" t="e">
        <f ca="1"/>
        <v>#N/A</v>
      </c>
      <c r="NGM538" s="22" t="e">
        <f ca="1"/>
        <v>#N/A</v>
      </c>
      <c r="NGN538" s="22" t="e">
        <f ca="1"/>
        <v>#N/A</v>
      </c>
      <c r="NGO538" s="22" t="e">
        <f ca="1"/>
        <v>#N/A</v>
      </c>
      <c r="NGP538" s="22" t="e">
        <f ca="1"/>
        <v>#N/A</v>
      </c>
      <c r="NGQ538" s="22" t="e">
        <f ca="1"/>
        <v>#N/A</v>
      </c>
      <c r="NGR538" s="22" t="e">
        <f ca="1"/>
        <v>#N/A</v>
      </c>
      <c r="NGS538" s="22" t="e">
        <f ca="1"/>
        <v>#N/A</v>
      </c>
      <c r="NGT538" s="22" t="e">
        <f ca="1"/>
        <v>#N/A</v>
      </c>
      <c r="NGU538" s="22" t="e">
        <f ca="1"/>
        <v>#N/A</v>
      </c>
      <c r="NGV538" s="22" t="e">
        <f ca="1"/>
        <v>#N/A</v>
      </c>
      <c r="NGW538" s="22" t="e">
        <f ca="1"/>
        <v>#N/A</v>
      </c>
      <c r="NGX538" s="22" t="e">
        <f ca="1"/>
        <v>#N/A</v>
      </c>
      <c r="NGY538" s="22" t="e">
        <f ca="1"/>
        <v>#N/A</v>
      </c>
      <c r="NGZ538" s="22" t="e">
        <f ca="1"/>
        <v>#N/A</v>
      </c>
      <c r="NHA538" s="22" t="e">
        <f ca="1"/>
        <v>#N/A</v>
      </c>
      <c r="NHB538" s="22" t="e">
        <f ca="1"/>
        <v>#N/A</v>
      </c>
      <c r="NHC538" s="22" t="e">
        <f ca="1"/>
        <v>#N/A</v>
      </c>
      <c r="NHD538" s="22" t="e">
        <f ca="1"/>
        <v>#N/A</v>
      </c>
      <c r="NHE538" s="22" t="e">
        <f ca="1"/>
        <v>#N/A</v>
      </c>
      <c r="NHF538" s="22" t="e">
        <f ca="1"/>
        <v>#N/A</v>
      </c>
      <c r="NHG538" s="22" t="e">
        <f ca="1"/>
        <v>#N/A</v>
      </c>
      <c r="NHH538" s="22" t="e">
        <f ca="1"/>
        <v>#N/A</v>
      </c>
      <c r="NHI538" s="22" t="e">
        <f ca="1"/>
        <v>#N/A</v>
      </c>
      <c r="NHJ538" s="22" t="e">
        <f ca="1"/>
        <v>#N/A</v>
      </c>
      <c r="NHK538" s="22" t="e">
        <f ca="1"/>
        <v>#N/A</v>
      </c>
      <c r="NHL538" s="22" t="e">
        <f ca="1"/>
        <v>#N/A</v>
      </c>
      <c r="NHM538" s="22" t="e">
        <f ca="1"/>
        <v>#N/A</v>
      </c>
      <c r="NHN538" s="22" t="e">
        <f ca="1"/>
        <v>#N/A</v>
      </c>
      <c r="NHO538" s="22" t="e">
        <f ca="1"/>
        <v>#N/A</v>
      </c>
      <c r="NHP538" s="22" t="e">
        <f ca="1"/>
        <v>#N/A</v>
      </c>
      <c r="NHQ538" s="22" t="e">
        <f ca="1"/>
        <v>#N/A</v>
      </c>
      <c r="NHR538" s="22" t="e">
        <f ca="1"/>
        <v>#N/A</v>
      </c>
      <c r="NHS538" s="22" t="e">
        <f ca="1"/>
        <v>#N/A</v>
      </c>
      <c r="NHT538" s="22" t="e">
        <f ca="1"/>
        <v>#N/A</v>
      </c>
      <c r="NHU538" s="22" t="e">
        <f ca="1"/>
        <v>#N/A</v>
      </c>
      <c r="NHV538" s="22" t="e">
        <f ca="1"/>
        <v>#N/A</v>
      </c>
      <c r="NHW538" s="22" t="e">
        <f ca="1"/>
        <v>#N/A</v>
      </c>
      <c r="NHX538" s="22" t="e">
        <f ca="1"/>
        <v>#N/A</v>
      </c>
      <c r="NHY538" s="22" t="e">
        <f ca="1"/>
        <v>#N/A</v>
      </c>
      <c r="NHZ538" s="22" t="e">
        <f ca="1"/>
        <v>#N/A</v>
      </c>
      <c r="NIA538" s="22" t="e">
        <f ca="1"/>
        <v>#N/A</v>
      </c>
      <c r="NIB538" s="22" t="e">
        <f ca="1"/>
        <v>#N/A</v>
      </c>
      <c r="NIC538" s="22" t="e">
        <f ca="1"/>
        <v>#N/A</v>
      </c>
      <c r="NID538" s="22" t="e">
        <f ca="1"/>
        <v>#N/A</v>
      </c>
      <c r="NIE538" s="22" t="e">
        <f ca="1"/>
        <v>#N/A</v>
      </c>
      <c r="NIF538" s="22" t="e">
        <f ca="1"/>
        <v>#N/A</v>
      </c>
      <c r="NIG538" s="22" t="e">
        <f ca="1"/>
        <v>#N/A</v>
      </c>
      <c r="NIH538" s="22" t="e">
        <f ca="1"/>
        <v>#N/A</v>
      </c>
      <c r="NII538" s="22" t="e">
        <f ca="1"/>
        <v>#N/A</v>
      </c>
      <c r="NIJ538" s="22" t="e">
        <f ca="1"/>
        <v>#N/A</v>
      </c>
      <c r="NIK538" s="22" t="e">
        <f ca="1"/>
        <v>#N/A</v>
      </c>
      <c r="NIL538" s="22" t="e">
        <f ca="1"/>
        <v>#N/A</v>
      </c>
      <c r="NIM538" s="22" t="e">
        <f ca="1"/>
        <v>#N/A</v>
      </c>
      <c r="NIN538" s="22" t="e">
        <f ca="1"/>
        <v>#N/A</v>
      </c>
      <c r="NIO538" s="22" t="e">
        <f ca="1"/>
        <v>#N/A</v>
      </c>
      <c r="NIP538" s="22" t="e">
        <f ca="1"/>
        <v>#N/A</v>
      </c>
      <c r="NIQ538" s="22" t="e">
        <f ca="1"/>
        <v>#N/A</v>
      </c>
      <c r="NIR538" s="22" t="e">
        <f ca="1"/>
        <v>#N/A</v>
      </c>
      <c r="NIS538" s="22" t="e">
        <f ca="1"/>
        <v>#N/A</v>
      </c>
      <c r="NIT538" s="22" t="e">
        <f ca="1"/>
        <v>#N/A</v>
      </c>
      <c r="NIU538" s="22" t="e">
        <f ca="1"/>
        <v>#N/A</v>
      </c>
      <c r="NIV538" s="22" t="e">
        <f ca="1"/>
        <v>#N/A</v>
      </c>
      <c r="NIW538" s="22" t="e">
        <f ca="1"/>
        <v>#N/A</v>
      </c>
      <c r="NIX538" s="22" t="e">
        <f ca="1"/>
        <v>#N/A</v>
      </c>
      <c r="NIY538" s="22" t="e">
        <f ca="1"/>
        <v>#N/A</v>
      </c>
      <c r="NIZ538" s="22" t="e">
        <f ca="1"/>
        <v>#N/A</v>
      </c>
      <c r="NJA538" s="22" t="e">
        <f ca="1"/>
        <v>#N/A</v>
      </c>
      <c r="NJB538" s="22" t="e">
        <f ca="1"/>
        <v>#N/A</v>
      </c>
      <c r="NJC538" s="22" t="e">
        <f ca="1"/>
        <v>#N/A</v>
      </c>
      <c r="NJD538" s="22" t="e">
        <f ca="1"/>
        <v>#N/A</v>
      </c>
      <c r="NJE538" s="22" t="e">
        <f ca="1"/>
        <v>#N/A</v>
      </c>
      <c r="NJF538" s="22" t="e">
        <f ca="1"/>
        <v>#N/A</v>
      </c>
      <c r="NJG538" s="22" t="e">
        <f ca="1"/>
        <v>#N/A</v>
      </c>
      <c r="NJH538" s="22" t="e">
        <f ca="1"/>
        <v>#N/A</v>
      </c>
      <c r="NJI538" s="22" t="e">
        <f ca="1"/>
        <v>#N/A</v>
      </c>
      <c r="NJJ538" s="22" t="e">
        <f ca="1"/>
        <v>#N/A</v>
      </c>
      <c r="NJK538" s="22" t="e">
        <f ca="1"/>
        <v>#N/A</v>
      </c>
      <c r="NJL538" s="22" t="e">
        <f ca="1"/>
        <v>#N/A</v>
      </c>
      <c r="NJM538" s="22" t="e">
        <f ca="1"/>
        <v>#N/A</v>
      </c>
      <c r="NJN538" s="22" t="e">
        <f ca="1"/>
        <v>#N/A</v>
      </c>
      <c r="NJO538" s="22" t="e">
        <f ca="1"/>
        <v>#N/A</v>
      </c>
      <c r="NJP538" s="22" t="e">
        <f ca="1"/>
        <v>#N/A</v>
      </c>
      <c r="NJQ538" s="22" t="e">
        <f ca="1"/>
        <v>#N/A</v>
      </c>
      <c r="NJR538" s="22" t="e">
        <f ca="1"/>
        <v>#N/A</v>
      </c>
      <c r="NJS538" s="22" t="e">
        <f ca="1"/>
        <v>#N/A</v>
      </c>
      <c r="NJT538" s="22" t="e">
        <f ca="1"/>
        <v>#N/A</v>
      </c>
      <c r="NJU538" s="22" t="e">
        <f ca="1"/>
        <v>#N/A</v>
      </c>
      <c r="NJV538" s="22" t="e">
        <f ca="1"/>
        <v>#N/A</v>
      </c>
      <c r="NJW538" s="22" t="e">
        <f ca="1"/>
        <v>#N/A</v>
      </c>
      <c r="NJX538" s="22" t="e">
        <f ca="1"/>
        <v>#N/A</v>
      </c>
      <c r="NJY538" s="22" t="e">
        <f ca="1"/>
        <v>#N/A</v>
      </c>
      <c r="NJZ538" s="22" t="e">
        <f ca="1"/>
        <v>#N/A</v>
      </c>
      <c r="NKA538" s="22" t="e">
        <f ca="1"/>
        <v>#N/A</v>
      </c>
      <c r="NKB538" s="22" t="e">
        <f ca="1"/>
        <v>#N/A</v>
      </c>
      <c r="NKC538" s="22" t="e">
        <f ca="1"/>
        <v>#N/A</v>
      </c>
      <c r="NKD538" s="22" t="e">
        <f ca="1"/>
        <v>#N/A</v>
      </c>
      <c r="NKE538" s="22" t="e">
        <f ca="1"/>
        <v>#N/A</v>
      </c>
      <c r="NKF538" s="22" t="e">
        <f ca="1"/>
        <v>#N/A</v>
      </c>
      <c r="NKG538" s="22" t="e">
        <f ca="1"/>
        <v>#N/A</v>
      </c>
      <c r="NKH538" s="22" t="e">
        <f ca="1"/>
        <v>#N/A</v>
      </c>
      <c r="NKI538" s="22" t="e">
        <f ca="1"/>
        <v>#N/A</v>
      </c>
      <c r="NKJ538" s="22" t="e">
        <f ca="1"/>
        <v>#N/A</v>
      </c>
      <c r="NKK538" s="22" t="e">
        <f ca="1"/>
        <v>#N/A</v>
      </c>
      <c r="NKL538" s="22" t="e">
        <f ca="1"/>
        <v>#N/A</v>
      </c>
      <c r="NKM538" s="22" t="e">
        <f ca="1"/>
        <v>#N/A</v>
      </c>
      <c r="NKN538" s="22" t="e">
        <f ca="1"/>
        <v>#N/A</v>
      </c>
      <c r="NKO538" s="22" t="e">
        <f ca="1"/>
        <v>#N/A</v>
      </c>
      <c r="NKP538" s="22" t="e">
        <f ca="1"/>
        <v>#N/A</v>
      </c>
      <c r="NKQ538" s="22" t="e">
        <f ca="1"/>
        <v>#N/A</v>
      </c>
      <c r="NKR538" s="22" t="e">
        <f ca="1"/>
        <v>#N/A</v>
      </c>
      <c r="NKS538" s="22" t="e">
        <f ca="1"/>
        <v>#N/A</v>
      </c>
      <c r="NKT538" s="22" t="e">
        <f ca="1"/>
        <v>#N/A</v>
      </c>
      <c r="NKU538" s="22" t="e">
        <f ca="1"/>
        <v>#N/A</v>
      </c>
      <c r="NKV538" s="22" t="e">
        <f ca="1"/>
        <v>#N/A</v>
      </c>
      <c r="NKW538" s="22" t="e">
        <f ca="1"/>
        <v>#N/A</v>
      </c>
      <c r="NKX538" s="22" t="e">
        <f ca="1"/>
        <v>#N/A</v>
      </c>
      <c r="NKY538" s="22" t="e">
        <f ca="1"/>
        <v>#N/A</v>
      </c>
      <c r="NKZ538" s="22" t="e">
        <f ca="1"/>
        <v>#N/A</v>
      </c>
      <c r="NLA538" s="22" t="e">
        <f ca="1"/>
        <v>#N/A</v>
      </c>
      <c r="NLB538" s="22" t="e">
        <f ca="1"/>
        <v>#N/A</v>
      </c>
      <c r="NLC538" s="22" t="e">
        <f ca="1"/>
        <v>#N/A</v>
      </c>
      <c r="NLD538" s="22" t="e">
        <f ca="1"/>
        <v>#N/A</v>
      </c>
      <c r="NLE538" s="22" t="e">
        <f ca="1"/>
        <v>#N/A</v>
      </c>
      <c r="NLF538" s="22" t="e">
        <f ca="1"/>
        <v>#N/A</v>
      </c>
      <c r="NLG538" s="22" t="e">
        <f ca="1"/>
        <v>#N/A</v>
      </c>
      <c r="NLH538" s="22" t="e">
        <f ca="1"/>
        <v>#N/A</v>
      </c>
      <c r="NLI538" s="22" t="e">
        <f ca="1"/>
        <v>#N/A</v>
      </c>
      <c r="NLJ538" s="22" t="e">
        <f ca="1"/>
        <v>#N/A</v>
      </c>
      <c r="NLK538" s="22" t="e">
        <f ca="1"/>
        <v>#N/A</v>
      </c>
      <c r="NLL538" s="22" t="e">
        <f ca="1"/>
        <v>#N/A</v>
      </c>
      <c r="NLM538" s="22" t="e">
        <f ca="1"/>
        <v>#N/A</v>
      </c>
      <c r="NLN538" s="22" t="e">
        <f ca="1"/>
        <v>#N/A</v>
      </c>
      <c r="NLO538" s="22" t="e">
        <f ca="1"/>
        <v>#N/A</v>
      </c>
      <c r="NLP538" s="22" t="e">
        <f ca="1"/>
        <v>#N/A</v>
      </c>
      <c r="NLQ538" s="22" t="e">
        <f ca="1"/>
        <v>#N/A</v>
      </c>
      <c r="NLR538" s="22" t="e">
        <f ca="1"/>
        <v>#N/A</v>
      </c>
      <c r="NLS538" s="22" t="e">
        <f ca="1"/>
        <v>#N/A</v>
      </c>
      <c r="NLT538" s="22" t="e">
        <f ca="1"/>
        <v>#N/A</v>
      </c>
      <c r="NLU538" s="22" t="e">
        <f ca="1"/>
        <v>#N/A</v>
      </c>
      <c r="NLV538" s="22" t="e">
        <f ca="1"/>
        <v>#N/A</v>
      </c>
      <c r="NLW538" s="22" t="e">
        <f ca="1"/>
        <v>#N/A</v>
      </c>
      <c r="NLX538" s="22" t="e">
        <f ca="1"/>
        <v>#N/A</v>
      </c>
      <c r="NLY538" s="22" t="e">
        <f ca="1"/>
        <v>#N/A</v>
      </c>
      <c r="NLZ538" s="22" t="e">
        <f ca="1"/>
        <v>#N/A</v>
      </c>
      <c r="NMA538" s="22" t="e">
        <f ca="1"/>
        <v>#N/A</v>
      </c>
      <c r="NMB538" s="22" t="e">
        <f ca="1"/>
        <v>#N/A</v>
      </c>
      <c r="NMC538" s="22" t="e">
        <f ca="1"/>
        <v>#N/A</v>
      </c>
      <c r="NMD538" s="22" t="e">
        <f ca="1"/>
        <v>#N/A</v>
      </c>
      <c r="NME538" s="22" t="e">
        <f ca="1"/>
        <v>#N/A</v>
      </c>
      <c r="NMF538" s="22" t="e">
        <f ca="1"/>
        <v>#N/A</v>
      </c>
      <c r="NMG538" s="22" t="e">
        <f ca="1"/>
        <v>#N/A</v>
      </c>
      <c r="NMH538" s="22" t="e">
        <f ca="1"/>
        <v>#N/A</v>
      </c>
      <c r="NMI538" s="22" t="e">
        <f ca="1"/>
        <v>#N/A</v>
      </c>
      <c r="NMJ538" s="22" t="e">
        <f ca="1"/>
        <v>#N/A</v>
      </c>
      <c r="NMK538" s="22" t="e">
        <f ca="1"/>
        <v>#N/A</v>
      </c>
      <c r="NML538" s="22" t="e">
        <f ca="1"/>
        <v>#N/A</v>
      </c>
      <c r="NMM538" s="22" t="e">
        <f ca="1"/>
        <v>#N/A</v>
      </c>
      <c r="NMN538" s="22" t="e">
        <f ca="1"/>
        <v>#N/A</v>
      </c>
      <c r="NMO538" s="22" t="e">
        <f ca="1"/>
        <v>#N/A</v>
      </c>
      <c r="NMP538" s="22" t="e">
        <f ca="1"/>
        <v>#N/A</v>
      </c>
      <c r="NMQ538" s="22" t="e">
        <f ca="1"/>
        <v>#N/A</v>
      </c>
      <c r="NMR538" s="22" t="e">
        <f ca="1"/>
        <v>#N/A</v>
      </c>
      <c r="NMS538" s="22" t="e">
        <f ca="1"/>
        <v>#N/A</v>
      </c>
      <c r="NMT538" s="22" t="e">
        <f ca="1"/>
        <v>#N/A</v>
      </c>
      <c r="NMU538" s="22" t="e">
        <f ca="1"/>
        <v>#N/A</v>
      </c>
      <c r="NMV538" s="22" t="e">
        <f ca="1"/>
        <v>#N/A</v>
      </c>
      <c r="NMW538" s="22" t="e">
        <f ca="1"/>
        <v>#N/A</v>
      </c>
      <c r="NMX538" s="22" t="e">
        <f ca="1"/>
        <v>#N/A</v>
      </c>
      <c r="NMY538" s="22" t="e">
        <f ca="1"/>
        <v>#N/A</v>
      </c>
      <c r="NMZ538" s="22" t="e">
        <f ca="1"/>
        <v>#N/A</v>
      </c>
      <c r="NNA538" s="22" t="e">
        <f ca="1"/>
        <v>#N/A</v>
      </c>
      <c r="NNB538" s="22" t="e">
        <f ca="1"/>
        <v>#N/A</v>
      </c>
      <c r="NNC538" s="22" t="e">
        <f ca="1"/>
        <v>#N/A</v>
      </c>
      <c r="NND538" s="22" t="e">
        <f ca="1"/>
        <v>#N/A</v>
      </c>
      <c r="NNE538" s="22" t="e">
        <f ca="1"/>
        <v>#N/A</v>
      </c>
      <c r="NNF538" s="22" t="e">
        <f ca="1"/>
        <v>#N/A</v>
      </c>
      <c r="NNG538" s="22" t="e">
        <f ca="1"/>
        <v>#N/A</v>
      </c>
      <c r="NNH538" s="22" t="e">
        <f ca="1"/>
        <v>#N/A</v>
      </c>
      <c r="NNI538" s="22" t="e">
        <f ca="1"/>
        <v>#N/A</v>
      </c>
      <c r="NNJ538" s="22" t="e">
        <f ca="1"/>
        <v>#N/A</v>
      </c>
      <c r="NNK538" s="22" t="e">
        <f ca="1"/>
        <v>#N/A</v>
      </c>
      <c r="NNL538" s="22" t="e">
        <f ca="1"/>
        <v>#N/A</v>
      </c>
      <c r="NNM538" s="22" t="e">
        <f ca="1"/>
        <v>#N/A</v>
      </c>
      <c r="NNN538" s="22" t="e">
        <f ca="1"/>
        <v>#N/A</v>
      </c>
      <c r="NNO538" s="22" t="e">
        <f ca="1"/>
        <v>#N/A</v>
      </c>
      <c r="NNP538" s="22" t="e">
        <f ca="1"/>
        <v>#N/A</v>
      </c>
      <c r="NNQ538" s="22" t="e">
        <f ca="1"/>
        <v>#N/A</v>
      </c>
      <c r="NNR538" s="22" t="e">
        <f ca="1"/>
        <v>#N/A</v>
      </c>
      <c r="NNS538" s="22" t="e">
        <f ca="1"/>
        <v>#N/A</v>
      </c>
      <c r="NNT538" s="22" t="e">
        <f ca="1"/>
        <v>#N/A</v>
      </c>
      <c r="NNU538" s="22" t="e">
        <f ca="1"/>
        <v>#N/A</v>
      </c>
      <c r="NNV538" s="22" t="e">
        <f ca="1"/>
        <v>#N/A</v>
      </c>
      <c r="NNW538" s="22" t="e">
        <f ca="1"/>
        <v>#N/A</v>
      </c>
      <c r="NNX538" s="22" t="e">
        <f ca="1"/>
        <v>#N/A</v>
      </c>
      <c r="NNY538" s="22" t="e">
        <f ca="1"/>
        <v>#N/A</v>
      </c>
      <c r="NNZ538" s="22" t="e">
        <f ca="1"/>
        <v>#N/A</v>
      </c>
      <c r="NOA538" s="22" t="e">
        <f ca="1"/>
        <v>#N/A</v>
      </c>
      <c r="NOB538" s="22" t="e">
        <f ca="1"/>
        <v>#N/A</v>
      </c>
      <c r="NOC538" s="22" t="e">
        <f ca="1"/>
        <v>#N/A</v>
      </c>
      <c r="NOD538" s="22" t="e">
        <f ca="1"/>
        <v>#N/A</v>
      </c>
      <c r="NOE538" s="22" t="e">
        <f ca="1"/>
        <v>#N/A</v>
      </c>
      <c r="NOF538" s="22" t="e">
        <f ca="1"/>
        <v>#N/A</v>
      </c>
      <c r="NOG538" s="22" t="e">
        <f ca="1"/>
        <v>#N/A</v>
      </c>
      <c r="NOH538" s="22" t="e">
        <f ca="1"/>
        <v>#N/A</v>
      </c>
      <c r="NOI538" s="22" t="e">
        <f ca="1"/>
        <v>#N/A</v>
      </c>
      <c r="NOJ538" s="22" t="e">
        <f ca="1"/>
        <v>#N/A</v>
      </c>
      <c r="NOK538" s="22" t="e">
        <f ca="1"/>
        <v>#N/A</v>
      </c>
      <c r="NOL538" s="22" t="e">
        <f ca="1"/>
        <v>#N/A</v>
      </c>
      <c r="NOM538" s="22" t="e">
        <f ca="1"/>
        <v>#N/A</v>
      </c>
      <c r="NON538" s="22" t="e">
        <f ca="1"/>
        <v>#N/A</v>
      </c>
      <c r="NOO538" s="22" t="e">
        <f ca="1"/>
        <v>#N/A</v>
      </c>
      <c r="NOP538" s="22" t="e">
        <f ca="1"/>
        <v>#N/A</v>
      </c>
      <c r="NOQ538" s="22" t="e">
        <f ca="1"/>
        <v>#N/A</v>
      </c>
      <c r="NOR538" s="22" t="e">
        <f ca="1"/>
        <v>#N/A</v>
      </c>
      <c r="NOS538" s="22" t="e">
        <f ca="1"/>
        <v>#N/A</v>
      </c>
      <c r="NOT538" s="22" t="e">
        <f ca="1"/>
        <v>#N/A</v>
      </c>
      <c r="NOU538" s="22" t="e">
        <f ca="1"/>
        <v>#N/A</v>
      </c>
      <c r="NOV538" s="22" t="e">
        <f ca="1"/>
        <v>#N/A</v>
      </c>
      <c r="NOW538" s="22" t="e">
        <f ca="1"/>
        <v>#N/A</v>
      </c>
      <c r="NOX538" s="22" t="e">
        <f ca="1"/>
        <v>#N/A</v>
      </c>
      <c r="NOY538" s="22" t="e">
        <f ca="1"/>
        <v>#N/A</v>
      </c>
      <c r="NOZ538" s="22" t="e">
        <f ca="1"/>
        <v>#N/A</v>
      </c>
      <c r="NPA538" s="22" t="e">
        <f ca="1"/>
        <v>#N/A</v>
      </c>
      <c r="NPB538" s="22" t="e">
        <f ca="1"/>
        <v>#N/A</v>
      </c>
      <c r="NPC538" s="22" t="e">
        <f ca="1"/>
        <v>#N/A</v>
      </c>
      <c r="NPD538" s="22" t="e">
        <f ca="1"/>
        <v>#N/A</v>
      </c>
      <c r="NPE538" s="22" t="e">
        <f ca="1"/>
        <v>#N/A</v>
      </c>
      <c r="NPF538" s="22" t="e">
        <f ca="1"/>
        <v>#N/A</v>
      </c>
      <c r="NPG538" s="22" t="e">
        <f ca="1"/>
        <v>#N/A</v>
      </c>
      <c r="NPH538" s="22" t="e">
        <f ca="1"/>
        <v>#N/A</v>
      </c>
      <c r="NPI538" s="22" t="e">
        <f ca="1"/>
        <v>#N/A</v>
      </c>
      <c r="NPJ538" s="22" t="e">
        <f ca="1"/>
        <v>#N/A</v>
      </c>
      <c r="NPK538" s="22" t="e">
        <f ca="1"/>
        <v>#N/A</v>
      </c>
      <c r="NPL538" s="22" t="e">
        <f ca="1"/>
        <v>#N/A</v>
      </c>
      <c r="NPM538" s="22" t="e">
        <f ca="1"/>
        <v>#N/A</v>
      </c>
      <c r="NPN538" s="22" t="e">
        <f ca="1"/>
        <v>#N/A</v>
      </c>
      <c r="NPO538" s="22" t="e">
        <f ca="1"/>
        <v>#N/A</v>
      </c>
      <c r="NPP538" s="22" t="e">
        <f ca="1"/>
        <v>#N/A</v>
      </c>
      <c r="NPQ538" s="22" t="e">
        <f ca="1"/>
        <v>#N/A</v>
      </c>
      <c r="NPR538" s="22" t="e">
        <f ca="1"/>
        <v>#N/A</v>
      </c>
      <c r="NPS538" s="22" t="e">
        <f ca="1"/>
        <v>#N/A</v>
      </c>
      <c r="NPT538" s="22" t="e">
        <f ca="1"/>
        <v>#N/A</v>
      </c>
      <c r="NPU538" s="22" t="e">
        <f ca="1"/>
        <v>#N/A</v>
      </c>
      <c r="NPV538" s="22" t="e">
        <f ca="1"/>
        <v>#N/A</v>
      </c>
      <c r="NPW538" s="22" t="e">
        <f ca="1"/>
        <v>#N/A</v>
      </c>
      <c r="NPX538" s="22" t="e">
        <f ca="1"/>
        <v>#N/A</v>
      </c>
      <c r="NPY538" s="22" t="e">
        <f ca="1"/>
        <v>#N/A</v>
      </c>
      <c r="NPZ538" s="22" t="e">
        <f ca="1"/>
        <v>#N/A</v>
      </c>
      <c r="NQA538" s="22" t="e">
        <f ca="1"/>
        <v>#N/A</v>
      </c>
      <c r="NQB538" s="22" t="e">
        <f ca="1"/>
        <v>#N/A</v>
      </c>
      <c r="NQC538" s="22" t="e">
        <f ca="1"/>
        <v>#N/A</v>
      </c>
      <c r="NQD538" s="22" t="e">
        <f ca="1"/>
        <v>#N/A</v>
      </c>
      <c r="NQE538" s="22" t="e">
        <f ca="1"/>
        <v>#N/A</v>
      </c>
      <c r="NQF538" s="22" t="e">
        <f ca="1"/>
        <v>#N/A</v>
      </c>
      <c r="NQG538" s="22" t="e">
        <f ca="1"/>
        <v>#N/A</v>
      </c>
      <c r="NQH538" s="22" t="e">
        <f ca="1"/>
        <v>#N/A</v>
      </c>
      <c r="NQI538" s="22" t="e">
        <f ca="1"/>
        <v>#N/A</v>
      </c>
      <c r="NQJ538" s="22" t="e">
        <f ca="1"/>
        <v>#N/A</v>
      </c>
      <c r="NQK538" s="22" t="e">
        <f ca="1"/>
        <v>#N/A</v>
      </c>
      <c r="NQL538" s="22" t="e">
        <f ca="1"/>
        <v>#N/A</v>
      </c>
      <c r="NQM538" s="22" t="e">
        <f ca="1"/>
        <v>#N/A</v>
      </c>
      <c r="NQN538" s="22" t="e">
        <f ca="1"/>
        <v>#N/A</v>
      </c>
      <c r="NQO538" s="22" t="e">
        <f ca="1"/>
        <v>#N/A</v>
      </c>
      <c r="NQP538" s="22" t="e">
        <f ca="1"/>
        <v>#N/A</v>
      </c>
      <c r="NQQ538" s="22" t="e">
        <f ca="1"/>
        <v>#N/A</v>
      </c>
      <c r="NQR538" s="22" t="e">
        <f ca="1"/>
        <v>#N/A</v>
      </c>
      <c r="NQS538" s="22" t="e">
        <f ca="1"/>
        <v>#N/A</v>
      </c>
      <c r="NQT538" s="22" t="e">
        <f ca="1"/>
        <v>#N/A</v>
      </c>
      <c r="NQU538" s="22" t="e">
        <f ca="1"/>
        <v>#N/A</v>
      </c>
      <c r="NQV538" s="22" t="e">
        <f ca="1"/>
        <v>#N/A</v>
      </c>
      <c r="NQW538" s="22" t="e">
        <f ca="1"/>
        <v>#N/A</v>
      </c>
      <c r="NQX538" s="22" t="e">
        <f ca="1"/>
        <v>#N/A</v>
      </c>
      <c r="NQY538" s="22" t="e">
        <f ca="1"/>
        <v>#N/A</v>
      </c>
      <c r="NQZ538" s="22" t="e">
        <f ca="1"/>
        <v>#N/A</v>
      </c>
      <c r="NRA538" s="22" t="e">
        <f ca="1"/>
        <v>#N/A</v>
      </c>
      <c r="NRB538" s="22" t="e">
        <f ca="1"/>
        <v>#N/A</v>
      </c>
      <c r="NRC538" s="22" t="e">
        <f ca="1"/>
        <v>#N/A</v>
      </c>
      <c r="NRD538" s="22" t="e">
        <f ca="1"/>
        <v>#N/A</v>
      </c>
      <c r="NRE538" s="22" t="e">
        <f ca="1"/>
        <v>#N/A</v>
      </c>
      <c r="NRF538" s="22" t="e">
        <f ca="1"/>
        <v>#N/A</v>
      </c>
      <c r="NRG538" s="22" t="e">
        <f ca="1"/>
        <v>#N/A</v>
      </c>
      <c r="NRH538" s="22" t="e">
        <f ca="1"/>
        <v>#N/A</v>
      </c>
      <c r="NRI538" s="22" t="e">
        <f ca="1"/>
        <v>#N/A</v>
      </c>
      <c r="NRJ538" s="22" t="e">
        <f ca="1"/>
        <v>#N/A</v>
      </c>
      <c r="NRK538" s="22" t="e">
        <f ca="1"/>
        <v>#N/A</v>
      </c>
      <c r="NRL538" s="22" t="e">
        <f ca="1"/>
        <v>#N/A</v>
      </c>
      <c r="NRM538" s="22" t="e">
        <f ca="1"/>
        <v>#N/A</v>
      </c>
      <c r="NRN538" s="22" t="e">
        <f ca="1"/>
        <v>#N/A</v>
      </c>
      <c r="NRO538" s="22" t="e">
        <f ca="1"/>
        <v>#N/A</v>
      </c>
      <c r="NRP538" s="22" t="e">
        <f ca="1"/>
        <v>#N/A</v>
      </c>
      <c r="NRQ538" s="22" t="e">
        <f ca="1"/>
        <v>#N/A</v>
      </c>
      <c r="NRR538" s="22" t="e">
        <f ca="1"/>
        <v>#N/A</v>
      </c>
      <c r="NRS538" s="22" t="e">
        <f ca="1"/>
        <v>#N/A</v>
      </c>
      <c r="NRT538" s="22" t="e">
        <f ca="1"/>
        <v>#N/A</v>
      </c>
      <c r="NRU538" s="22" t="e">
        <f ca="1"/>
        <v>#N/A</v>
      </c>
      <c r="NRV538" s="22" t="e">
        <f ca="1"/>
        <v>#N/A</v>
      </c>
      <c r="NRW538" s="22" t="e">
        <f ca="1"/>
        <v>#N/A</v>
      </c>
      <c r="NRX538" s="22" t="e">
        <f ca="1"/>
        <v>#N/A</v>
      </c>
      <c r="NRY538" s="22" t="e">
        <f ca="1"/>
        <v>#N/A</v>
      </c>
      <c r="NRZ538" s="22" t="e">
        <f ca="1"/>
        <v>#N/A</v>
      </c>
      <c r="NSA538" s="22" t="e">
        <f ca="1"/>
        <v>#N/A</v>
      </c>
      <c r="NSB538" s="22" t="e">
        <f ca="1"/>
        <v>#N/A</v>
      </c>
      <c r="NSC538" s="22" t="e">
        <f ca="1"/>
        <v>#N/A</v>
      </c>
      <c r="NSD538" s="22" t="e">
        <f ca="1"/>
        <v>#N/A</v>
      </c>
      <c r="NSE538" s="22" t="e">
        <f ca="1"/>
        <v>#N/A</v>
      </c>
      <c r="NSF538" s="22" t="e">
        <f ca="1"/>
        <v>#N/A</v>
      </c>
      <c r="NSG538" s="22" t="e">
        <f ca="1"/>
        <v>#N/A</v>
      </c>
      <c r="NSH538" s="22" t="e">
        <f ca="1"/>
        <v>#N/A</v>
      </c>
      <c r="NSI538" s="22" t="e">
        <f ca="1"/>
        <v>#N/A</v>
      </c>
      <c r="NSJ538" s="22" t="e">
        <f ca="1"/>
        <v>#N/A</v>
      </c>
      <c r="NSK538" s="22" t="e">
        <f ca="1"/>
        <v>#N/A</v>
      </c>
      <c r="NSL538" s="22" t="e">
        <f ca="1"/>
        <v>#N/A</v>
      </c>
      <c r="NSM538" s="22" t="e">
        <f ca="1"/>
        <v>#N/A</v>
      </c>
      <c r="NSN538" s="22" t="e">
        <f ca="1"/>
        <v>#N/A</v>
      </c>
      <c r="NSO538" s="22" t="e">
        <f ca="1"/>
        <v>#N/A</v>
      </c>
      <c r="NSP538" s="22" t="e">
        <f ca="1"/>
        <v>#N/A</v>
      </c>
      <c r="NSQ538" s="22" t="e">
        <f ca="1"/>
        <v>#N/A</v>
      </c>
      <c r="NSR538" s="22" t="e">
        <f ca="1"/>
        <v>#N/A</v>
      </c>
      <c r="NSS538" s="22" t="e">
        <f ca="1"/>
        <v>#N/A</v>
      </c>
      <c r="NST538" s="22" t="e">
        <f ca="1"/>
        <v>#N/A</v>
      </c>
      <c r="NSU538" s="22" t="e">
        <f ca="1"/>
        <v>#N/A</v>
      </c>
      <c r="NSV538" s="22" t="e">
        <f ca="1"/>
        <v>#N/A</v>
      </c>
      <c r="NSW538" s="22" t="e">
        <f ca="1"/>
        <v>#N/A</v>
      </c>
      <c r="NSX538" s="22" t="e">
        <f ca="1"/>
        <v>#N/A</v>
      </c>
      <c r="NSY538" s="22" t="e">
        <f ca="1"/>
        <v>#N/A</v>
      </c>
      <c r="NSZ538" s="22" t="e">
        <f ca="1"/>
        <v>#N/A</v>
      </c>
      <c r="NTA538" s="22" t="e">
        <f ca="1"/>
        <v>#N/A</v>
      </c>
      <c r="NTB538" s="22" t="e">
        <f ca="1"/>
        <v>#N/A</v>
      </c>
      <c r="NTC538" s="22" t="e">
        <f ca="1"/>
        <v>#N/A</v>
      </c>
      <c r="NTD538" s="22" t="e">
        <f ca="1"/>
        <v>#N/A</v>
      </c>
      <c r="NTE538" s="22" t="e">
        <f ca="1"/>
        <v>#N/A</v>
      </c>
      <c r="NTF538" s="22" t="e">
        <f ca="1"/>
        <v>#N/A</v>
      </c>
      <c r="NTG538" s="22" t="e">
        <f ca="1"/>
        <v>#N/A</v>
      </c>
      <c r="NTH538" s="22" t="e">
        <f ca="1"/>
        <v>#N/A</v>
      </c>
      <c r="NTI538" s="22" t="e">
        <f ca="1"/>
        <v>#N/A</v>
      </c>
      <c r="NTJ538" s="22" t="e">
        <f ca="1"/>
        <v>#N/A</v>
      </c>
      <c r="NTK538" s="22" t="e">
        <f ca="1"/>
        <v>#N/A</v>
      </c>
      <c r="NTL538" s="22" t="e">
        <f ca="1"/>
        <v>#N/A</v>
      </c>
      <c r="NTM538" s="22" t="e">
        <f ca="1"/>
        <v>#N/A</v>
      </c>
      <c r="NTN538" s="22" t="e">
        <f ca="1"/>
        <v>#N/A</v>
      </c>
      <c r="NTO538" s="22" t="e">
        <f ca="1"/>
        <v>#N/A</v>
      </c>
      <c r="NTP538" s="22" t="e">
        <f ca="1"/>
        <v>#N/A</v>
      </c>
      <c r="NTQ538" s="22" t="e">
        <f ca="1"/>
        <v>#N/A</v>
      </c>
      <c r="NTR538" s="22" t="e">
        <f ca="1"/>
        <v>#N/A</v>
      </c>
      <c r="NTS538" s="22" t="e">
        <f ca="1"/>
        <v>#N/A</v>
      </c>
      <c r="NTT538" s="22" t="e">
        <f ca="1"/>
        <v>#N/A</v>
      </c>
      <c r="NTU538" s="22" t="e">
        <f ca="1"/>
        <v>#N/A</v>
      </c>
      <c r="NTV538" s="22" t="e">
        <f ca="1"/>
        <v>#N/A</v>
      </c>
      <c r="NTW538" s="22" t="e">
        <f ca="1"/>
        <v>#N/A</v>
      </c>
      <c r="NTX538" s="22" t="e">
        <f ca="1"/>
        <v>#N/A</v>
      </c>
      <c r="NTY538" s="22" t="e">
        <f ca="1"/>
        <v>#N/A</v>
      </c>
      <c r="NTZ538" s="22" t="e">
        <f ca="1"/>
        <v>#N/A</v>
      </c>
      <c r="NUA538" s="22" t="e">
        <f ca="1"/>
        <v>#N/A</v>
      </c>
      <c r="NUB538" s="22" t="e">
        <f ca="1"/>
        <v>#N/A</v>
      </c>
      <c r="NUC538" s="22" t="e">
        <f ca="1"/>
        <v>#N/A</v>
      </c>
      <c r="NUD538" s="22" t="e">
        <f ca="1"/>
        <v>#N/A</v>
      </c>
      <c r="NUE538" s="22" t="e">
        <f ca="1"/>
        <v>#N/A</v>
      </c>
      <c r="NUF538" s="22" t="e">
        <f ca="1"/>
        <v>#N/A</v>
      </c>
      <c r="NUG538" s="22" t="e">
        <f ca="1"/>
        <v>#N/A</v>
      </c>
      <c r="NUH538" s="22" t="e">
        <f ca="1"/>
        <v>#N/A</v>
      </c>
      <c r="NUI538" s="22" t="e">
        <f ca="1"/>
        <v>#N/A</v>
      </c>
      <c r="NUJ538" s="22" t="e">
        <f ca="1"/>
        <v>#N/A</v>
      </c>
      <c r="NUK538" s="22" t="e">
        <f ca="1"/>
        <v>#N/A</v>
      </c>
      <c r="NUL538" s="22" t="e">
        <f ca="1"/>
        <v>#N/A</v>
      </c>
      <c r="NUM538" s="22" t="e">
        <f ca="1"/>
        <v>#N/A</v>
      </c>
      <c r="NUN538" s="22" t="e">
        <f ca="1"/>
        <v>#N/A</v>
      </c>
      <c r="NUO538" s="22" t="e">
        <f ca="1"/>
        <v>#N/A</v>
      </c>
      <c r="NUP538" s="22" t="e">
        <f ca="1"/>
        <v>#N/A</v>
      </c>
      <c r="NUQ538" s="22" t="e">
        <f ca="1"/>
        <v>#N/A</v>
      </c>
      <c r="NUR538" s="22" t="e">
        <f ca="1"/>
        <v>#N/A</v>
      </c>
      <c r="NUS538" s="22" t="e">
        <f ca="1"/>
        <v>#N/A</v>
      </c>
      <c r="NUT538" s="22" t="e">
        <f ca="1"/>
        <v>#N/A</v>
      </c>
      <c r="NUU538" s="22" t="e">
        <f ca="1"/>
        <v>#N/A</v>
      </c>
      <c r="NUV538" s="22" t="e">
        <f ca="1"/>
        <v>#N/A</v>
      </c>
      <c r="NUW538" s="22" t="e">
        <f ca="1"/>
        <v>#N/A</v>
      </c>
      <c r="NUX538" s="22" t="e">
        <f ca="1"/>
        <v>#N/A</v>
      </c>
      <c r="NUY538" s="22" t="e">
        <f ca="1"/>
        <v>#N/A</v>
      </c>
      <c r="NUZ538" s="22" t="e">
        <f ca="1"/>
        <v>#N/A</v>
      </c>
      <c r="NVA538" s="22" t="e">
        <f ca="1"/>
        <v>#N/A</v>
      </c>
      <c r="NVB538" s="22" t="e">
        <f ca="1"/>
        <v>#N/A</v>
      </c>
      <c r="NVC538" s="22" t="e">
        <f ca="1"/>
        <v>#N/A</v>
      </c>
      <c r="NVD538" s="22" t="e">
        <f ca="1"/>
        <v>#N/A</v>
      </c>
      <c r="NVE538" s="22" t="e">
        <f ca="1"/>
        <v>#N/A</v>
      </c>
      <c r="NVF538" s="22" t="e">
        <f ca="1"/>
        <v>#N/A</v>
      </c>
      <c r="NVG538" s="22" t="e">
        <f ca="1"/>
        <v>#N/A</v>
      </c>
      <c r="NVH538" s="22" t="e">
        <f ca="1"/>
        <v>#N/A</v>
      </c>
      <c r="NVI538" s="22" t="e">
        <f ca="1"/>
        <v>#N/A</v>
      </c>
      <c r="NVJ538" s="22" t="e">
        <f ca="1"/>
        <v>#N/A</v>
      </c>
      <c r="NVK538" s="22" t="e">
        <f ca="1"/>
        <v>#N/A</v>
      </c>
      <c r="NVL538" s="22" t="e">
        <f ca="1"/>
        <v>#N/A</v>
      </c>
      <c r="NVM538" s="22" t="e">
        <f ca="1"/>
        <v>#N/A</v>
      </c>
      <c r="NVN538" s="22" t="e">
        <f ca="1"/>
        <v>#N/A</v>
      </c>
      <c r="NVO538" s="22" t="e">
        <f ca="1"/>
        <v>#N/A</v>
      </c>
      <c r="NVP538" s="22" t="e">
        <f ca="1"/>
        <v>#N/A</v>
      </c>
      <c r="NVQ538" s="22" t="e">
        <f ca="1"/>
        <v>#N/A</v>
      </c>
      <c r="NVR538" s="22" t="e">
        <f ca="1"/>
        <v>#N/A</v>
      </c>
      <c r="NVS538" s="22" t="e">
        <f ca="1"/>
        <v>#N/A</v>
      </c>
      <c r="NVT538" s="22" t="e">
        <f ca="1"/>
        <v>#N/A</v>
      </c>
      <c r="NVU538" s="22" t="e">
        <f ca="1"/>
        <v>#N/A</v>
      </c>
      <c r="NVV538" s="22" t="e">
        <f ca="1"/>
        <v>#N/A</v>
      </c>
      <c r="NVW538" s="22" t="e">
        <f ca="1"/>
        <v>#N/A</v>
      </c>
      <c r="NVX538" s="22" t="e">
        <f ca="1"/>
        <v>#N/A</v>
      </c>
      <c r="NVY538" s="22" t="e">
        <f ca="1"/>
        <v>#N/A</v>
      </c>
      <c r="NVZ538" s="22" t="e">
        <f ca="1"/>
        <v>#N/A</v>
      </c>
      <c r="NWA538" s="22" t="e">
        <f ca="1"/>
        <v>#N/A</v>
      </c>
      <c r="NWB538" s="22" t="e">
        <f ca="1"/>
        <v>#N/A</v>
      </c>
      <c r="NWC538" s="22" t="e">
        <f ca="1"/>
        <v>#N/A</v>
      </c>
      <c r="NWD538" s="22" t="e">
        <f ca="1"/>
        <v>#N/A</v>
      </c>
      <c r="NWE538" s="22" t="e">
        <f ca="1"/>
        <v>#N/A</v>
      </c>
      <c r="NWF538" s="22" t="e">
        <f ca="1"/>
        <v>#N/A</v>
      </c>
      <c r="NWG538" s="22" t="e">
        <f ca="1"/>
        <v>#N/A</v>
      </c>
      <c r="NWH538" s="22" t="e">
        <f ca="1"/>
        <v>#N/A</v>
      </c>
      <c r="NWI538" s="22" t="e">
        <f ca="1"/>
        <v>#N/A</v>
      </c>
      <c r="NWJ538" s="22" t="e">
        <f ca="1"/>
        <v>#N/A</v>
      </c>
      <c r="NWK538" s="22" t="e">
        <f ca="1"/>
        <v>#N/A</v>
      </c>
      <c r="NWL538" s="22" t="e">
        <f ca="1"/>
        <v>#N/A</v>
      </c>
      <c r="NWM538" s="22" t="e">
        <f ca="1"/>
        <v>#N/A</v>
      </c>
      <c r="NWN538" s="22" t="e">
        <f ca="1"/>
        <v>#N/A</v>
      </c>
      <c r="NWO538" s="22" t="e">
        <f ca="1"/>
        <v>#N/A</v>
      </c>
      <c r="NWP538" s="22" t="e">
        <f ca="1"/>
        <v>#N/A</v>
      </c>
      <c r="NWQ538" s="22" t="e">
        <f ca="1"/>
        <v>#N/A</v>
      </c>
      <c r="NWR538" s="22" t="e">
        <f ca="1"/>
        <v>#N/A</v>
      </c>
      <c r="NWS538" s="22" t="e">
        <f ca="1"/>
        <v>#N/A</v>
      </c>
      <c r="NWT538" s="22" t="e">
        <f ca="1"/>
        <v>#N/A</v>
      </c>
      <c r="NWU538" s="22" t="e">
        <f ca="1"/>
        <v>#N/A</v>
      </c>
      <c r="NWV538" s="22" t="e">
        <f ca="1"/>
        <v>#N/A</v>
      </c>
      <c r="NWW538" s="22" t="e">
        <f ca="1"/>
        <v>#N/A</v>
      </c>
      <c r="NWX538" s="22" t="e">
        <f ca="1"/>
        <v>#N/A</v>
      </c>
      <c r="NWY538" s="22" t="e">
        <f ca="1"/>
        <v>#N/A</v>
      </c>
      <c r="NWZ538" s="22" t="e">
        <f ca="1"/>
        <v>#N/A</v>
      </c>
      <c r="NXA538" s="22" t="e">
        <f ca="1"/>
        <v>#N/A</v>
      </c>
      <c r="NXB538" s="22" t="e">
        <f ca="1"/>
        <v>#N/A</v>
      </c>
      <c r="NXC538" s="22" t="e">
        <f ca="1"/>
        <v>#N/A</v>
      </c>
      <c r="NXD538" s="22" t="e">
        <f ca="1"/>
        <v>#N/A</v>
      </c>
      <c r="NXE538" s="22" t="e">
        <f ca="1"/>
        <v>#N/A</v>
      </c>
      <c r="NXF538" s="22" t="e">
        <f ca="1"/>
        <v>#N/A</v>
      </c>
      <c r="NXG538" s="22" t="e">
        <f ca="1"/>
        <v>#N/A</v>
      </c>
      <c r="NXH538" s="22" t="e">
        <f ca="1"/>
        <v>#N/A</v>
      </c>
      <c r="NXI538" s="22" t="e">
        <f ca="1"/>
        <v>#N/A</v>
      </c>
      <c r="NXJ538" s="22" t="e">
        <f ca="1"/>
        <v>#N/A</v>
      </c>
      <c r="NXK538" s="22" t="e">
        <f ca="1"/>
        <v>#N/A</v>
      </c>
      <c r="NXL538" s="22" t="e">
        <f ca="1"/>
        <v>#N/A</v>
      </c>
      <c r="NXM538" s="22" t="e">
        <f ca="1"/>
        <v>#N/A</v>
      </c>
      <c r="NXN538" s="22" t="e">
        <f ca="1"/>
        <v>#N/A</v>
      </c>
      <c r="NXO538" s="22" t="e">
        <f ca="1"/>
        <v>#N/A</v>
      </c>
      <c r="NXP538" s="22" t="e">
        <f ca="1"/>
        <v>#N/A</v>
      </c>
      <c r="NXQ538" s="22" t="e">
        <f ca="1"/>
        <v>#N/A</v>
      </c>
      <c r="NXR538" s="22" t="e">
        <f ca="1"/>
        <v>#N/A</v>
      </c>
      <c r="NXS538" s="22" t="e">
        <f ca="1"/>
        <v>#N/A</v>
      </c>
      <c r="NXT538" s="22" t="e">
        <f ca="1"/>
        <v>#N/A</v>
      </c>
      <c r="NXU538" s="22" t="e">
        <f ca="1"/>
        <v>#N/A</v>
      </c>
      <c r="NXV538" s="22" t="e">
        <f ca="1"/>
        <v>#N/A</v>
      </c>
      <c r="NXW538" s="22" t="e">
        <f ca="1"/>
        <v>#N/A</v>
      </c>
      <c r="NXX538" s="22" t="e">
        <f ca="1"/>
        <v>#N/A</v>
      </c>
      <c r="NXY538" s="22" t="e">
        <f ca="1"/>
        <v>#N/A</v>
      </c>
      <c r="NXZ538" s="22" t="e">
        <f ca="1"/>
        <v>#N/A</v>
      </c>
      <c r="NYA538" s="22" t="e">
        <f ca="1"/>
        <v>#N/A</v>
      </c>
      <c r="NYB538" s="22" t="e">
        <f ca="1"/>
        <v>#N/A</v>
      </c>
      <c r="NYC538" s="22" t="e">
        <f ca="1"/>
        <v>#N/A</v>
      </c>
      <c r="NYD538" s="22" t="e">
        <f ca="1"/>
        <v>#N/A</v>
      </c>
      <c r="NYE538" s="22" t="e">
        <f ca="1"/>
        <v>#N/A</v>
      </c>
      <c r="NYF538" s="22" t="e">
        <f ca="1"/>
        <v>#N/A</v>
      </c>
      <c r="NYG538" s="22" t="e">
        <f ca="1"/>
        <v>#N/A</v>
      </c>
      <c r="NYH538" s="22" t="e">
        <f ca="1"/>
        <v>#N/A</v>
      </c>
      <c r="NYI538" s="22" t="e">
        <f ca="1"/>
        <v>#N/A</v>
      </c>
      <c r="NYJ538" s="22" t="e">
        <f ca="1"/>
        <v>#N/A</v>
      </c>
      <c r="NYK538" s="22" t="e">
        <f ca="1"/>
        <v>#N/A</v>
      </c>
      <c r="NYL538" s="22" t="e">
        <f ca="1"/>
        <v>#N/A</v>
      </c>
      <c r="NYM538" s="22" t="e">
        <f ca="1"/>
        <v>#N/A</v>
      </c>
      <c r="NYN538" s="22" t="e">
        <f ca="1"/>
        <v>#N/A</v>
      </c>
      <c r="NYO538" s="22" t="e">
        <f ca="1"/>
        <v>#N/A</v>
      </c>
      <c r="NYP538" s="22" t="e">
        <f ca="1"/>
        <v>#N/A</v>
      </c>
      <c r="NYQ538" s="22" t="e">
        <f ca="1"/>
        <v>#N/A</v>
      </c>
      <c r="NYR538" s="22" t="e">
        <f ca="1"/>
        <v>#N/A</v>
      </c>
      <c r="NYS538" s="22" t="e">
        <f ca="1"/>
        <v>#N/A</v>
      </c>
      <c r="NYT538" s="22" t="e">
        <f ca="1"/>
        <v>#N/A</v>
      </c>
      <c r="NYU538" s="22" t="e">
        <f ca="1"/>
        <v>#N/A</v>
      </c>
      <c r="NYV538" s="22" t="e">
        <f ca="1"/>
        <v>#N/A</v>
      </c>
      <c r="NYW538" s="22" t="e">
        <f ca="1"/>
        <v>#N/A</v>
      </c>
      <c r="NYX538" s="22" t="e">
        <f ca="1"/>
        <v>#N/A</v>
      </c>
      <c r="NYY538" s="22" t="e">
        <f ca="1"/>
        <v>#N/A</v>
      </c>
      <c r="NYZ538" s="22" t="e">
        <f ca="1"/>
        <v>#N/A</v>
      </c>
      <c r="NZA538" s="22" t="e">
        <f ca="1"/>
        <v>#N/A</v>
      </c>
      <c r="NZB538" s="22" t="e">
        <f ca="1"/>
        <v>#N/A</v>
      </c>
      <c r="NZC538" s="22" t="e">
        <f ca="1"/>
        <v>#N/A</v>
      </c>
      <c r="NZD538" s="22" t="e">
        <f ca="1"/>
        <v>#N/A</v>
      </c>
      <c r="NZE538" s="22" t="e">
        <f ca="1"/>
        <v>#N/A</v>
      </c>
      <c r="NZF538" s="22" t="e">
        <f ca="1"/>
        <v>#N/A</v>
      </c>
      <c r="NZG538" s="22" t="e">
        <f ca="1"/>
        <v>#N/A</v>
      </c>
      <c r="NZH538" s="22" t="e">
        <f ca="1"/>
        <v>#N/A</v>
      </c>
      <c r="NZI538" s="22" t="e">
        <f ca="1"/>
        <v>#N/A</v>
      </c>
      <c r="NZJ538" s="22" t="e">
        <f ca="1"/>
        <v>#N/A</v>
      </c>
      <c r="NZK538" s="22" t="e">
        <f ca="1"/>
        <v>#N/A</v>
      </c>
      <c r="NZL538" s="22" t="e">
        <f ca="1"/>
        <v>#N/A</v>
      </c>
      <c r="NZM538" s="22" t="e">
        <f ca="1"/>
        <v>#N/A</v>
      </c>
      <c r="NZN538" s="22" t="e">
        <f ca="1"/>
        <v>#N/A</v>
      </c>
      <c r="NZO538" s="22" t="e">
        <f ca="1"/>
        <v>#N/A</v>
      </c>
      <c r="NZP538" s="22" t="e">
        <f ca="1"/>
        <v>#N/A</v>
      </c>
      <c r="NZQ538" s="22" t="e">
        <f ca="1"/>
        <v>#N/A</v>
      </c>
      <c r="NZR538" s="22" t="e">
        <f ca="1"/>
        <v>#N/A</v>
      </c>
      <c r="NZS538" s="22" t="e">
        <f ca="1"/>
        <v>#N/A</v>
      </c>
      <c r="NZT538" s="22" t="e">
        <f ca="1"/>
        <v>#N/A</v>
      </c>
      <c r="NZU538" s="22" t="e">
        <f ca="1"/>
        <v>#N/A</v>
      </c>
      <c r="NZV538" s="22" t="e">
        <f ca="1"/>
        <v>#N/A</v>
      </c>
      <c r="NZW538" s="22" t="e">
        <f ca="1"/>
        <v>#N/A</v>
      </c>
      <c r="NZX538" s="22" t="e">
        <f ca="1"/>
        <v>#N/A</v>
      </c>
      <c r="NZY538" s="22" t="e">
        <f ca="1"/>
        <v>#N/A</v>
      </c>
      <c r="NZZ538" s="22" t="e">
        <f ca="1"/>
        <v>#N/A</v>
      </c>
      <c r="OAA538" s="22" t="e">
        <f ca="1"/>
        <v>#N/A</v>
      </c>
      <c r="OAB538" s="22" t="e">
        <f ca="1"/>
        <v>#N/A</v>
      </c>
      <c r="OAC538" s="22" t="e">
        <f ca="1"/>
        <v>#N/A</v>
      </c>
      <c r="OAD538" s="22" t="e">
        <f ca="1"/>
        <v>#N/A</v>
      </c>
      <c r="OAE538" s="22" t="e">
        <f ca="1"/>
        <v>#N/A</v>
      </c>
      <c r="OAF538" s="22" t="e">
        <f ca="1"/>
        <v>#N/A</v>
      </c>
      <c r="OAG538" s="22" t="e">
        <f ca="1"/>
        <v>#N/A</v>
      </c>
      <c r="OAH538" s="22" t="e">
        <f ca="1"/>
        <v>#N/A</v>
      </c>
      <c r="OAI538" s="22" t="e">
        <f ca="1"/>
        <v>#N/A</v>
      </c>
      <c r="OAJ538" s="22" t="e">
        <f ca="1"/>
        <v>#N/A</v>
      </c>
      <c r="OAK538" s="22" t="e">
        <f ca="1"/>
        <v>#N/A</v>
      </c>
      <c r="OAL538" s="22" t="e">
        <f ca="1"/>
        <v>#N/A</v>
      </c>
      <c r="OAM538" s="22" t="e">
        <f ca="1"/>
        <v>#N/A</v>
      </c>
      <c r="OAN538" s="22" t="e">
        <f ca="1"/>
        <v>#N/A</v>
      </c>
      <c r="OAO538" s="22" t="e">
        <f ca="1"/>
        <v>#N/A</v>
      </c>
      <c r="OAP538" s="22" t="e">
        <f ca="1"/>
        <v>#N/A</v>
      </c>
      <c r="OAQ538" s="22" t="e">
        <f ca="1"/>
        <v>#N/A</v>
      </c>
      <c r="OAR538" s="22" t="e">
        <f ca="1"/>
        <v>#N/A</v>
      </c>
      <c r="OAS538" s="22" t="e">
        <f ca="1"/>
        <v>#N/A</v>
      </c>
      <c r="OAT538" s="22" t="e">
        <f ca="1"/>
        <v>#N/A</v>
      </c>
      <c r="OAU538" s="22" t="e">
        <f ca="1"/>
        <v>#N/A</v>
      </c>
      <c r="OAV538" s="22" t="e">
        <f ca="1"/>
        <v>#N/A</v>
      </c>
      <c r="OAW538" s="22" t="e">
        <f ca="1"/>
        <v>#N/A</v>
      </c>
      <c r="OAX538" s="22" t="e">
        <f ca="1"/>
        <v>#N/A</v>
      </c>
      <c r="OAY538" s="22" t="e">
        <f ca="1"/>
        <v>#N/A</v>
      </c>
      <c r="OAZ538" s="22" t="e">
        <f ca="1"/>
        <v>#N/A</v>
      </c>
      <c r="OBA538" s="22" t="e">
        <f ca="1"/>
        <v>#N/A</v>
      </c>
      <c r="OBB538" s="22" t="e">
        <f ca="1"/>
        <v>#N/A</v>
      </c>
      <c r="OBC538" s="22" t="e">
        <f ca="1"/>
        <v>#N/A</v>
      </c>
      <c r="OBD538" s="22" t="e">
        <f ca="1"/>
        <v>#N/A</v>
      </c>
      <c r="OBE538" s="22" t="e">
        <f ca="1"/>
        <v>#N/A</v>
      </c>
      <c r="OBF538" s="22" t="e">
        <f ca="1"/>
        <v>#N/A</v>
      </c>
      <c r="OBG538" s="22" t="e">
        <f ca="1"/>
        <v>#N/A</v>
      </c>
      <c r="OBH538" s="22" t="e">
        <f ca="1"/>
        <v>#N/A</v>
      </c>
      <c r="OBI538" s="22" t="e">
        <f ca="1"/>
        <v>#N/A</v>
      </c>
      <c r="OBJ538" s="22" t="e">
        <f ca="1"/>
        <v>#N/A</v>
      </c>
      <c r="OBK538" s="22" t="e">
        <f ca="1"/>
        <v>#N/A</v>
      </c>
      <c r="OBL538" s="22" t="e">
        <f ca="1"/>
        <v>#N/A</v>
      </c>
      <c r="OBM538" s="22" t="e">
        <f ca="1"/>
        <v>#N/A</v>
      </c>
      <c r="OBN538" s="22" t="e">
        <f ca="1"/>
        <v>#N/A</v>
      </c>
      <c r="OBO538" s="22" t="e">
        <f ca="1"/>
        <v>#N/A</v>
      </c>
      <c r="OBP538" s="22" t="e">
        <f ca="1"/>
        <v>#N/A</v>
      </c>
      <c r="OBQ538" s="22" t="e">
        <f ca="1"/>
        <v>#N/A</v>
      </c>
      <c r="OBR538" s="22" t="e">
        <f ca="1"/>
        <v>#N/A</v>
      </c>
      <c r="OBS538" s="22" t="e">
        <f ca="1"/>
        <v>#N/A</v>
      </c>
      <c r="OBT538" s="22" t="e">
        <f ca="1"/>
        <v>#N/A</v>
      </c>
      <c r="OBU538" s="22" t="e">
        <f ca="1"/>
        <v>#N/A</v>
      </c>
      <c r="OBV538" s="22" t="e">
        <f ca="1"/>
        <v>#N/A</v>
      </c>
      <c r="OBW538" s="22" t="e">
        <f ca="1"/>
        <v>#N/A</v>
      </c>
      <c r="OBX538" s="22" t="e">
        <f ca="1"/>
        <v>#N/A</v>
      </c>
      <c r="OBY538" s="22" t="e">
        <f ca="1"/>
        <v>#N/A</v>
      </c>
      <c r="OBZ538" s="22" t="e">
        <f ca="1"/>
        <v>#N/A</v>
      </c>
      <c r="OCA538" s="22" t="e">
        <f ca="1"/>
        <v>#N/A</v>
      </c>
      <c r="OCB538" s="22" t="e">
        <f ca="1"/>
        <v>#N/A</v>
      </c>
      <c r="OCC538" s="22" t="e">
        <f ca="1"/>
        <v>#N/A</v>
      </c>
      <c r="OCD538" s="22" t="e">
        <f ca="1"/>
        <v>#N/A</v>
      </c>
      <c r="OCE538" s="22" t="e">
        <f ca="1"/>
        <v>#N/A</v>
      </c>
      <c r="OCF538" s="22" t="e">
        <f ca="1"/>
        <v>#N/A</v>
      </c>
      <c r="OCG538" s="22" t="e">
        <f ca="1"/>
        <v>#N/A</v>
      </c>
      <c r="OCH538" s="22" t="e">
        <f ca="1"/>
        <v>#N/A</v>
      </c>
      <c r="OCI538" s="22" t="e">
        <f ca="1"/>
        <v>#N/A</v>
      </c>
      <c r="OCJ538" s="22" t="e">
        <f ca="1"/>
        <v>#N/A</v>
      </c>
      <c r="OCK538" s="22" t="e">
        <f ca="1"/>
        <v>#N/A</v>
      </c>
      <c r="OCL538" s="22" t="e">
        <f ca="1"/>
        <v>#N/A</v>
      </c>
      <c r="OCM538" s="22" t="e">
        <f ca="1"/>
        <v>#N/A</v>
      </c>
      <c r="OCN538" s="22" t="e">
        <f ca="1"/>
        <v>#N/A</v>
      </c>
      <c r="OCO538" s="22" t="e">
        <f ca="1"/>
        <v>#N/A</v>
      </c>
      <c r="OCP538" s="22" t="e">
        <f ca="1"/>
        <v>#N/A</v>
      </c>
      <c r="OCQ538" s="22" t="e">
        <f ca="1"/>
        <v>#N/A</v>
      </c>
      <c r="OCR538" s="22" t="e">
        <f ca="1"/>
        <v>#N/A</v>
      </c>
      <c r="OCS538" s="22" t="e">
        <f ca="1"/>
        <v>#N/A</v>
      </c>
      <c r="OCT538" s="22" t="e">
        <f ca="1"/>
        <v>#N/A</v>
      </c>
      <c r="OCU538" s="22" t="e">
        <f ca="1"/>
        <v>#N/A</v>
      </c>
      <c r="OCV538" s="22" t="e">
        <f ca="1"/>
        <v>#N/A</v>
      </c>
      <c r="OCW538" s="22" t="e">
        <f ca="1"/>
        <v>#N/A</v>
      </c>
      <c r="OCX538" s="22" t="e">
        <f ca="1"/>
        <v>#N/A</v>
      </c>
      <c r="OCY538" s="22" t="e">
        <f ca="1"/>
        <v>#N/A</v>
      </c>
      <c r="OCZ538" s="22" t="e">
        <f ca="1"/>
        <v>#N/A</v>
      </c>
      <c r="ODA538" s="22" t="e">
        <f ca="1"/>
        <v>#N/A</v>
      </c>
      <c r="ODB538" s="22" t="e">
        <f ca="1"/>
        <v>#N/A</v>
      </c>
      <c r="ODC538" s="22" t="e">
        <f ca="1"/>
        <v>#N/A</v>
      </c>
      <c r="ODD538" s="22" t="e">
        <f ca="1"/>
        <v>#N/A</v>
      </c>
      <c r="ODE538" s="22" t="e">
        <f ca="1"/>
        <v>#N/A</v>
      </c>
      <c r="ODF538" s="22" t="e">
        <f ca="1"/>
        <v>#N/A</v>
      </c>
      <c r="ODG538" s="22" t="e">
        <f ca="1"/>
        <v>#N/A</v>
      </c>
      <c r="ODH538" s="22" t="e">
        <f ca="1"/>
        <v>#N/A</v>
      </c>
      <c r="ODI538" s="22" t="e">
        <f ca="1"/>
        <v>#N/A</v>
      </c>
      <c r="ODJ538" s="22" t="e">
        <f ca="1"/>
        <v>#N/A</v>
      </c>
      <c r="ODK538" s="22" t="e">
        <f ca="1"/>
        <v>#N/A</v>
      </c>
      <c r="ODL538" s="22" t="e">
        <f ca="1"/>
        <v>#N/A</v>
      </c>
      <c r="ODM538" s="22" t="e">
        <f ca="1"/>
        <v>#N/A</v>
      </c>
      <c r="ODN538" s="22" t="e">
        <f ca="1"/>
        <v>#N/A</v>
      </c>
      <c r="ODO538" s="22" t="e">
        <f ca="1"/>
        <v>#N/A</v>
      </c>
      <c r="ODP538" s="22" t="e">
        <f ca="1"/>
        <v>#N/A</v>
      </c>
      <c r="ODQ538" s="22" t="e">
        <f ca="1"/>
        <v>#N/A</v>
      </c>
      <c r="ODR538" s="22" t="e">
        <f ca="1"/>
        <v>#N/A</v>
      </c>
      <c r="ODS538" s="22" t="e">
        <f ca="1"/>
        <v>#N/A</v>
      </c>
      <c r="ODT538" s="22" t="e">
        <f ca="1"/>
        <v>#N/A</v>
      </c>
      <c r="ODU538" s="22" t="e">
        <f ca="1"/>
        <v>#N/A</v>
      </c>
      <c r="ODV538" s="22" t="e">
        <f ca="1"/>
        <v>#N/A</v>
      </c>
      <c r="ODW538" s="22" t="e">
        <f ca="1"/>
        <v>#N/A</v>
      </c>
      <c r="ODX538" s="22" t="e">
        <f ca="1"/>
        <v>#N/A</v>
      </c>
      <c r="ODY538" s="22" t="e">
        <f ca="1"/>
        <v>#N/A</v>
      </c>
      <c r="ODZ538" s="22" t="e">
        <f ca="1"/>
        <v>#N/A</v>
      </c>
      <c r="OEA538" s="22" t="e">
        <f ca="1"/>
        <v>#N/A</v>
      </c>
      <c r="OEB538" s="22" t="e">
        <f ca="1"/>
        <v>#N/A</v>
      </c>
      <c r="OEC538" s="22" t="e">
        <f ca="1"/>
        <v>#N/A</v>
      </c>
      <c r="OED538" s="22" t="e">
        <f ca="1"/>
        <v>#N/A</v>
      </c>
      <c r="OEE538" s="22" t="e">
        <f ca="1"/>
        <v>#N/A</v>
      </c>
      <c r="OEF538" s="22" t="e">
        <f ca="1"/>
        <v>#N/A</v>
      </c>
      <c r="OEG538" s="22" t="e">
        <f ca="1"/>
        <v>#N/A</v>
      </c>
      <c r="OEH538" s="22" t="e">
        <f ca="1"/>
        <v>#N/A</v>
      </c>
      <c r="OEI538" s="22" t="e">
        <f ca="1"/>
        <v>#N/A</v>
      </c>
      <c r="OEJ538" s="22" t="e">
        <f ca="1"/>
        <v>#N/A</v>
      </c>
      <c r="OEK538" s="22" t="e">
        <f ca="1"/>
        <v>#N/A</v>
      </c>
      <c r="OEL538" s="22" t="e">
        <f ca="1"/>
        <v>#N/A</v>
      </c>
      <c r="OEM538" s="22" t="e">
        <f ca="1"/>
        <v>#N/A</v>
      </c>
      <c r="OEN538" s="22" t="e">
        <f ca="1"/>
        <v>#N/A</v>
      </c>
      <c r="OEO538" s="22" t="e">
        <f ca="1"/>
        <v>#N/A</v>
      </c>
      <c r="OEP538" s="22" t="e">
        <f ca="1"/>
        <v>#N/A</v>
      </c>
      <c r="OEQ538" s="22" t="e">
        <f ca="1"/>
        <v>#N/A</v>
      </c>
      <c r="OER538" s="22" t="e">
        <f ca="1"/>
        <v>#N/A</v>
      </c>
      <c r="OES538" s="22" t="e">
        <f ca="1"/>
        <v>#N/A</v>
      </c>
      <c r="OET538" s="22" t="e">
        <f ca="1"/>
        <v>#N/A</v>
      </c>
      <c r="OEU538" s="22" t="e">
        <f ca="1"/>
        <v>#N/A</v>
      </c>
      <c r="OEV538" s="22" t="e">
        <f ca="1"/>
        <v>#N/A</v>
      </c>
      <c r="OEW538" s="22" t="e">
        <f ca="1"/>
        <v>#N/A</v>
      </c>
      <c r="OEX538" s="22" t="e">
        <f ca="1"/>
        <v>#N/A</v>
      </c>
      <c r="OEY538" s="22" t="e">
        <f ca="1"/>
        <v>#N/A</v>
      </c>
      <c r="OEZ538" s="22" t="e">
        <f ca="1"/>
        <v>#N/A</v>
      </c>
      <c r="OFA538" s="22" t="e">
        <f ca="1"/>
        <v>#N/A</v>
      </c>
      <c r="OFB538" s="22" t="e">
        <f ca="1"/>
        <v>#N/A</v>
      </c>
      <c r="OFC538" s="22" t="e">
        <f ca="1"/>
        <v>#N/A</v>
      </c>
      <c r="OFD538" s="22" t="e">
        <f ca="1"/>
        <v>#N/A</v>
      </c>
      <c r="OFE538" s="22" t="e">
        <f ca="1"/>
        <v>#N/A</v>
      </c>
      <c r="OFF538" s="22" t="e">
        <f ca="1"/>
        <v>#N/A</v>
      </c>
      <c r="OFG538" s="22" t="e">
        <f ca="1"/>
        <v>#N/A</v>
      </c>
      <c r="OFH538" s="22" t="e">
        <f ca="1"/>
        <v>#N/A</v>
      </c>
      <c r="OFI538" s="22" t="e">
        <f ca="1"/>
        <v>#N/A</v>
      </c>
      <c r="OFJ538" s="22" t="e">
        <f ca="1"/>
        <v>#N/A</v>
      </c>
      <c r="OFK538" s="22" t="e">
        <f ca="1"/>
        <v>#N/A</v>
      </c>
      <c r="OFL538" s="22" t="e">
        <f ca="1"/>
        <v>#N/A</v>
      </c>
      <c r="OFM538" s="22" t="e">
        <f ca="1"/>
        <v>#N/A</v>
      </c>
      <c r="OFN538" s="22" t="e">
        <f ca="1"/>
        <v>#N/A</v>
      </c>
      <c r="OFO538" s="22" t="e">
        <f ca="1"/>
        <v>#N/A</v>
      </c>
      <c r="OFP538" s="22" t="e">
        <f ca="1"/>
        <v>#N/A</v>
      </c>
      <c r="OFQ538" s="22" t="e">
        <f ca="1"/>
        <v>#N/A</v>
      </c>
      <c r="OFR538" s="22" t="e">
        <f ca="1"/>
        <v>#N/A</v>
      </c>
      <c r="OFS538" s="22" t="e">
        <f ca="1"/>
        <v>#N/A</v>
      </c>
      <c r="OFT538" s="22" t="e">
        <f ca="1"/>
        <v>#N/A</v>
      </c>
      <c r="OFU538" s="22" t="e">
        <f ca="1"/>
        <v>#N/A</v>
      </c>
      <c r="OFV538" s="22" t="e">
        <f ca="1"/>
        <v>#N/A</v>
      </c>
      <c r="OFW538" s="22" t="e">
        <f ca="1"/>
        <v>#N/A</v>
      </c>
      <c r="OFX538" s="22" t="e">
        <f ca="1"/>
        <v>#N/A</v>
      </c>
      <c r="OFY538" s="22" t="e">
        <f ca="1"/>
        <v>#N/A</v>
      </c>
      <c r="OFZ538" s="22" t="e">
        <f ca="1"/>
        <v>#N/A</v>
      </c>
      <c r="OGA538" s="22" t="e">
        <f ca="1"/>
        <v>#N/A</v>
      </c>
      <c r="OGB538" s="22" t="e">
        <f ca="1"/>
        <v>#N/A</v>
      </c>
      <c r="OGC538" s="22" t="e">
        <f ca="1"/>
        <v>#N/A</v>
      </c>
      <c r="OGD538" s="22" t="e">
        <f ca="1"/>
        <v>#N/A</v>
      </c>
      <c r="OGE538" s="22" t="e">
        <f ca="1"/>
        <v>#N/A</v>
      </c>
      <c r="OGF538" s="22" t="e">
        <f ca="1"/>
        <v>#N/A</v>
      </c>
      <c r="OGG538" s="22" t="e">
        <f ca="1"/>
        <v>#N/A</v>
      </c>
      <c r="OGH538" s="22" t="e">
        <f ca="1"/>
        <v>#N/A</v>
      </c>
      <c r="OGI538" s="22" t="e">
        <f ca="1"/>
        <v>#N/A</v>
      </c>
      <c r="OGJ538" s="22" t="e">
        <f ca="1"/>
        <v>#N/A</v>
      </c>
      <c r="OGK538" s="22" t="e">
        <f ca="1"/>
        <v>#N/A</v>
      </c>
      <c r="OGL538" s="22" t="e">
        <f ca="1"/>
        <v>#N/A</v>
      </c>
      <c r="OGM538" s="22" t="e">
        <f ca="1"/>
        <v>#N/A</v>
      </c>
      <c r="OGN538" s="22" t="e">
        <f ca="1"/>
        <v>#N/A</v>
      </c>
      <c r="OGO538" s="22" t="e">
        <f ca="1"/>
        <v>#N/A</v>
      </c>
      <c r="OGP538" s="22" t="e">
        <f ca="1"/>
        <v>#N/A</v>
      </c>
      <c r="OGQ538" s="22" t="e">
        <f ca="1"/>
        <v>#N/A</v>
      </c>
      <c r="OGR538" s="22" t="e">
        <f ca="1"/>
        <v>#N/A</v>
      </c>
      <c r="OGS538" s="22" t="e">
        <f ca="1"/>
        <v>#N/A</v>
      </c>
      <c r="OGT538" s="22" t="e">
        <f ca="1"/>
        <v>#N/A</v>
      </c>
      <c r="OGU538" s="22" t="e">
        <f ca="1"/>
        <v>#N/A</v>
      </c>
      <c r="OGV538" s="22" t="e">
        <f ca="1"/>
        <v>#N/A</v>
      </c>
      <c r="OGW538" s="22" t="e">
        <f ca="1"/>
        <v>#N/A</v>
      </c>
      <c r="OGX538" s="22" t="e">
        <f ca="1"/>
        <v>#N/A</v>
      </c>
      <c r="OGY538" s="22" t="e">
        <f ca="1"/>
        <v>#N/A</v>
      </c>
      <c r="OGZ538" s="22" t="e">
        <f ca="1"/>
        <v>#N/A</v>
      </c>
      <c r="OHA538" s="22" t="e">
        <f ca="1"/>
        <v>#N/A</v>
      </c>
      <c r="OHB538" s="22" t="e">
        <f ca="1"/>
        <v>#N/A</v>
      </c>
      <c r="OHC538" s="22" t="e">
        <f ca="1"/>
        <v>#N/A</v>
      </c>
      <c r="OHD538" s="22" t="e">
        <f ca="1"/>
        <v>#N/A</v>
      </c>
      <c r="OHE538" s="22" t="e">
        <f ca="1"/>
        <v>#N/A</v>
      </c>
      <c r="OHF538" s="22" t="e">
        <f ca="1"/>
        <v>#N/A</v>
      </c>
      <c r="OHG538" s="22" t="e">
        <f ca="1"/>
        <v>#N/A</v>
      </c>
      <c r="OHH538" s="22" t="e">
        <f ca="1"/>
        <v>#N/A</v>
      </c>
      <c r="OHI538" s="22" t="e">
        <f ca="1"/>
        <v>#N/A</v>
      </c>
      <c r="OHJ538" s="22" t="e">
        <f ca="1"/>
        <v>#N/A</v>
      </c>
      <c r="OHK538" s="22" t="e">
        <f ca="1"/>
        <v>#N/A</v>
      </c>
      <c r="OHL538" s="22" t="e">
        <f ca="1"/>
        <v>#N/A</v>
      </c>
      <c r="OHM538" s="22" t="e">
        <f ca="1"/>
        <v>#N/A</v>
      </c>
      <c r="OHN538" s="22" t="e">
        <f ca="1"/>
        <v>#N/A</v>
      </c>
      <c r="OHO538" s="22" t="e">
        <f ca="1"/>
        <v>#N/A</v>
      </c>
      <c r="OHP538" s="22" t="e">
        <f ca="1"/>
        <v>#N/A</v>
      </c>
      <c r="OHQ538" s="22" t="e">
        <f ca="1"/>
        <v>#N/A</v>
      </c>
      <c r="OHR538" s="22" t="e">
        <f ca="1"/>
        <v>#N/A</v>
      </c>
      <c r="OHS538" s="22" t="e">
        <f ca="1"/>
        <v>#N/A</v>
      </c>
      <c r="OHT538" s="22" t="e">
        <f ca="1"/>
        <v>#N/A</v>
      </c>
      <c r="OHU538" s="22" t="e">
        <f ca="1"/>
        <v>#N/A</v>
      </c>
      <c r="OHV538" s="22" t="e">
        <f ca="1"/>
        <v>#N/A</v>
      </c>
      <c r="OHW538" s="22" t="e">
        <f ca="1"/>
        <v>#N/A</v>
      </c>
      <c r="OHX538" s="22" t="e">
        <f ca="1"/>
        <v>#N/A</v>
      </c>
      <c r="OHY538" s="22" t="e">
        <f ca="1"/>
        <v>#N/A</v>
      </c>
      <c r="OHZ538" s="22" t="e">
        <f ca="1"/>
        <v>#N/A</v>
      </c>
      <c r="OIA538" s="22" t="e">
        <f ca="1"/>
        <v>#N/A</v>
      </c>
      <c r="OIB538" s="22" t="e">
        <f ca="1"/>
        <v>#N/A</v>
      </c>
      <c r="OIC538" s="22" t="e">
        <f ca="1"/>
        <v>#N/A</v>
      </c>
      <c r="OID538" s="22" t="e">
        <f ca="1"/>
        <v>#N/A</v>
      </c>
      <c r="OIE538" s="22" t="e">
        <f ca="1"/>
        <v>#N/A</v>
      </c>
      <c r="OIF538" s="22" t="e">
        <f ca="1"/>
        <v>#N/A</v>
      </c>
      <c r="OIG538" s="22" t="e">
        <f ca="1"/>
        <v>#N/A</v>
      </c>
      <c r="OIH538" s="22" t="e">
        <f ca="1"/>
        <v>#N/A</v>
      </c>
      <c r="OII538" s="22" t="e">
        <f ca="1"/>
        <v>#N/A</v>
      </c>
      <c r="OIJ538" s="22" t="e">
        <f ca="1"/>
        <v>#N/A</v>
      </c>
      <c r="OIK538" s="22" t="e">
        <f ca="1"/>
        <v>#N/A</v>
      </c>
      <c r="OIL538" s="22" t="e">
        <f ca="1"/>
        <v>#N/A</v>
      </c>
      <c r="OIM538" s="22" t="e">
        <f ca="1"/>
        <v>#N/A</v>
      </c>
      <c r="OIN538" s="22" t="e">
        <f ca="1"/>
        <v>#N/A</v>
      </c>
      <c r="OIO538" s="22" t="e">
        <f ca="1"/>
        <v>#N/A</v>
      </c>
      <c r="OIP538" s="22" t="e">
        <f ca="1"/>
        <v>#N/A</v>
      </c>
      <c r="OIQ538" s="22" t="e">
        <f ca="1"/>
        <v>#N/A</v>
      </c>
      <c r="OIR538" s="22" t="e">
        <f ca="1"/>
        <v>#N/A</v>
      </c>
      <c r="OIS538" s="22" t="e">
        <f ca="1"/>
        <v>#N/A</v>
      </c>
      <c r="OIT538" s="22" t="e">
        <f ca="1"/>
        <v>#N/A</v>
      </c>
      <c r="OIU538" s="22" t="e">
        <f ca="1"/>
        <v>#N/A</v>
      </c>
      <c r="OIV538" s="22" t="e">
        <f ca="1"/>
        <v>#N/A</v>
      </c>
      <c r="OIW538" s="22" t="e">
        <f ca="1"/>
        <v>#N/A</v>
      </c>
      <c r="OIX538" s="22" t="e">
        <f ca="1"/>
        <v>#N/A</v>
      </c>
      <c r="OIY538" s="22" t="e">
        <f ca="1"/>
        <v>#N/A</v>
      </c>
      <c r="OIZ538" s="22" t="e">
        <f ca="1"/>
        <v>#N/A</v>
      </c>
      <c r="OJA538" s="22" t="e">
        <f ca="1"/>
        <v>#N/A</v>
      </c>
      <c r="OJB538" s="22" t="e">
        <f ca="1"/>
        <v>#N/A</v>
      </c>
      <c r="OJC538" s="22" t="e">
        <f ca="1"/>
        <v>#N/A</v>
      </c>
      <c r="OJD538" s="22" t="e">
        <f ca="1"/>
        <v>#N/A</v>
      </c>
      <c r="OJE538" s="22" t="e">
        <f ca="1"/>
        <v>#N/A</v>
      </c>
      <c r="OJF538" s="22" t="e">
        <f ca="1"/>
        <v>#N/A</v>
      </c>
      <c r="OJG538" s="22" t="e">
        <f ca="1"/>
        <v>#N/A</v>
      </c>
      <c r="OJH538" s="22" t="e">
        <f ca="1"/>
        <v>#N/A</v>
      </c>
      <c r="OJI538" s="22" t="e">
        <f ca="1"/>
        <v>#N/A</v>
      </c>
      <c r="OJJ538" s="22" t="e">
        <f ca="1"/>
        <v>#N/A</v>
      </c>
      <c r="OJK538" s="22" t="e">
        <f ca="1"/>
        <v>#N/A</v>
      </c>
      <c r="OJL538" s="22" t="e">
        <f ca="1"/>
        <v>#N/A</v>
      </c>
      <c r="OJM538" s="22" t="e">
        <f ca="1"/>
        <v>#N/A</v>
      </c>
      <c r="OJN538" s="22" t="e">
        <f ca="1"/>
        <v>#N/A</v>
      </c>
      <c r="OJO538" s="22" t="e">
        <f ca="1"/>
        <v>#N/A</v>
      </c>
      <c r="OJP538" s="22" t="e">
        <f ca="1"/>
        <v>#N/A</v>
      </c>
      <c r="OJQ538" s="22" t="e">
        <f ca="1"/>
        <v>#N/A</v>
      </c>
      <c r="OJR538" s="22" t="e">
        <f ca="1"/>
        <v>#N/A</v>
      </c>
      <c r="OJS538" s="22" t="e">
        <f ca="1"/>
        <v>#N/A</v>
      </c>
      <c r="OJT538" s="22" t="e">
        <f ca="1"/>
        <v>#N/A</v>
      </c>
      <c r="OJU538" s="22" t="e">
        <f ca="1"/>
        <v>#N/A</v>
      </c>
      <c r="OJV538" s="22" t="e">
        <f ca="1"/>
        <v>#N/A</v>
      </c>
      <c r="OJW538" s="22" t="e">
        <f ca="1"/>
        <v>#N/A</v>
      </c>
      <c r="OJX538" s="22" t="e">
        <f ca="1"/>
        <v>#N/A</v>
      </c>
      <c r="OJY538" s="22" t="e">
        <f ca="1"/>
        <v>#N/A</v>
      </c>
      <c r="OJZ538" s="22" t="e">
        <f ca="1"/>
        <v>#N/A</v>
      </c>
      <c r="OKA538" s="22" t="e">
        <f ca="1"/>
        <v>#N/A</v>
      </c>
      <c r="OKB538" s="22" t="e">
        <f ca="1"/>
        <v>#N/A</v>
      </c>
      <c r="OKC538" s="22" t="e">
        <f ca="1"/>
        <v>#N/A</v>
      </c>
      <c r="OKD538" s="22" t="e">
        <f ca="1"/>
        <v>#N/A</v>
      </c>
      <c r="OKE538" s="22" t="e">
        <f ca="1"/>
        <v>#N/A</v>
      </c>
      <c r="OKF538" s="22" t="e">
        <f ca="1"/>
        <v>#N/A</v>
      </c>
      <c r="OKG538" s="22" t="e">
        <f ca="1"/>
        <v>#N/A</v>
      </c>
      <c r="OKH538" s="22" t="e">
        <f ca="1"/>
        <v>#N/A</v>
      </c>
      <c r="OKI538" s="22" t="e">
        <f ca="1"/>
        <v>#N/A</v>
      </c>
      <c r="OKJ538" s="22" t="e">
        <f ca="1"/>
        <v>#N/A</v>
      </c>
      <c r="OKK538" s="22" t="e">
        <f ca="1"/>
        <v>#N/A</v>
      </c>
      <c r="OKL538" s="22" t="e">
        <f ca="1"/>
        <v>#N/A</v>
      </c>
      <c r="OKM538" s="22" t="e">
        <f ca="1"/>
        <v>#N/A</v>
      </c>
      <c r="OKN538" s="22" t="e">
        <f ca="1"/>
        <v>#N/A</v>
      </c>
      <c r="OKO538" s="22" t="e">
        <f ca="1"/>
        <v>#N/A</v>
      </c>
      <c r="OKP538" s="22" t="e">
        <f ca="1"/>
        <v>#N/A</v>
      </c>
      <c r="OKQ538" s="22" t="e">
        <f ca="1"/>
        <v>#N/A</v>
      </c>
      <c r="OKR538" s="22" t="e">
        <f ca="1"/>
        <v>#N/A</v>
      </c>
      <c r="OKS538" s="22" t="e">
        <f ca="1"/>
        <v>#N/A</v>
      </c>
      <c r="OKT538" s="22" t="e">
        <f ca="1"/>
        <v>#N/A</v>
      </c>
      <c r="OKU538" s="22" t="e">
        <f ca="1"/>
        <v>#N/A</v>
      </c>
      <c r="OKV538" s="22" t="e">
        <f ca="1"/>
        <v>#N/A</v>
      </c>
      <c r="OKW538" s="22" t="e">
        <f ca="1"/>
        <v>#N/A</v>
      </c>
      <c r="OKX538" s="22" t="e">
        <f ca="1"/>
        <v>#N/A</v>
      </c>
      <c r="OKY538" s="22" t="e">
        <f ca="1"/>
        <v>#N/A</v>
      </c>
      <c r="OKZ538" s="22" t="e">
        <f ca="1"/>
        <v>#N/A</v>
      </c>
      <c r="OLA538" s="22" t="e">
        <f ca="1"/>
        <v>#N/A</v>
      </c>
      <c r="OLB538" s="22" t="e">
        <f ca="1"/>
        <v>#N/A</v>
      </c>
      <c r="OLC538" s="22" t="e">
        <f ca="1"/>
        <v>#N/A</v>
      </c>
      <c r="OLD538" s="22" t="e">
        <f ca="1"/>
        <v>#N/A</v>
      </c>
      <c r="OLE538" s="22" t="e">
        <f ca="1"/>
        <v>#N/A</v>
      </c>
      <c r="OLF538" s="22" t="e">
        <f ca="1"/>
        <v>#N/A</v>
      </c>
      <c r="OLG538" s="22" t="e">
        <f ca="1"/>
        <v>#N/A</v>
      </c>
      <c r="OLH538" s="22" t="e">
        <f ca="1"/>
        <v>#N/A</v>
      </c>
      <c r="OLI538" s="22" t="e">
        <f ca="1"/>
        <v>#N/A</v>
      </c>
      <c r="OLJ538" s="22" t="e">
        <f ca="1"/>
        <v>#N/A</v>
      </c>
      <c r="OLK538" s="22" t="e">
        <f ca="1"/>
        <v>#N/A</v>
      </c>
      <c r="OLL538" s="22" t="e">
        <f ca="1"/>
        <v>#N/A</v>
      </c>
      <c r="OLM538" s="22" t="e">
        <f ca="1"/>
        <v>#N/A</v>
      </c>
      <c r="OLN538" s="22" t="e">
        <f ca="1"/>
        <v>#N/A</v>
      </c>
      <c r="OLO538" s="22" t="e">
        <f ca="1"/>
        <v>#N/A</v>
      </c>
      <c r="OLP538" s="22" t="e">
        <f ca="1"/>
        <v>#N/A</v>
      </c>
      <c r="OLQ538" s="22" t="e">
        <f ca="1"/>
        <v>#N/A</v>
      </c>
      <c r="OLR538" s="22" t="e">
        <f ca="1"/>
        <v>#N/A</v>
      </c>
      <c r="OLS538" s="22" t="e">
        <f ca="1"/>
        <v>#N/A</v>
      </c>
      <c r="OLT538" s="22" t="e">
        <f ca="1"/>
        <v>#N/A</v>
      </c>
      <c r="OLU538" s="22" t="e">
        <f ca="1"/>
        <v>#N/A</v>
      </c>
      <c r="OLV538" s="22" t="e">
        <f ca="1"/>
        <v>#N/A</v>
      </c>
      <c r="OLW538" s="22" t="e">
        <f ca="1"/>
        <v>#N/A</v>
      </c>
      <c r="OLX538" s="22" t="e">
        <f ca="1"/>
        <v>#N/A</v>
      </c>
      <c r="OLY538" s="22" t="e">
        <f ca="1"/>
        <v>#N/A</v>
      </c>
      <c r="OLZ538" s="22" t="e">
        <f ca="1"/>
        <v>#N/A</v>
      </c>
      <c r="OMA538" s="22" t="e">
        <f ca="1"/>
        <v>#N/A</v>
      </c>
      <c r="OMB538" s="22" t="e">
        <f ca="1"/>
        <v>#N/A</v>
      </c>
      <c r="OMC538" s="22" t="e">
        <f ca="1"/>
        <v>#N/A</v>
      </c>
      <c r="OMD538" s="22" t="e">
        <f ca="1"/>
        <v>#N/A</v>
      </c>
      <c r="OME538" s="22" t="e">
        <f ca="1"/>
        <v>#N/A</v>
      </c>
      <c r="OMF538" s="22" t="e">
        <f ca="1"/>
        <v>#N/A</v>
      </c>
      <c r="OMG538" s="22" t="e">
        <f ca="1"/>
        <v>#N/A</v>
      </c>
      <c r="OMH538" s="22" t="e">
        <f ca="1"/>
        <v>#N/A</v>
      </c>
      <c r="OMI538" s="22" t="e">
        <f ca="1"/>
        <v>#N/A</v>
      </c>
      <c r="OMJ538" s="22" t="e">
        <f ca="1"/>
        <v>#N/A</v>
      </c>
      <c r="OMK538" s="22" t="e">
        <f ca="1"/>
        <v>#N/A</v>
      </c>
      <c r="OML538" s="22" t="e">
        <f ca="1"/>
        <v>#N/A</v>
      </c>
      <c r="OMM538" s="22" t="e">
        <f ca="1"/>
        <v>#N/A</v>
      </c>
      <c r="OMN538" s="22" t="e">
        <f ca="1"/>
        <v>#N/A</v>
      </c>
      <c r="OMO538" s="22" t="e">
        <f ca="1"/>
        <v>#N/A</v>
      </c>
      <c r="OMP538" s="22" t="e">
        <f ca="1"/>
        <v>#N/A</v>
      </c>
      <c r="OMQ538" s="22" t="e">
        <f ca="1"/>
        <v>#N/A</v>
      </c>
      <c r="OMR538" s="22" t="e">
        <f ca="1"/>
        <v>#N/A</v>
      </c>
      <c r="OMS538" s="22" t="e">
        <f ca="1"/>
        <v>#N/A</v>
      </c>
      <c r="OMT538" s="22" t="e">
        <f ca="1"/>
        <v>#N/A</v>
      </c>
      <c r="OMU538" s="22" t="e">
        <f ca="1"/>
        <v>#N/A</v>
      </c>
      <c r="OMV538" s="22" t="e">
        <f ca="1"/>
        <v>#N/A</v>
      </c>
      <c r="OMW538" s="22" t="e">
        <f ca="1"/>
        <v>#N/A</v>
      </c>
      <c r="OMX538" s="22" t="e">
        <f ca="1"/>
        <v>#N/A</v>
      </c>
      <c r="OMY538" s="22" t="e">
        <f ca="1"/>
        <v>#N/A</v>
      </c>
      <c r="OMZ538" s="22" t="e">
        <f ca="1"/>
        <v>#N/A</v>
      </c>
      <c r="ONA538" s="22" t="e">
        <f ca="1"/>
        <v>#N/A</v>
      </c>
      <c r="ONB538" s="22" t="e">
        <f ca="1"/>
        <v>#N/A</v>
      </c>
      <c r="ONC538" s="22" t="e">
        <f ca="1"/>
        <v>#N/A</v>
      </c>
      <c r="OND538" s="22" t="e">
        <f ca="1"/>
        <v>#N/A</v>
      </c>
      <c r="ONE538" s="22" t="e">
        <f ca="1"/>
        <v>#N/A</v>
      </c>
      <c r="ONF538" s="22" t="e">
        <f ca="1"/>
        <v>#N/A</v>
      </c>
      <c r="ONG538" s="22" t="e">
        <f ca="1"/>
        <v>#N/A</v>
      </c>
      <c r="ONH538" s="22" t="e">
        <f ca="1"/>
        <v>#N/A</v>
      </c>
      <c r="ONI538" s="22" t="e">
        <f ca="1"/>
        <v>#N/A</v>
      </c>
      <c r="ONJ538" s="22" t="e">
        <f ca="1"/>
        <v>#N/A</v>
      </c>
      <c r="ONK538" s="22" t="e">
        <f ca="1"/>
        <v>#N/A</v>
      </c>
      <c r="ONL538" s="22" t="e">
        <f ca="1"/>
        <v>#N/A</v>
      </c>
      <c r="ONM538" s="22" t="e">
        <f ca="1"/>
        <v>#N/A</v>
      </c>
      <c r="ONN538" s="22" t="e">
        <f ca="1"/>
        <v>#N/A</v>
      </c>
      <c r="ONO538" s="22" t="e">
        <f ca="1"/>
        <v>#N/A</v>
      </c>
      <c r="ONP538" s="22" t="e">
        <f ca="1"/>
        <v>#N/A</v>
      </c>
      <c r="ONQ538" s="22" t="e">
        <f ca="1"/>
        <v>#N/A</v>
      </c>
      <c r="ONR538" s="22" t="e">
        <f ca="1"/>
        <v>#N/A</v>
      </c>
      <c r="ONS538" s="22" t="e">
        <f ca="1"/>
        <v>#N/A</v>
      </c>
      <c r="ONT538" s="22" t="e">
        <f ca="1"/>
        <v>#N/A</v>
      </c>
      <c r="ONU538" s="22" t="e">
        <f ca="1"/>
        <v>#N/A</v>
      </c>
      <c r="ONV538" s="22" t="e">
        <f ca="1"/>
        <v>#N/A</v>
      </c>
      <c r="ONW538" s="22" t="e">
        <f ca="1"/>
        <v>#N/A</v>
      </c>
      <c r="ONX538" s="22" t="e">
        <f ca="1"/>
        <v>#N/A</v>
      </c>
      <c r="ONY538" s="22" t="e">
        <f ca="1"/>
        <v>#N/A</v>
      </c>
      <c r="ONZ538" s="22" t="e">
        <f ca="1"/>
        <v>#N/A</v>
      </c>
      <c r="OOA538" s="22" t="e">
        <f ca="1"/>
        <v>#N/A</v>
      </c>
      <c r="OOB538" s="22" t="e">
        <f ca="1"/>
        <v>#N/A</v>
      </c>
      <c r="OOC538" s="22" t="e">
        <f ca="1"/>
        <v>#N/A</v>
      </c>
      <c r="OOD538" s="22" t="e">
        <f ca="1"/>
        <v>#N/A</v>
      </c>
      <c r="OOE538" s="22" t="e">
        <f ca="1"/>
        <v>#N/A</v>
      </c>
      <c r="OOF538" s="22" t="e">
        <f ca="1"/>
        <v>#N/A</v>
      </c>
      <c r="OOG538" s="22" t="e">
        <f ca="1"/>
        <v>#N/A</v>
      </c>
      <c r="OOH538" s="22" t="e">
        <f ca="1"/>
        <v>#N/A</v>
      </c>
      <c r="OOI538" s="22" t="e">
        <f ca="1"/>
        <v>#N/A</v>
      </c>
      <c r="OOJ538" s="22" t="e">
        <f ca="1"/>
        <v>#N/A</v>
      </c>
      <c r="OOK538" s="22" t="e">
        <f ca="1"/>
        <v>#N/A</v>
      </c>
      <c r="OOL538" s="22" t="e">
        <f ca="1"/>
        <v>#N/A</v>
      </c>
      <c r="OOM538" s="22" t="e">
        <f ca="1"/>
        <v>#N/A</v>
      </c>
      <c r="OON538" s="22" t="e">
        <f ca="1"/>
        <v>#N/A</v>
      </c>
      <c r="OOO538" s="22" t="e">
        <f ca="1"/>
        <v>#N/A</v>
      </c>
      <c r="OOP538" s="22" t="e">
        <f ca="1"/>
        <v>#N/A</v>
      </c>
      <c r="OOQ538" s="22" t="e">
        <f ca="1"/>
        <v>#N/A</v>
      </c>
      <c r="OOR538" s="22" t="e">
        <f ca="1"/>
        <v>#N/A</v>
      </c>
      <c r="OOS538" s="22" t="e">
        <f ca="1"/>
        <v>#N/A</v>
      </c>
      <c r="OOT538" s="22" t="e">
        <f ca="1"/>
        <v>#N/A</v>
      </c>
      <c r="OOU538" s="22" t="e">
        <f ca="1"/>
        <v>#N/A</v>
      </c>
      <c r="OOV538" s="22" t="e">
        <f ca="1"/>
        <v>#N/A</v>
      </c>
      <c r="OOW538" s="22" t="e">
        <f ca="1"/>
        <v>#N/A</v>
      </c>
      <c r="OOX538" s="22" t="e">
        <f ca="1"/>
        <v>#N/A</v>
      </c>
      <c r="OOY538" s="22" t="e">
        <f ca="1"/>
        <v>#N/A</v>
      </c>
      <c r="OOZ538" s="22" t="e">
        <f ca="1"/>
        <v>#N/A</v>
      </c>
      <c r="OPA538" s="22" t="e">
        <f ca="1"/>
        <v>#N/A</v>
      </c>
      <c r="OPB538" s="22" t="e">
        <f ca="1"/>
        <v>#N/A</v>
      </c>
      <c r="OPC538" s="22" t="e">
        <f ca="1"/>
        <v>#N/A</v>
      </c>
      <c r="OPD538" s="22" t="e">
        <f ca="1"/>
        <v>#N/A</v>
      </c>
      <c r="OPE538" s="22" t="e">
        <f ca="1"/>
        <v>#N/A</v>
      </c>
      <c r="OPF538" s="22" t="e">
        <f ca="1"/>
        <v>#N/A</v>
      </c>
      <c r="OPG538" s="22" t="e">
        <f ca="1"/>
        <v>#N/A</v>
      </c>
      <c r="OPH538" s="22" t="e">
        <f ca="1"/>
        <v>#N/A</v>
      </c>
      <c r="OPI538" s="22" t="e">
        <f ca="1"/>
        <v>#N/A</v>
      </c>
      <c r="OPJ538" s="22" t="e">
        <f ca="1"/>
        <v>#N/A</v>
      </c>
      <c r="OPK538" s="22" t="e">
        <f ca="1"/>
        <v>#N/A</v>
      </c>
      <c r="OPL538" s="22" t="e">
        <f ca="1"/>
        <v>#N/A</v>
      </c>
      <c r="OPM538" s="22" t="e">
        <f ca="1"/>
        <v>#N/A</v>
      </c>
      <c r="OPN538" s="22" t="e">
        <f ca="1"/>
        <v>#N/A</v>
      </c>
      <c r="OPO538" s="22" t="e">
        <f ca="1"/>
        <v>#N/A</v>
      </c>
      <c r="OPP538" s="22" t="e">
        <f ca="1"/>
        <v>#N/A</v>
      </c>
      <c r="OPQ538" s="22" t="e">
        <f ca="1"/>
        <v>#N/A</v>
      </c>
      <c r="OPR538" s="22" t="e">
        <f ca="1"/>
        <v>#N/A</v>
      </c>
      <c r="OPS538" s="22" t="e">
        <f ca="1"/>
        <v>#N/A</v>
      </c>
      <c r="OPT538" s="22" t="e">
        <f ca="1"/>
        <v>#N/A</v>
      </c>
      <c r="OPU538" s="22" t="e">
        <f ca="1"/>
        <v>#N/A</v>
      </c>
      <c r="OPV538" s="22" t="e">
        <f ca="1"/>
        <v>#N/A</v>
      </c>
      <c r="OPW538" s="22" t="e">
        <f ca="1"/>
        <v>#N/A</v>
      </c>
      <c r="OPX538" s="22" t="e">
        <f ca="1"/>
        <v>#N/A</v>
      </c>
      <c r="OPY538" s="22" t="e">
        <f ca="1"/>
        <v>#N/A</v>
      </c>
      <c r="OPZ538" s="22" t="e">
        <f ca="1"/>
        <v>#N/A</v>
      </c>
      <c r="OQA538" s="22" t="e">
        <f ca="1"/>
        <v>#N/A</v>
      </c>
      <c r="OQB538" s="22" t="e">
        <f ca="1"/>
        <v>#N/A</v>
      </c>
      <c r="OQC538" s="22" t="e">
        <f ca="1"/>
        <v>#N/A</v>
      </c>
      <c r="OQD538" s="22" t="e">
        <f ca="1"/>
        <v>#N/A</v>
      </c>
      <c r="OQE538" s="22" t="e">
        <f ca="1"/>
        <v>#N/A</v>
      </c>
      <c r="OQF538" s="22" t="e">
        <f ca="1"/>
        <v>#N/A</v>
      </c>
      <c r="OQG538" s="22" t="e">
        <f ca="1"/>
        <v>#N/A</v>
      </c>
      <c r="OQH538" s="22" t="e">
        <f ca="1"/>
        <v>#N/A</v>
      </c>
      <c r="OQI538" s="22" t="e">
        <f ca="1"/>
        <v>#N/A</v>
      </c>
      <c r="OQJ538" s="22" t="e">
        <f ca="1"/>
        <v>#N/A</v>
      </c>
      <c r="OQK538" s="22" t="e">
        <f ca="1"/>
        <v>#N/A</v>
      </c>
      <c r="OQL538" s="22" t="e">
        <f ca="1"/>
        <v>#N/A</v>
      </c>
      <c r="OQM538" s="22" t="e">
        <f ca="1"/>
        <v>#N/A</v>
      </c>
      <c r="OQN538" s="22" t="e">
        <f ca="1"/>
        <v>#N/A</v>
      </c>
      <c r="OQO538" s="22" t="e">
        <f ca="1"/>
        <v>#N/A</v>
      </c>
      <c r="OQP538" s="22" t="e">
        <f ca="1"/>
        <v>#N/A</v>
      </c>
      <c r="OQQ538" s="22" t="e">
        <f ca="1"/>
        <v>#N/A</v>
      </c>
      <c r="OQR538" s="22" t="e">
        <f ca="1"/>
        <v>#N/A</v>
      </c>
      <c r="OQS538" s="22" t="e">
        <f ca="1"/>
        <v>#N/A</v>
      </c>
      <c r="OQT538" s="22" t="e">
        <f ca="1"/>
        <v>#N/A</v>
      </c>
      <c r="OQU538" s="22" t="e">
        <f ca="1"/>
        <v>#N/A</v>
      </c>
      <c r="OQV538" s="22" t="e">
        <f ca="1"/>
        <v>#N/A</v>
      </c>
      <c r="OQW538" s="22" t="e">
        <f ca="1"/>
        <v>#N/A</v>
      </c>
      <c r="OQX538" s="22" t="e">
        <f ca="1"/>
        <v>#N/A</v>
      </c>
      <c r="OQY538" s="22" t="e">
        <f ca="1"/>
        <v>#N/A</v>
      </c>
      <c r="OQZ538" s="22" t="e">
        <f ca="1"/>
        <v>#N/A</v>
      </c>
      <c r="ORA538" s="22" t="e">
        <f ca="1"/>
        <v>#N/A</v>
      </c>
      <c r="ORB538" s="22" t="e">
        <f ca="1"/>
        <v>#N/A</v>
      </c>
      <c r="ORC538" s="22" t="e">
        <f ca="1"/>
        <v>#N/A</v>
      </c>
      <c r="ORD538" s="22" t="e">
        <f ca="1"/>
        <v>#N/A</v>
      </c>
      <c r="ORE538" s="22" t="e">
        <f ca="1"/>
        <v>#N/A</v>
      </c>
      <c r="ORF538" s="22" t="e">
        <f ca="1"/>
        <v>#N/A</v>
      </c>
      <c r="ORG538" s="22" t="e">
        <f ca="1"/>
        <v>#N/A</v>
      </c>
      <c r="ORH538" s="22" t="e">
        <f ca="1"/>
        <v>#N/A</v>
      </c>
      <c r="ORI538" s="22" t="e">
        <f ca="1"/>
        <v>#N/A</v>
      </c>
      <c r="ORJ538" s="22" t="e">
        <f ca="1"/>
        <v>#N/A</v>
      </c>
      <c r="ORK538" s="22" t="e">
        <f ca="1"/>
        <v>#N/A</v>
      </c>
      <c r="ORL538" s="22" t="e">
        <f ca="1"/>
        <v>#N/A</v>
      </c>
      <c r="ORM538" s="22" t="e">
        <f ca="1"/>
        <v>#N/A</v>
      </c>
      <c r="ORN538" s="22" t="e">
        <f ca="1"/>
        <v>#N/A</v>
      </c>
      <c r="ORO538" s="22" t="e">
        <f ca="1"/>
        <v>#N/A</v>
      </c>
      <c r="ORP538" s="22" t="e">
        <f ca="1"/>
        <v>#N/A</v>
      </c>
      <c r="ORQ538" s="22" t="e">
        <f ca="1"/>
        <v>#N/A</v>
      </c>
      <c r="ORR538" s="22" t="e">
        <f ca="1"/>
        <v>#N/A</v>
      </c>
      <c r="ORS538" s="22" t="e">
        <f ca="1"/>
        <v>#N/A</v>
      </c>
      <c r="ORT538" s="22" t="e">
        <f ca="1"/>
        <v>#N/A</v>
      </c>
      <c r="ORU538" s="22" t="e">
        <f ca="1"/>
        <v>#N/A</v>
      </c>
      <c r="ORV538" s="22" t="e">
        <f ca="1"/>
        <v>#N/A</v>
      </c>
      <c r="ORW538" s="22" t="e">
        <f ca="1"/>
        <v>#N/A</v>
      </c>
      <c r="ORX538" s="22" t="e">
        <f ca="1"/>
        <v>#N/A</v>
      </c>
      <c r="ORY538" s="22" t="e">
        <f ca="1"/>
        <v>#N/A</v>
      </c>
      <c r="ORZ538" s="22" t="e">
        <f ca="1"/>
        <v>#N/A</v>
      </c>
      <c r="OSA538" s="22" t="e">
        <f ca="1"/>
        <v>#N/A</v>
      </c>
      <c r="OSB538" s="22" t="e">
        <f ca="1"/>
        <v>#N/A</v>
      </c>
      <c r="OSC538" s="22" t="e">
        <f ca="1"/>
        <v>#N/A</v>
      </c>
      <c r="OSD538" s="22" t="e">
        <f ca="1"/>
        <v>#N/A</v>
      </c>
      <c r="OSE538" s="22" t="e">
        <f ca="1"/>
        <v>#N/A</v>
      </c>
      <c r="OSF538" s="22" t="e">
        <f ca="1"/>
        <v>#N/A</v>
      </c>
      <c r="OSG538" s="22" t="e">
        <f ca="1"/>
        <v>#N/A</v>
      </c>
      <c r="OSH538" s="22" t="e">
        <f ca="1"/>
        <v>#N/A</v>
      </c>
      <c r="OSI538" s="22" t="e">
        <f ca="1"/>
        <v>#N/A</v>
      </c>
      <c r="OSJ538" s="22" t="e">
        <f ca="1"/>
        <v>#N/A</v>
      </c>
      <c r="OSK538" s="22" t="e">
        <f ca="1"/>
        <v>#N/A</v>
      </c>
      <c r="OSL538" s="22" t="e">
        <f ca="1"/>
        <v>#N/A</v>
      </c>
      <c r="OSM538" s="22" t="e">
        <f ca="1"/>
        <v>#N/A</v>
      </c>
      <c r="OSN538" s="22" t="e">
        <f ca="1"/>
        <v>#N/A</v>
      </c>
      <c r="OSO538" s="22" t="e">
        <f ca="1"/>
        <v>#N/A</v>
      </c>
      <c r="OSP538" s="22" t="e">
        <f ca="1"/>
        <v>#N/A</v>
      </c>
      <c r="OSQ538" s="22" t="e">
        <f ca="1"/>
        <v>#N/A</v>
      </c>
      <c r="OSR538" s="22" t="e">
        <f ca="1"/>
        <v>#N/A</v>
      </c>
      <c r="OSS538" s="22" t="e">
        <f ca="1"/>
        <v>#N/A</v>
      </c>
      <c r="OST538" s="22" t="e">
        <f ca="1"/>
        <v>#N/A</v>
      </c>
      <c r="OSU538" s="22" t="e">
        <f ca="1"/>
        <v>#N/A</v>
      </c>
      <c r="OSV538" s="22" t="e">
        <f ca="1"/>
        <v>#N/A</v>
      </c>
      <c r="OSW538" s="22" t="e">
        <f ca="1"/>
        <v>#N/A</v>
      </c>
      <c r="OSX538" s="22" t="e">
        <f ca="1"/>
        <v>#N/A</v>
      </c>
      <c r="OSY538" s="22" t="e">
        <f ca="1"/>
        <v>#N/A</v>
      </c>
      <c r="OSZ538" s="22" t="e">
        <f ca="1"/>
        <v>#N/A</v>
      </c>
      <c r="OTA538" s="22" t="e">
        <f ca="1"/>
        <v>#N/A</v>
      </c>
      <c r="OTB538" s="22" t="e">
        <f ca="1"/>
        <v>#N/A</v>
      </c>
      <c r="OTC538" s="22" t="e">
        <f ca="1"/>
        <v>#N/A</v>
      </c>
      <c r="OTD538" s="22" t="e">
        <f ca="1"/>
        <v>#N/A</v>
      </c>
      <c r="OTE538" s="22" t="e">
        <f ca="1"/>
        <v>#N/A</v>
      </c>
      <c r="OTF538" s="22" t="e">
        <f ca="1"/>
        <v>#N/A</v>
      </c>
      <c r="OTG538" s="22" t="e">
        <f ca="1"/>
        <v>#N/A</v>
      </c>
      <c r="OTH538" s="22" t="e">
        <f ca="1"/>
        <v>#N/A</v>
      </c>
      <c r="OTI538" s="22" t="e">
        <f ca="1"/>
        <v>#N/A</v>
      </c>
      <c r="OTJ538" s="22" t="e">
        <f ca="1"/>
        <v>#N/A</v>
      </c>
      <c r="OTK538" s="22" t="e">
        <f ca="1"/>
        <v>#N/A</v>
      </c>
      <c r="OTL538" s="22" t="e">
        <f ca="1"/>
        <v>#N/A</v>
      </c>
      <c r="OTM538" s="22" t="e">
        <f ca="1"/>
        <v>#N/A</v>
      </c>
      <c r="OTN538" s="22" t="e">
        <f ca="1"/>
        <v>#N/A</v>
      </c>
      <c r="OTO538" s="22" t="e">
        <f ca="1"/>
        <v>#N/A</v>
      </c>
      <c r="OTP538" s="22" t="e">
        <f ca="1"/>
        <v>#N/A</v>
      </c>
      <c r="OTQ538" s="22" t="e">
        <f ca="1"/>
        <v>#N/A</v>
      </c>
      <c r="OTR538" s="22" t="e">
        <f ca="1"/>
        <v>#N/A</v>
      </c>
      <c r="OTS538" s="22" t="e">
        <f ca="1"/>
        <v>#N/A</v>
      </c>
      <c r="OTT538" s="22" t="e">
        <f ca="1"/>
        <v>#N/A</v>
      </c>
      <c r="OTU538" s="22" t="e">
        <f ca="1"/>
        <v>#N/A</v>
      </c>
      <c r="OTV538" s="22" t="e">
        <f ca="1"/>
        <v>#N/A</v>
      </c>
      <c r="OTW538" s="22" t="e">
        <f ca="1"/>
        <v>#N/A</v>
      </c>
      <c r="OTX538" s="22" t="e">
        <f ca="1"/>
        <v>#N/A</v>
      </c>
      <c r="OTY538" s="22" t="e">
        <f ca="1"/>
        <v>#N/A</v>
      </c>
      <c r="OTZ538" s="22" t="e">
        <f ca="1"/>
        <v>#N/A</v>
      </c>
      <c r="OUA538" s="22" t="e">
        <f ca="1"/>
        <v>#N/A</v>
      </c>
      <c r="OUB538" s="22" t="e">
        <f ca="1"/>
        <v>#N/A</v>
      </c>
      <c r="OUC538" s="22" t="e">
        <f ca="1"/>
        <v>#N/A</v>
      </c>
      <c r="OUD538" s="22" t="e">
        <f ca="1"/>
        <v>#N/A</v>
      </c>
      <c r="OUE538" s="22" t="e">
        <f ca="1"/>
        <v>#N/A</v>
      </c>
      <c r="OUF538" s="22" t="e">
        <f ca="1"/>
        <v>#N/A</v>
      </c>
      <c r="OUG538" s="22" t="e">
        <f ca="1"/>
        <v>#N/A</v>
      </c>
      <c r="OUH538" s="22" t="e">
        <f ca="1"/>
        <v>#N/A</v>
      </c>
      <c r="OUI538" s="22" t="e">
        <f ca="1"/>
        <v>#N/A</v>
      </c>
      <c r="OUJ538" s="22" t="e">
        <f ca="1"/>
        <v>#N/A</v>
      </c>
      <c r="OUK538" s="22" t="e">
        <f ca="1"/>
        <v>#N/A</v>
      </c>
      <c r="OUL538" s="22" t="e">
        <f ca="1"/>
        <v>#N/A</v>
      </c>
      <c r="OUM538" s="22" t="e">
        <f ca="1"/>
        <v>#N/A</v>
      </c>
      <c r="OUN538" s="22" t="e">
        <f ca="1"/>
        <v>#N/A</v>
      </c>
      <c r="OUO538" s="22" t="e">
        <f ca="1"/>
        <v>#N/A</v>
      </c>
      <c r="OUP538" s="22" t="e">
        <f ca="1"/>
        <v>#N/A</v>
      </c>
      <c r="OUQ538" s="22" t="e">
        <f ca="1"/>
        <v>#N/A</v>
      </c>
      <c r="OUR538" s="22" t="e">
        <f ca="1"/>
        <v>#N/A</v>
      </c>
      <c r="OUS538" s="22" t="e">
        <f ca="1"/>
        <v>#N/A</v>
      </c>
      <c r="OUT538" s="22" t="e">
        <f ca="1"/>
        <v>#N/A</v>
      </c>
      <c r="OUU538" s="22" t="e">
        <f ca="1"/>
        <v>#N/A</v>
      </c>
      <c r="OUV538" s="22" t="e">
        <f ca="1"/>
        <v>#N/A</v>
      </c>
      <c r="OUW538" s="22" t="e">
        <f ca="1"/>
        <v>#N/A</v>
      </c>
      <c r="OUX538" s="22" t="e">
        <f ca="1"/>
        <v>#N/A</v>
      </c>
      <c r="OUY538" s="22" t="e">
        <f ca="1"/>
        <v>#N/A</v>
      </c>
      <c r="OUZ538" s="22" t="e">
        <f ca="1"/>
        <v>#N/A</v>
      </c>
      <c r="OVA538" s="22" t="e">
        <f ca="1"/>
        <v>#N/A</v>
      </c>
      <c r="OVB538" s="22" t="e">
        <f ca="1"/>
        <v>#N/A</v>
      </c>
      <c r="OVC538" s="22" t="e">
        <f ca="1"/>
        <v>#N/A</v>
      </c>
      <c r="OVD538" s="22" t="e">
        <f ca="1"/>
        <v>#N/A</v>
      </c>
      <c r="OVE538" s="22" t="e">
        <f ca="1"/>
        <v>#N/A</v>
      </c>
      <c r="OVF538" s="22" t="e">
        <f ca="1"/>
        <v>#N/A</v>
      </c>
      <c r="OVG538" s="22" t="e">
        <f ca="1"/>
        <v>#N/A</v>
      </c>
      <c r="OVH538" s="22" t="e">
        <f ca="1"/>
        <v>#N/A</v>
      </c>
      <c r="OVI538" s="22" t="e">
        <f ca="1"/>
        <v>#N/A</v>
      </c>
      <c r="OVJ538" s="22" t="e">
        <f ca="1"/>
        <v>#N/A</v>
      </c>
      <c r="OVK538" s="22" t="e">
        <f ca="1"/>
        <v>#N/A</v>
      </c>
      <c r="OVL538" s="22" t="e">
        <f ca="1"/>
        <v>#N/A</v>
      </c>
      <c r="OVM538" s="22" t="e">
        <f ca="1"/>
        <v>#N/A</v>
      </c>
      <c r="OVN538" s="22" t="e">
        <f ca="1"/>
        <v>#N/A</v>
      </c>
      <c r="OVO538" s="22" t="e">
        <f ca="1"/>
        <v>#N/A</v>
      </c>
      <c r="OVP538" s="22" t="e">
        <f ca="1"/>
        <v>#N/A</v>
      </c>
      <c r="OVQ538" s="22" t="e">
        <f ca="1"/>
        <v>#N/A</v>
      </c>
      <c r="OVR538" s="22" t="e">
        <f ca="1"/>
        <v>#N/A</v>
      </c>
      <c r="OVS538" s="22" t="e">
        <f ca="1"/>
        <v>#N/A</v>
      </c>
      <c r="OVT538" s="22" t="e">
        <f ca="1"/>
        <v>#N/A</v>
      </c>
      <c r="OVU538" s="22" t="e">
        <f ca="1"/>
        <v>#N/A</v>
      </c>
      <c r="OVV538" s="22" t="e">
        <f ca="1"/>
        <v>#N/A</v>
      </c>
      <c r="OVW538" s="22" t="e">
        <f ca="1"/>
        <v>#N/A</v>
      </c>
      <c r="OVX538" s="22" t="e">
        <f ca="1"/>
        <v>#N/A</v>
      </c>
      <c r="OVY538" s="22" t="e">
        <f ca="1"/>
        <v>#N/A</v>
      </c>
      <c r="OVZ538" s="22" t="e">
        <f ca="1"/>
        <v>#N/A</v>
      </c>
      <c r="OWA538" s="22" t="e">
        <f ca="1"/>
        <v>#N/A</v>
      </c>
      <c r="OWB538" s="22" t="e">
        <f ca="1"/>
        <v>#N/A</v>
      </c>
      <c r="OWC538" s="22" t="e">
        <f ca="1"/>
        <v>#N/A</v>
      </c>
      <c r="OWD538" s="22" t="e">
        <f ca="1"/>
        <v>#N/A</v>
      </c>
      <c r="OWE538" s="22" t="e">
        <f ca="1"/>
        <v>#N/A</v>
      </c>
      <c r="OWF538" s="22" t="e">
        <f ca="1"/>
        <v>#N/A</v>
      </c>
      <c r="OWG538" s="22" t="e">
        <f ca="1"/>
        <v>#N/A</v>
      </c>
      <c r="OWH538" s="22" t="e">
        <f ca="1"/>
        <v>#N/A</v>
      </c>
      <c r="OWI538" s="22" t="e">
        <f ca="1"/>
        <v>#N/A</v>
      </c>
      <c r="OWJ538" s="22" t="e">
        <f ca="1"/>
        <v>#N/A</v>
      </c>
      <c r="OWK538" s="22" t="e">
        <f ca="1"/>
        <v>#N/A</v>
      </c>
      <c r="OWL538" s="22" t="e">
        <f ca="1"/>
        <v>#N/A</v>
      </c>
      <c r="OWM538" s="22" t="e">
        <f ca="1"/>
        <v>#N/A</v>
      </c>
      <c r="OWN538" s="22" t="e">
        <f ca="1"/>
        <v>#N/A</v>
      </c>
      <c r="OWO538" s="22" t="e">
        <f ca="1"/>
        <v>#N/A</v>
      </c>
      <c r="OWP538" s="22" t="e">
        <f ca="1"/>
        <v>#N/A</v>
      </c>
      <c r="OWQ538" s="22" t="e">
        <f ca="1"/>
        <v>#N/A</v>
      </c>
      <c r="OWR538" s="22" t="e">
        <f ca="1"/>
        <v>#N/A</v>
      </c>
      <c r="OWS538" s="22" t="e">
        <f ca="1"/>
        <v>#N/A</v>
      </c>
      <c r="OWT538" s="22" t="e">
        <f ca="1"/>
        <v>#N/A</v>
      </c>
      <c r="OWU538" s="22" t="e">
        <f ca="1"/>
        <v>#N/A</v>
      </c>
      <c r="OWV538" s="22" t="e">
        <f ca="1"/>
        <v>#N/A</v>
      </c>
      <c r="OWW538" s="22" t="e">
        <f ca="1"/>
        <v>#N/A</v>
      </c>
      <c r="OWX538" s="22" t="e">
        <f ca="1"/>
        <v>#N/A</v>
      </c>
      <c r="OWY538" s="22" t="e">
        <f ca="1"/>
        <v>#N/A</v>
      </c>
      <c r="OWZ538" s="22" t="e">
        <f ca="1"/>
        <v>#N/A</v>
      </c>
      <c r="OXA538" s="22" t="e">
        <f ca="1"/>
        <v>#N/A</v>
      </c>
      <c r="OXB538" s="22" t="e">
        <f ca="1"/>
        <v>#N/A</v>
      </c>
      <c r="OXC538" s="22" t="e">
        <f ca="1"/>
        <v>#N/A</v>
      </c>
      <c r="OXD538" s="22" t="e">
        <f ca="1"/>
        <v>#N/A</v>
      </c>
      <c r="OXE538" s="22" t="e">
        <f ca="1"/>
        <v>#N/A</v>
      </c>
      <c r="OXF538" s="22" t="e">
        <f ca="1"/>
        <v>#N/A</v>
      </c>
      <c r="OXG538" s="22" t="e">
        <f ca="1"/>
        <v>#N/A</v>
      </c>
      <c r="OXH538" s="22" t="e">
        <f ca="1"/>
        <v>#N/A</v>
      </c>
      <c r="OXI538" s="22" t="e">
        <f ca="1"/>
        <v>#N/A</v>
      </c>
      <c r="OXJ538" s="22" t="e">
        <f ca="1"/>
        <v>#N/A</v>
      </c>
      <c r="OXK538" s="22" t="e">
        <f ca="1"/>
        <v>#N/A</v>
      </c>
      <c r="OXL538" s="22" t="e">
        <f ca="1"/>
        <v>#N/A</v>
      </c>
      <c r="OXM538" s="22" t="e">
        <f ca="1"/>
        <v>#N/A</v>
      </c>
      <c r="OXN538" s="22" t="e">
        <f ca="1"/>
        <v>#N/A</v>
      </c>
      <c r="OXO538" s="22" t="e">
        <f ca="1"/>
        <v>#N/A</v>
      </c>
      <c r="OXP538" s="22" t="e">
        <f ca="1"/>
        <v>#N/A</v>
      </c>
      <c r="OXQ538" s="22" t="e">
        <f ca="1"/>
        <v>#N/A</v>
      </c>
      <c r="OXR538" s="22" t="e">
        <f ca="1"/>
        <v>#N/A</v>
      </c>
      <c r="OXS538" s="22" t="e">
        <f ca="1"/>
        <v>#N/A</v>
      </c>
      <c r="OXT538" s="22" t="e">
        <f ca="1"/>
        <v>#N/A</v>
      </c>
      <c r="OXU538" s="22" t="e">
        <f ca="1"/>
        <v>#N/A</v>
      </c>
      <c r="OXV538" s="22" t="e">
        <f ca="1"/>
        <v>#N/A</v>
      </c>
      <c r="OXW538" s="22" t="e">
        <f ca="1"/>
        <v>#N/A</v>
      </c>
      <c r="OXX538" s="22" t="e">
        <f ca="1"/>
        <v>#N/A</v>
      </c>
      <c r="OXY538" s="22" t="e">
        <f ca="1"/>
        <v>#N/A</v>
      </c>
      <c r="OXZ538" s="22" t="e">
        <f ca="1"/>
        <v>#N/A</v>
      </c>
      <c r="OYA538" s="22" t="e">
        <f ca="1"/>
        <v>#N/A</v>
      </c>
      <c r="OYB538" s="22" t="e">
        <f ca="1"/>
        <v>#N/A</v>
      </c>
      <c r="OYC538" s="22" t="e">
        <f ca="1"/>
        <v>#N/A</v>
      </c>
      <c r="OYD538" s="22" t="e">
        <f ca="1"/>
        <v>#N/A</v>
      </c>
      <c r="OYE538" s="22" t="e">
        <f ca="1"/>
        <v>#N/A</v>
      </c>
      <c r="OYF538" s="22" t="e">
        <f ca="1"/>
        <v>#N/A</v>
      </c>
      <c r="OYG538" s="22" t="e">
        <f ca="1"/>
        <v>#N/A</v>
      </c>
      <c r="OYH538" s="22" t="e">
        <f ca="1"/>
        <v>#N/A</v>
      </c>
      <c r="OYI538" s="22" t="e">
        <f ca="1"/>
        <v>#N/A</v>
      </c>
      <c r="OYJ538" s="22" t="e">
        <f ca="1"/>
        <v>#N/A</v>
      </c>
      <c r="OYK538" s="22" t="e">
        <f ca="1"/>
        <v>#N/A</v>
      </c>
      <c r="OYL538" s="22" t="e">
        <f ca="1"/>
        <v>#N/A</v>
      </c>
      <c r="OYM538" s="22" t="e">
        <f ca="1"/>
        <v>#N/A</v>
      </c>
      <c r="OYN538" s="22" t="e">
        <f ca="1"/>
        <v>#N/A</v>
      </c>
      <c r="OYO538" s="22" t="e">
        <f ca="1"/>
        <v>#N/A</v>
      </c>
      <c r="OYP538" s="22" t="e">
        <f ca="1"/>
        <v>#N/A</v>
      </c>
      <c r="OYQ538" s="22" t="e">
        <f ca="1"/>
        <v>#N/A</v>
      </c>
      <c r="OYR538" s="22" t="e">
        <f ca="1"/>
        <v>#N/A</v>
      </c>
      <c r="OYS538" s="22" t="e">
        <f ca="1"/>
        <v>#N/A</v>
      </c>
      <c r="OYT538" s="22" t="e">
        <f ca="1"/>
        <v>#N/A</v>
      </c>
      <c r="OYU538" s="22" t="e">
        <f ca="1"/>
        <v>#N/A</v>
      </c>
      <c r="OYV538" s="22" t="e">
        <f ca="1"/>
        <v>#N/A</v>
      </c>
      <c r="OYW538" s="22" t="e">
        <f ca="1"/>
        <v>#N/A</v>
      </c>
      <c r="OYX538" s="22" t="e">
        <f ca="1"/>
        <v>#N/A</v>
      </c>
      <c r="OYY538" s="22" t="e">
        <f ca="1"/>
        <v>#N/A</v>
      </c>
      <c r="OYZ538" s="22" t="e">
        <f ca="1"/>
        <v>#N/A</v>
      </c>
      <c r="OZA538" s="22" t="e">
        <f ca="1"/>
        <v>#N/A</v>
      </c>
      <c r="OZB538" s="22" t="e">
        <f ca="1"/>
        <v>#N/A</v>
      </c>
      <c r="OZC538" s="22" t="e">
        <f ca="1"/>
        <v>#N/A</v>
      </c>
      <c r="OZD538" s="22" t="e">
        <f ca="1"/>
        <v>#N/A</v>
      </c>
      <c r="OZE538" s="22" t="e">
        <f ca="1"/>
        <v>#N/A</v>
      </c>
      <c r="OZF538" s="22" t="e">
        <f ca="1"/>
        <v>#N/A</v>
      </c>
      <c r="OZG538" s="22" t="e">
        <f ca="1"/>
        <v>#N/A</v>
      </c>
      <c r="OZH538" s="22" t="e">
        <f ca="1"/>
        <v>#N/A</v>
      </c>
      <c r="OZI538" s="22" t="e">
        <f ca="1"/>
        <v>#N/A</v>
      </c>
      <c r="OZJ538" s="22" t="e">
        <f ca="1"/>
        <v>#N/A</v>
      </c>
      <c r="OZK538" s="22" t="e">
        <f ca="1"/>
        <v>#N/A</v>
      </c>
      <c r="OZL538" s="22" t="e">
        <f ca="1"/>
        <v>#N/A</v>
      </c>
      <c r="OZM538" s="22" t="e">
        <f ca="1"/>
        <v>#N/A</v>
      </c>
      <c r="OZN538" s="22" t="e">
        <f ca="1"/>
        <v>#N/A</v>
      </c>
      <c r="OZO538" s="22" t="e">
        <f ca="1"/>
        <v>#N/A</v>
      </c>
      <c r="OZP538" s="22" t="e">
        <f ca="1"/>
        <v>#N/A</v>
      </c>
      <c r="OZQ538" s="22" t="e">
        <f ca="1"/>
        <v>#N/A</v>
      </c>
      <c r="OZR538" s="22" t="e">
        <f ca="1"/>
        <v>#N/A</v>
      </c>
      <c r="OZS538" s="22" t="e">
        <f ca="1"/>
        <v>#N/A</v>
      </c>
      <c r="OZT538" s="22" t="e">
        <f ca="1"/>
        <v>#N/A</v>
      </c>
      <c r="OZU538" s="22" t="e">
        <f ca="1"/>
        <v>#N/A</v>
      </c>
      <c r="OZV538" s="22" t="e">
        <f ca="1"/>
        <v>#N/A</v>
      </c>
      <c r="OZW538" s="22" t="e">
        <f ca="1"/>
        <v>#N/A</v>
      </c>
      <c r="OZX538" s="22" t="e">
        <f ca="1"/>
        <v>#N/A</v>
      </c>
      <c r="OZY538" s="22" t="e">
        <f ca="1"/>
        <v>#N/A</v>
      </c>
      <c r="OZZ538" s="22" t="e">
        <f ca="1"/>
        <v>#N/A</v>
      </c>
      <c r="PAA538" s="22" t="e">
        <f ca="1"/>
        <v>#N/A</v>
      </c>
      <c r="PAB538" s="22" t="e">
        <f ca="1"/>
        <v>#N/A</v>
      </c>
      <c r="PAC538" s="22" t="e">
        <f ca="1"/>
        <v>#N/A</v>
      </c>
      <c r="PAD538" s="22" t="e">
        <f ca="1"/>
        <v>#N/A</v>
      </c>
      <c r="PAE538" s="22" t="e">
        <f ca="1"/>
        <v>#N/A</v>
      </c>
      <c r="PAF538" s="22" t="e">
        <f ca="1"/>
        <v>#N/A</v>
      </c>
      <c r="PAG538" s="22" t="e">
        <f ca="1"/>
        <v>#N/A</v>
      </c>
      <c r="PAH538" s="22" t="e">
        <f ca="1"/>
        <v>#N/A</v>
      </c>
      <c r="PAI538" s="22" t="e">
        <f ca="1"/>
        <v>#N/A</v>
      </c>
      <c r="PAJ538" s="22" t="e">
        <f ca="1"/>
        <v>#N/A</v>
      </c>
      <c r="PAK538" s="22" t="e">
        <f ca="1"/>
        <v>#N/A</v>
      </c>
      <c r="PAL538" s="22" t="e">
        <f ca="1"/>
        <v>#N/A</v>
      </c>
      <c r="PAM538" s="22" t="e">
        <f ca="1"/>
        <v>#N/A</v>
      </c>
      <c r="PAN538" s="22" t="e">
        <f ca="1"/>
        <v>#N/A</v>
      </c>
      <c r="PAO538" s="22" t="e">
        <f ca="1"/>
        <v>#N/A</v>
      </c>
      <c r="PAP538" s="22" t="e">
        <f ca="1"/>
        <v>#N/A</v>
      </c>
      <c r="PAQ538" s="22" t="e">
        <f ca="1"/>
        <v>#N/A</v>
      </c>
      <c r="PAR538" s="22" t="e">
        <f ca="1"/>
        <v>#N/A</v>
      </c>
      <c r="PAS538" s="22" t="e">
        <f ca="1"/>
        <v>#N/A</v>
      </c>
      <c r="PAT538" s="22" t="e">
        <f ca="1"/>
        <v>#N/A</v>
      </c>
      <c r="PAU538" s="22" t="e">
        <f ca="1"/>
        <v>#N/A</v>
      </c>
      <c r="PAV538" s="22" t="e">
        <f ca="1"/>
        <v>#N/A</v>
      </c>
      <c r="PAW538" s="22" t="e">
        <f ca="1"/>
        <v>#N/A</v>
      </c>
      <c r="PAX538" s="22" t="e">
        <f ca="1"/>
        <v>#N/A</v>
      </c>
      <c r="PAY538" s="22" t="e">
        <f ca="1"/>
        <v>#N/A</v>
      </c>
      <c r="PAZ538" s="22" t="e">
        <f ca="1"/>
        <v>#N/A</v>
      </c>
      <c r="PBA538" s="22" t="e">
        <f ca="1"/>
        <v>#N/A</v>
      </c>
      <c r="PBB538" s="22" t="e">
        <f ca="1"/>
        <v>#N/A</v>
      </c>
      <c r="PBC538" s="22" t="e">
        <f ca="1"/>
        <v>#N/A</v>
      </c>
      <c r="PBD538" s="22" t="e">
        <f ca="1"/>
        <v>#N/A</v>
      </c>
      <c r="PBE538" s="22" t="e">
        <f ca="1"/>
        <v>#N/A</v>
      </c>
      <c r="PBF538" s="22" t="e">
        <f ca="1"/>
        <v>#N/A</v>
      </c>
      <c r="PBG538" s="22" t="e">
        <f ca="1"/>
        <v>#N/A</v>
      </c>
      <c r="PBH538" s="22" t="e">
        <f ca="1"/>
        <v>#N/A</v>
      </c>
      <c r="PBI538" s="22" t="e">
        <f ca="1"/>
        <v>#N/A</v>
      </c>
      <c r="PBJ538" s="22" t="e">
        <f ca="1"/>
        <v>#N/A</v>
      </c>
      <c r="PBK538" s="22" t="e">
        <f ca="1"/>
        <v>#N/A</v>
      </c>
      <c r="PBL538" s="22" t="e">
        <f ca="1"/>
        <v>#N/A</v>
      </c>
      <c r="PBM538" s="22" t="e">
        <f ca="1"/>
        <v>#N/A</v>
      </c>
      <c r="PBN538" s="22" t="e">
        <f ca="1"/>
        <v>#N/A</v>
      </c>
      <c r="PBO538" s="22" t="e">
        <f ca="1"/>
        <v>#N/A</v>
      </c>
      <c r="PBP538" s="22" t="e">
        <f ca="1"/>
        <v>#N/A</v>
      </c>
      <c r="PBQ538" s="22" t="e">
        <f ca="1"/>
        <v>#N/A</v>
      </c>
      <c r="PBR538" s="22" t="e">
        <f ca="1"/>
        <v>#N/A</v>
      </c>
      <c r="PBS538" s="22" t="e">
        <f ca="1"/>
        <v>#N/A</v>
      </c>
      <c r="PBT538" s="22" t="e">
        <f ca="1"/>
        <v>#N/A</v>
      </c>
      <c r="PBU538" s="22" t="e">
        <f ca="1"/>
        <v>#N/A</v>
      </c>
      <c r="PBV538" s="22" t="e">
        <f ca="1"/>
        <v>#N/A</v>
      </c>
      <c r="PBW538" s="22" t="e">
        <f ca="1"/>
        <v>#N/A</v>
      </c>
      <c r="PBX538" s="22" t="e">
        <f ca="1"/>
        <v>#N/A</v>
      </c>
      <c r="PBY538" s="22" t="e">
        <f ca="1"/>
        <v>#N/A</v>
      </c>
      <c r="PBZ538" s="22" t="e">
        <f ca="1"/>
        <v>#N/A</v>
      </c>
      <c r="PCA538" s="22" t="e">
        <f ca="1"/>
        <v>#N/A</v>
      </c>
      <c r="PCB538" s="22" t="e">
        <f ca="1"/>
        <v>#N/A</v>
      </c>
      <c r="PCC538" s="22" t="e">
        <f ca="1"/>
        <v>#N/A</v>
      </c>
      <c r="PCD538" s="22" t="e">
        <f ca="1"/>
        <v>#N/A</v>
      </c>
      <c r="PCE538" s="22" t="e">
        <f ca="1"/>
        <v>#N/A</v>
      </c>
      <c r="PCF538" s="22" t="e">
        <f ca="1"/>
        <v>#N/A</v>
      </c>
      <c r="PCG538" s="22" t="e">
        <f ca="1"/>
        <v>#N/A</v>
      </c>
      <c r="PCH538" s="22" t="e">
        <f ca="1"/>
        <v>#N/A</v>
      </c>
      <c r="PCI538" s="22" t="e">
        <f ca="1"/>
        <v>#N/A</v>
      </c>
      <c r="PCJ538" s="22" t="e">
        <f ca="1"/>
        <v>#N/A</v>
      </c>
      <c r="PCK538" s="22" t="e">
        <f ca="1"/>
        <v>#N/A</v>
      </c>
      <c r="PCL538" s="22" t="e">
        <f ca="1"/>
        <v>#N/A</v>
      </c>
      <c r="PCM538" s="22" t="e">
        <f ca="1"/>
        <v>#N/A</v>
      </c>
      <c r="PCN538" s="22" t="e">
        <f ca="1"/>
        <v>#N/A</v>
      </c>
      <c r="PCO538" s="22" t="e">
        <f ca="1"/>
        <v>#N/A</v>
      </c>
      <c r="PCP538" s="22" t="e">
        <f ca="1"/>
        <v>#N/A</v>
      </c>
      <c r="PCQ538" s="22" t="e">
        <f ca="1"/>
        <v>#N/A</v>
      </c>
      <c r="PCR538" s="22" t="e">
        <f ca="1"/>
        <v>#N/A</v>
      </c>
      <c r="PCS538" s="22" t="e">
        <f ca="1"/>
        <v>#N/A</v>
      </c>
      <c r="PCT538" s="22" t="e">
        <f ca="1"/>
        <v>#N/A</v>
      </c>
      <c r="PCU538" s="22" t="e">
        <f ca="1"/>
        <v>#N/A</v>
      </c>
      <c r="PCV538" s="22" t="e">
        <f ca="1"/>
        <v>#N/A</v>
      </c>
      <c r="PCW538" s="22" t="e">
        <f ca="1"/>
        <v>#N/A</v>
      </c>
      <c r="PCX538" s="22" t="e">
        <f ca="1"/>
        <v>#N/A</v>
      </c>
      <c r="PCY538" s="22" t="e">
        <f ca="1"/>
        <v>#N/A</v>
      </c>
      <c r="PCZ538" s="22" t="e">
        <f ca="1"/>
        <v>#N/A</v>
      </c>
      <c r="PDA538" s="22" t="e">
        <f ca="1"/>
        <v>#N/A</v>
      </c>
      <c r="PDB538" s="22" t="e">
        <f ca="1"/>
        <v>#N/A</v>
      </c>
      <c r="PDC538" s="22" t="e">
        <f ca="1"/>
        <v>#N/A</v>
      </c>
      <c r="PDD538" s="22" t="e">
        <f ca="1"/>
        <v>#N/A</v>
      </c>
      <c r="PDE538" s="22" t="e">
        <f ca="1"/>
        <v>#N/A</v>
      </c>
      <c r="PDF538" s="22" t="e">
        <f ca="1"/>
        <v>#N/A</v>
      </c>
      <c r="PDG538" s="22" t="e">
        <f ca="1"/>
        <v>#N/A</v>
      </c>
      <c r="PDH538" s="22" t="e">
        <f ca="1"/>
        <v>#N/A</v>
      </c>
      <c r="PDI538" s="22" t="e">
        <f ca="1"/>
        <v>#N/A</v>
      </c>
      <c r="PDJ538" s="22" t="e">
        <f ca="1"/>
        <v>#N/A</v>
      </c>
      <c r="PDK538" s="22" t="e">
        <f ca="1"/>
        <v>#N/A</v>
      </c>
      <c r="PDL538" s="22" t="e">
        <f ca="1"/>
        <v>#N/A</v>
      </c>
      <c r="PDM538" s="22" t="e">
        <f ca="1"/>
        <v>#N/A</v>
      </c>
      <c r="PDN538" s="22" t="e">
        <f ca="1"/>
        <v>#N/A</v>
      </c>
      <c r="PDO538" s="22" t="e">
        <f ca="1"/>
        <v>#N/A</v>
      </c>
      <c r="PDP538" s="22" t="e">
        <f ca="1"/>
        <v>#N/A</v>
      </c>
      <c r="PDQ538" s="22" t="e">
        <f ca="1"/>
        <v>#N/A</v>
      </c>
      <c r="PDR538" s="22" t="e">
        <f ca="1"/>
        <v>#N/A</v>
      </c>
      <c r="PDS538" s="22" t="e">
        <f ca="1"/>
        <v>#N/A</v>
      </c>
      <c r="PDT538" s="22" t="e">
        <f ca="1"/>
        <v>#N/A</v>
      </c>
      <c r="PDU538" s="22" t="e">
        <f ca="1"/>
        <v>#N/A</v>
      </c>
      <c r="PDV538" s="22" t="e">
        <f ca="1"/>
        <v>#N/A</v>
      </c>
      <c r="PDW538" s="22" t="e">
        <f ca="1"/>
        <v>#N/A</v>
      </c>
      <c r="PDX538" s="22" t="e">
        <f ca="1"/>
        <v>#N/A</v>
      </c>
      <c r="PDY538" s="22" t="e">
        <f ca="1"/>
        <v>#N/A</v>
      </c>
      <c r="PDZ538" s="22" t="e">
        <f ca="1"/>
        <v>#N/A</v>
      </c>
      <c r="PEA538" s="22" t="e">
        <f ca="1"/>
        <v>#N/A</v>
      </c>
      <c r="PEB538" s="22" t="e">
        <f ca="1"/>
        <v>#N/A</v>
      </c>
      <c r="PEC538" s="22" t="e">
        <f ca="1"/>
        <v>#N/A</v>
      </c>
      <c r="PED538" s="22" t="e">
        <f ca="1"/>
        <v>#N/A</v>
      </c>
      <c r="PEE538" s="22" t="e">
        <f ca="1"/>
        <v>#N/A</v>
      </c>
      <c r="PEF538" s="22" t="e">
        <f ca="1"/>
        <v>#N/A</v>
      </c>
      <c r="PEG538" s="22" t="e">
        <f ca="1"/>
        <v>#N/A</v>
      </c>
      <c r="PEH538" s="22" t="e">
        <f ca="1"/>
        <v>#N/A</v>
      </c>
      <c r="PEI538" s="22" t="e">
        <f ca="1"/>
        <v>#N/A</v>
      </c>
      <c r="PEJ538" s="22" t="e">
        <f ca="1"/>
        <v>#N/A</v>
      </c>
      <c r="PEK538" s="22" t="e">
        <f ca="1"/>
        <v>#N/A</v>
      </c>
      <c r="PEL538" s="22" t="e">
        <f ca="1"/>
        <v>#N/A</v>
      </c>
      <c r="PEM538" s="22" t="e">
        <f ca="1"/>
        <v>#N/A</v>
      </c>
      <c r="PEN538" s="22" t="e">
        <f ca="1"/>
        <v>#N/A</v>
      </c>
      <c r="PEO538" s="22" t="e">
        <f ca="1"/>
        <v>#N/A</v>
      </c>
      <c r="PEP538" s="22" t="e">
        <f ca="1"/>
        <v>#N/A</v>
      </c>
      <c r="PEQ538" s="22" t="e">
        <f ca="1"/>
        <v>#N/A</v>
      </c>
      <c r="PER538" s="22" t="e">
        <f ca="1"/>
        <v>#N/A</v>
      </c>
      <c r="PES538" s="22" t="e">
        <f ca="1"/>
        <v>#N/A</v>
      </c>
      <c r="PET538" s="22" t="e">
        <f ca="1"/>
        <v>#N/A</v>
      </c>
      <c r="PEU538" s="22" t="e">
        <f ca="1"/>
        <v>#N/A</v>
      </c>
      <c r="PEV538" s="22" t="e">
        <f ca="1"/>
        <v>#N/A</v>
      </c>
      <c r="PEW538" s="22" t="e">
        <f ca="1"/>
        <v>#N/A</v>
      </c>
      <c r="PEX538" s="22" t="e">
        <f ca="1"/>
        <v>#N/A</v>
      </c>
      <c r="PEY538" s="22" t="e">
        <f ca="1"/>
        <v>#N/A</v>
      </c>
      <c r="PEZ538" s="22" t="e">
        <f ca="1"/>
        <v>#N/A</v>
      </c>
      <c r="PFA538" s="22" t="e">
        <f ca="1"/>
        <v>#N/A</v>
      </c>
      <c r="PFB538" s="22" t="e">
        <f ca="1"/>
        <v>#N/A</v>
      </c>
      <c r="PFC538" s="22" t="e">
        <f ca="1"/>
        <v>#N/A</v>
      </c>
      <c r="PFD538" s="22" t="e">
        <f ca="1"/>
        <v>#N/A</v>
      </c>
      <c r="PFE538" s="22" t="e">
        <f ca="1"/>
        <v>#N/A</v>
      </c>
      <c r="PFF538" s="22" t="e">
        <f ca="1"/>
        <v>#N/A</v>
      </c>
      <c r="PFG538" s="22" t="e">
        <f ca="1"/>
        <v>#N/A</v>
      </c>
      <c r="PFH538" s="22" t="e">
        <f ca="1"/>
        <v>#N/A</v>
      </c>
      <c r="PFI538" s="22" t="e">
        <f ca="1"/>
        <v>#N/A</v>
      </c>
      <c r="PFJ538" s="22" t="e">
        <f ca="1"/>
        <v>#N/A</v>
      </c>
      <c r="PFK538" s="22" t="e">
        <f ca="1"/>
        <v>#N/A</v>
      </c>
      <c r="PFL538" s="22" t="e">
        <f ca="1"/>
        <v>#N/A</v>
      </c>
      <c r="PFM538" s="22" t="e">
        <f ca="1"/>
        <v>#N/A</v>
      </c>
      <c r="PFN538" s="22" t="e">
        <f ca="1"/>
        <v>#N/A</v>
      </c>
      <c r="PFO538" s="22" t="e">
        <f ca="1"/>
        <v>#N/A</v>
      </c>
      <c r="PFP538" s="22" t="e">
        <f ca="1"/>
        <v>#N/A</v>
      </c>
      <c r="PFQ538" s="22" t="e">
        <f ca="1"/>
        <v>#N/A</v>
      </c>
      <c r="PFR538" s="22" t="e">
        <f ca="1"/>
        <v>#N/A</v>
      </c>
      <c r="PFS538" s="22" t="e">
        <f ca="1"/>
        <v>#N/A</v>
      </c>
      <c r="PFT538" s="22" t="e">
        <f ca="1"/>
        <v>#N/A</v>
      </c>
      <c r="PFU538" s="22" t="e">
        <f ca="1"/>
        <v>#N/A</v>
      </c>
      <c r="PFV538" s="22" t="e">
        <f ca="1"/>
        <v>#N/A</v>
      </c>
      <c r="PFW538" s="22" t="e">
        <f ca="1"/>
        <v>#N/A</v>
      </c>
      <c r="PFX538" s="22" t="e">
        <f ca="1"/>
        <v>#N/A</v>
      </c>
      <c r="PFY538" s="22" t="e">
        <f ca="1"/>
        <v>#N/A</v>
      </c>
      <c r="PFZ538" s="22" t="e">
        <f ca="1"/>
        <v>#N/A</v>
      </c>
      <c r="PGA538" s="22" t="e">
        <f ca="1"/>
        <v>#N/A</v>
      </c>
      <c r="PGB538" s="22" t="e">
        <f ca="1"/>
        <v>#N/A</v>
      </c>
      <c r="PGC538" s="22" t="e">
        <f ca="1"/>
        <v>#N/A</v>
      </c>
      <c r="PGD538" s="22" t="e">
        <f ca="1"/>
        <v>#N/A</v>
      </c>
      <c r="PGE538" s="22" t="e">
        <f ca="1"/>
        <v>#N/A</v>
      </c>
      <c r="PGF538" s="22" t="e">
        <f ca="1"/>
        <v>#N/A</v>
      </c>
      <c r="PGG538" s="22" t="e">
        <f ca="1"/>
        <v>#N/A</v>
      </c>
      <c r="PGH538" s="22" t="e">
        <f ca="1"/>
        <v>#N/A</v>
      </c>
      <c r="PGI538" s="22" t="e">
        <f ca="1"/>
        <v>#N/A</v>
      </c>
      <c r="PGJ538" s="22" t="e">
        <f ca="1"/>
        <v>#N/A</v>
      </c>
      <c r="PGK538" s="22" t="e">
        <f ca="1"/>
        <v>#N/A</v>
      </c>
      <c r="PGL538" s="22" t="e">
        <f ca="1"/>
        <v>#N/A</v>
      </c>
      <c r="PGM538" s="22" t="e">
        <f ca="1"/>
        <v>#N/A</v>
      </c>
      <c r="PGN538" s="22" t="e">
        <f ca="1"/>
        <v>#N/A</v>
      </c>
      <c r="PGO538" s="22" t="e">
        <f ca="1"/>
        <v>#N/A</v>
      </c>
      <c r="PGP538" s="22" t="e">
        <f ca="1"/>
        <v>#N/A</v>
      </c>
      <c r="PGQ538" s="22" t="e">
        <f ca="1"/>
        <v>#N/A</v>
      </c>
      <c r="PGR538" s="22" t="e">
        <f ca="1"/>
        <v>#N/A</v>
      </c>
      <c r="PGS538" s="22" t="e">
        <f ca="1"/>
        <v>#N/A</v>
      </c>
      <c r="PGT538" s="22" t="e">
        <f ca="1"/>
        <v>#N/A</v>
      </c>
      <c r="PGU538" s="22" t="e">
        <f ca="1"/>
        <v>#N/A</v>
      </c>
      <c r="PGV538" s="22" t="e">
        <f ca="1"/>
        <v>#N/A</v>
      </c>
      <c r="PGW538" s="22" t="e">
        <f ca="1"/>
        <v>#N/A</v>
      </c>
      <c r="PGX538" s="22" t="e">
        <f ca="1"/>
        <v>#N/A</v>
      </c>
      <c r="PGY538" s="22" t="e">
        <f ca="1"/>
        <v>#N/A</v>
      </c>
      <c r="PGZ538" s="22" t="e">
        <f ca="1"/>
        <v>#N/A</v>
      </c>
      <c r="PHA538" s="22" t="e">
        <f ca="1"/>
        <v>#N/A</v>
      </c>
      <c r="PHB538" s="22" t="e">
        <f ca="1"/>
        <v>#N/A</v>
      </c>
      <c r="PHC538" s="22" t="e">
        <f ca="1"/>
        <v>#N/A</v>
      </c>
      <c r="PHD538" s="22" t="e">
        <f ca="1"/>
        <v>#N/A</v>
      </c>
      <c r="PHE538" s="22" t="e">
        <f ca="1"/>
        <v>#N/A</v>
      </c>
      <c r="PHF538" s="22" t="e">
        <f ca="1"/>
        <v>#N/A</v>
      </c>
      <c r="PHG538" s="22" t="e">
        <f ca="1"/>
        <v>#N/A</v>
      </c>
      <c r="PHH538" s="22" t="e">
        <f ca="1"/>
        <v>#N/A</v>
      </c>
      <c r="PHI538" s="22" t="e">
        <f ca="1"/>
        <v>#N/A</v>
      </c>
      <c r="PHJ538" s="22" t="e">
        <f ca="1"/>
        <v>#N/A</v>
      </c>
      <c r="PHK538" s="22" t="e">
        <f ca="1"/>
        <v>#N/A</v>
      </c>
      <c r="PHL538" s="22" t="e">
        <f ca="1"/>
        <v>#N/A</v>
      </c>
      <c r="PHM538" s="22" t="e">
        <f ca="1"/>
        <v>#N/A</v>
      </c>
      <c r="PHN538" s="22" t="e">
        <f ca="1"/>
        <v>#N/A</v>
      </c>
      <c r="PHO538" s="22" t="e">
        <f ca="1"/>
        <v>#N/A</v>
      </c>
      <c r="PHP538" s="22" t="e">
        <f ca="1"/>
        <v>#N/A</v>
      </c>
      <c r="PHQ538" s="22" t="e">
        <f ca="1"/>
        <v>#N/A</v>
      </c>
      <c r="PHR538" s="22" t="e">
        <f ca="1"/>
        <v>#N/A</v>
      </c>
      <c r="PHS538" s="22" t="e">
        <f ca="1"/>
        <v>#N/A</v>
      </c>
      <c r="PHT538" s="22" t="e">
        <f ca="1"/>
        <v>#N/A</v>
      </c>
      <c r="PHU538" s="22" t="e">
        <f ca="1"/>
        <v>#N/A</v>
      </c>
      <c r="PHV538" s="22" t="e">
        <f ca="1"/>
        <v>#N/A</v>
      </c>
      <c r="PHW538" s="22" t="e">
        <f ca="1"/>
        <v>#N/A</v>
      </c>
      <c r="PHX538" s="22" t="e">
        <f ca="1"/>
        <v>#N/A</v>
      </c>
      <c r="PHY538" s="22" t="e">
        <f ca="1"/>
        <v>#N/A</v>
      </c>
      <c r="PHZ538" s="22" t="e">
        <f ca="1"/>
        <v>#N/A</v>
      </c>
      <c r="PIA538" s="22" t="e">
        <f ca="1"/>
        <v>#N/A</v>
      </c>
      <c r="PIB538" s="22" t="e">
        <f ca="1"/>
        <v>#N/A</v>
      </c>
      <c r="PIC538" s="22" t="e">
        <f ca="1"/>
        <v>#N/A</v>
      </c>
      <c r="PID538" s="22" t="e">
        <f ca="1"/>
        <v>#N/A</v>
      </c>
      <c r="PIE538" s="22" t="e">
        <f ca="1"/>
        <v>#N/A</v>
      </c>
      <c r="PIF538" s="22" t="e">
        <f ca="1"/>
        <v>#N/A</v>
      </c>
      <c r="PIG538" s="22" t="e">
        <f ca="1"/>
        <v>#N/A</v>
      </c>
      <c r="PIH538" s="22" t="e">
        <f ca="1"/>
        <v>#N/A</v>
      </c>
      <c r="PII538" s="22" t="e">
        <f ca="1"/>
        <v>#N/A</v>
      </c>
      <c r="PIJ538" s="22" t="e">
        <f ca="1"/>
        <v>#N/A</v>
      </c>
      <c r="PIK538" s="22" t="e">
        <f ca="1"/>
        <v>#N/A</v>
      </c>
      <c r="PIL538" s="22" t="e">
        <f ca="1"/>
        <v>#N/A</v>
      </c>
      <c r="PIM538" s="22" t="e">
        <f ca="1"/>
        <v>#N/A</v>
      </c>
      <c r="PIN538" s="22" t="e">
        <f ca="1"/>
        <v>#N/A</v>
      </c>
      <c r="PIO538" s="22" t="e">
        <f ca="1"/>
        <v>#N/A</v>
      </c>
      <c r="PIP538" s="22" t="e">
        <f ca="1"/>
        <v>#N/A</v>
      </c>
      <c r="PIQ538" s="22" t="e">
        <f ca="1"/>
        <v>#N/A</v>
      </c>
      <c r="PIR538" s="22" t="e">
        <f ca="1"/>
        <v>#N/A</v>
      </c>
      <c r="PIS538" s="22" t="e">
        <f ca="1"/>
        <v>#N/A</v>
      </c>
      <c r="PIT538" s="22" t="e">
        <f ca="1"/>
        <v>#N/A</v>
      </c>
      <c r="PIU538" s="22" t="e">
        <f ca="1"/>
        <v>#N/A</v>
      </c>
      <c r="PIV538" s="22" t="e">
        <f ca="1"/>
        <v>#N/A</v>
      </c>
      <c r="PIW538" s="22" t="e">
        <f ca="1"/>
        <v>#N/A</v>
      </c>
      <c r="PIX538" s="22" t="e">
        <f ca="1"/>
        <v>#N/A</v>
      </c>
      <c r="PIY538" s="22" t="e">
        <f ca="1"/>
        <v>#N/A</v>
      </c>
      <c r="PIZ538" s="22" t="e">
        <f ca="1"/>
        <v>#N/A</v>
      </c>
      <c r="PJA538" s="22" t="e">
        <f ca="1"/>
        <v>#N/A</v>
      </c>
      <c r="PJB538" s="22" t="e">
        <f ca="1"/>
        <v>#N/A</v>
      </c>
      <c r="PJC538" s="22" t="e">
        <f ca="1"/>
        <v>#N/A</v>
      </c>
      <c r="PJD538" s="22" t="e">
        <f ca="1"/>
        <v>#N/A</v>
      </c>
      <c r="PJE538" s="22" t="e">
        <f ca="1"/>
        <v>#N/A</v>
      </c>
      <c r="PJF538" s="22" t="e">
        <f ca="1"/>
        <v>#N/A</v>
      </c>
      <c r="PJG538" s="22" t="e">
        <f ca="1"/>
        <v>#N/A</v>
      </c>
      <c r="PJH538" s="22" t="e">
        <f ca="1"/>
        <v>#N/A</v>
      </c>
      <c r="PJI538" s="22" t="e">
        <f ca="1"/>
        <v>#N/A</v>
      </c>
      <c r="PJJ538" s="22" t="e">
        <f ca="1"/>
        <v>#N/A</v>
      </c>
      <c r="PJK538" s="22" t="e">
        <f ca="1"/>
        <v>#N/A</v>
      </c>
      <c r="PJL538" s="22" t="e">
        <f ca="1"/>
        <v>#N/A</v>
      </c>
      <c r="PJM538" s="22" t="e">
        <f ca="1"/>
        <v>#N/A</v>
      </c>
      <c r="PJN538" s="22" t="e">
        <f ca="1"/>
        <v>#N/A</v>
      </c>
      <c r="PJO538" s="22" t="e">
        <f ca="1"/>
        <v>#N/A</v>
      </c>
      <c r="PJP538" s="22" t="e">
        <f ca="1"/>
        <v>#N/A</v>
      </c>
      <c r="PJQ538" s="22" t="e">
        <f ca="1"/>
        <v>#N/A</v>
      </c>
      <c r="PJR538" s="22" t="e">
        <f ca="1"/>
        <v>#N/A</v>
      </c>
      <c r="PJS538" s="22" t="e">
        <f ca="1"/>
        <v>#N/A</v>
      </c>
      <c r="PJT538" s="22" t="e">
        <f ca="1"/>
        <v>#N/A</v>
      </c>
      <c r="PJU538" s="22" t="e">
        <f ca="1"/>
        <v>#N/A</v>
      </c>
      <c r="PJV538" s="22" t="e">
        <f ca="1"/>
        <v>#N/A</v>
      </c>
      <c r="PJW538" s="22" t="e">
        <f ca="1"/>
        <v>#N/A</v>
      </c>
      <c r="PJX538" s="22" t="e">
        <f ca="1"/>
        <v>#N/A</v>
      </c>
      <c r="PJY538" s="22" t="e">
        <f ca="1"/>
        <v>#N/A</v>
      </c>
      <c r="PJZ538" s="22" t="e">
        <f ca="1"/>
        <v>#N/A</v>
      </c>
      <c r="PKA538" s="22" t="e">
        <f ca="1"/>
        <v>#N/A</v>
      </c>
      <c r="PKB538" s="22" t="e">
        <f ca="1"/>
        <v>#N/A</v>
      </c>
      <c r="PKC538" s="22" t="e">
        <f ca="1"/>
        <v>#N/A</v>
      </c>
      <c r="PKD538" s="22" t="e">
        <f ca="1"/>
        <v>#N/A</v>
      </c>
      <c r="PKE538" s="22" t="e">
        <f ca="1"/>
        <v>#N/A</v>
      </c>
      <c r="PKF538" s="22" t="e">
        <f ca="1"/>
        <v>#N/A</v>
      </c>
      <c r="PKG538" s="22" t="e">
        <f ca="1"/>
        <v>#N/A</v>
      </c>
      <c r="PKH538" s="22" t="e">
        <f ca="1"/>
        <v>#N/A</v>
      </c>
      <c r="PKI538" s="22" t="e">
        <f ca="1"/>
        <v>#N/A</v>
      </c>
      <c r="PKJ538" s="22" t="e">
        <f ca="1"/>
        <v>#N/A</v>
      </c>
      <c r="PKK538" s="22" t="e">
        <f ca="1"/>
        <v>#N/A</v>
      </c>
      <c r="PKL538" s="22" t="e">
        <f ca="1"/>
        <v>#N/A</v>
      </c>
      <c r="PKM538" s="22" t="e">
        <f ca="1"/>
        <v>#N/A</v>
      </c>
      <c r="PKN538" s="22" t="e">
        <f ca="1"/>
        <v>#N/A</v>
      </c>
      <c r="PKO538" s="22" t="e">
        <f ca="1"/>
        <v>#N/A</v>
      </c>
      <c r="PKP538" s="22" t="e">
        <f ca="1"/>
        <v>#N/A</v>
      </c>
      <c r="PKQ538" s="22" t="e">
        <f ca="1"/>
        <v>#N/A</v>
      </c>
      <c r="PKR538" s="22" t="e">
        <f ca="1"/>
        <v>#N/A</v>
      </c>
      <c r="PKS538" s="22" t="e">
        <f ca="1"/>
        <v>#N/A</v>
      </c>
      <c r="PKT538" s="22" t="e">
        <f ca="1"/>
        <v>#N/A</v>
      </c>
      <c r="PKU538" s="22" t="e">
        <f ca="1"/>
        <v>#N/A</v>
      </c>
      <c r="PKV538" s="22" t="e">
        <f ca="1"/>
        <v>#N/A</v>
      </c>
      <c r="PKW538" s="22" t="e">
        <f ca="1"/>
        <v>#N/A</v>
      </c>
      <c r="PKX538" s="22" t="e">
        <f ca="1"/>
        <v>#N/A</v>
      </c>
      <c r="PKY538" s="22" t="e">
        <f ca="1"/>
        <v>#N/A</v>
      </c>
      <c r="PKZ538" s="22" t="e">
        <f ca="1"/>
        <v>#N/A</v>
      </c>
      <c r="PLA538" s="22" t="e">
        <f ca="1"/>
        <v>#N/A</v>
      </c>
      <c r="PLB538" s="22" t="e">
        <f ca="1"/>
        <v>#N/A</v>
      </c>
      <c r="PLC538" s="22" t="e">
        <f ca="1"/>
        <v>#N/A</v>
      </c>
      <c r="PLD538" s="22" t="e">
        <f ca="1"/>
        <v>#N/A</v>
      </c>
      <c r="PLE538" s="22" t="e">
        <f ca="1"/>
        <v>#N/A</v>
      </c>
      <c r="PLF538" s="22" t="e">
        <f ca="1"/>
        <v>#N/A</v>
      </c>
      <c r="PLG538" s="22" t="e">
        <f ca="1"/>
        <v>#N/A</v>
      </c>
      <c r="PLH538" s="22" t="e">
        <f ca="1"/>
        <v>#N/A</v>
      </c>
      <c r="PLI538" s="22" t="e">
        <f ca="1"/>
        <v>#N/A</v>
      </c>
      <c r="PLJ538" s="22" t="e">
        <f ca="1"/>
        <v>#N/A</v>
      </c>
      <c r="PLK538" s="22" t="e">
        <f ca="1"/>
        <v>#N/A</v>
      </c>
      <c r="PLL538" s="22" t="e">
        <f ca="1"/>
        <v>#N/A</v>
      </c>
      <c r="PLM538" s="22" t="e">
        <f ca="1"/>
        <v>#N/A</v>
      </c>
      <c r="PLN538" s="22" t="e">
        <f ca="1"/>
        <v>#N/A</v>
      </c>
      <c r="PLO538" s="22" t="e">
        <f ca="1"/>
        <v>#N/A</v>
      </c>
      <c r="PLP538" s="22" t="e">
        <f ca="1"/>
        <v>#N/A</v>
      </c>
      <c r="PLQ538" s="22" t="e">
        <f ca="1"/>
        <v>#N/A</v>
      </c>
      <c r="PLR538" s="22" t="e">
        <f ca="1"/>
        <v>#N/A</v>
      </c>
      <c r="PLS538" s="22" t="e">
        <f ca="1"/>
        <v>#N/A</v>
      </c>
      <c r="PLT538" s="22" t="e">
        <f ca="1"/>
        <v>#N/A</v>
      </c>
      <c r="PLU538" s="22" t="e">
        <f ca="1"/>
        <v>#N/A</v>
      </c>
      <c r="PLV538" s="22" t="e">
        <f ca="1"/>
        <v>#N/A</v>
      </c>
      <c r="PLW538" s="22" t="e">
        <f ca="1"/>
        <v>#N/A</v>
      </c>
      <c r="PLX538" s="22" t="e">
        <f ca="1"/>
        <v>#N/A</v>
      </c>
      <c r="PLY538" s="22" t="e">
        <f ca="1"/>
        <v>#N/A</v>
      </c>
      <c r="PLZ538" s="22" t="e">
        <f ca="1"/>
        <v>#N/A</v>
      </c>
      <c r="PMA538" s="22" t="e">
        <f ca="1"/>
        <v>#N/A</v>
      </c>
      <c r="PMB538" s="22" t="e">
        <f ca="1"/>
        <v>#N/A</v>
      </c>
      <c r="PMC538" s="22" t="e">
        <f ca="1"/>
        <v>#N/A</v>
      </c>
      <c r="PMD538" s="22" t="e">
        <f ca="1"/>
        <v>#N/A</v>
      </c>
      <c r="PME538" s="22" t="e">
        <f ca="1"/>
        <v>#N/A</v>
      </c>
      <c r="PMF538" s="22" t="e">
        <f ca="1"/>
        <v>#N/A</v>
      </c>
      <c r="PMG538" s="22" t="e">
        <f ca="1"/>
        <v>#N/A</v>
      </c>
      <c r="PMH538" s="22" t="e">
        <f ca="1"/>
        <v>#N/A</v>
      </c>
      <c r="PMI538" s="22" t="e">
        <f ca="1"/>
        <v>#N/A</v>
      </c>
      <c r="PMJ538" s="22" t="e">
        <f ca="1"/>
        <v>#N/A</v>
      </c>
      <c r="PMK538" s="22" t="e">
        <f ca="1"/>
        <v>#N/A</v>
      </c>
      <c r="PML538" s="22" t="e">
        <f ca="1"/>
        <v>#N/A</v>
      </c>
      <c r="PMM538" s="22" t="e">
        <f ca="1"/>
        <v>#N/A</v>
      </c>
      <c r="PMN538" s="22" t="e">
        <f ca="1"/>
        <v>#N/A</v>
      </c>
      <c r="PMO538" s="22" t="e">
        <f ca="1"/>
        <v>#N/A</v>
      </c>
      <c r="PMP538" s="22" t="e">
        <f ca="1"/>
        <v>#N/A</v>
      </c>
      <c r="PMQ538" s="22" t="e">
        <f ca="1"/>
        <v>#N/A</v>
      </c>
      <c r="PMR538" s="22" t="e">
        <f ca="1"/>
        <v>#N/A</v>
      </c>
      <c r="PMS538" s="22" t="e">
        <f ca="1"/>
        <v>#N/A</v>
      </c>
      <c r="PMT538" s="22" t="e">
        <f ca="1"/>
        <v>#N/A</v>
      </c>
      <c r="PMU538" s="22" t="e">
        <f ca="1"/>
        <v>#N/A</v>
      </c>
      <c r="PMV538" s="22" t="e">
        <f ca="1"/>
        <v>#N/A</v>
      </c>
      <c r="PMW538" s="22" t="e">
        <f ca="1"/>
        <v>#N/A</v>
      </c>
      <c r="PMX538" s="22" t="e">
        <f ca="1"/>
        <v>#N/A</v>
      </c>
      <c r="PMY538" s="22" t="e">
        <f ca="1"/>
        <v>#N/A</v>
      </c>
      <c r="PMZ538" s="22" t="e">
        <f ca="1"/>
        <v>#N/A</v>
      </c>
      <c r="PNA538" s="22" t="e">
        <f ca="1"/>
        <v>#N/A</v>
      </c>
      <c r="PNB538" s="22" t="e">
        <f ca="1"/>
        <v>#N/A</v>
      </c>
      <c r="PNC538" s="22" t="e">
        <f ca="1"/>
        <v>#N/A</v>
      </c>
      <c r="PND538" s="22" t="e">
        <f ca="1"/>
        <v>#N/A</v>
      </c>
      <c r="PNE538" s="22" t="e">
        <f ca="1"/>
        <v>#N/A</v>
      </c>
      <c r="PNF538" s="22" t="e">
        <f ca="1"/>
        <v>#N/A</v>
      </c>
      <c r="PNG538" s="22" t="e">
        <f ca="1"/>
        <v>#N/A</v>
      </c>
      <c r="PNH538" s="22" t="e">
        <f ca="1"/>
        <v>#N/A</v>
      </c>
      <c r="PNI538" s="22" t="e">
        <f ca="1"/>
        <v>#N/A</v>
      </c>
      <c r="PNJ538" s="22" t="e">
        <f ca="1"/>
        <v>#N/A</v>
      </c>
      <c r="PNK538" s="22" t="e">
        <f ca="1"/>
        <v>#N/A</v>
      </c>
      <c r="PNL538" s="22" t="e">
        <f ca="1"/>
        <v>#N/A</v>
      </c>
      <c r="PNM538" s="22" t="e">
        <f ca="1"/>
        <v>#N/A</v>
      </c>
      <c r="PNN538" s="22" t="e">
        <f ca="1"/>
        <v>#N/A</v>
      </c>
      <c r="PNO538" s="22" t="e">
        <f ca="1"/>
        <v>#N/A</v>
      </c>
      <c r="PNP538" s="22" t="e">
        <f ca="1"/>
        <v>#N/A</v>
      </c>
      <c r="PNQ538" s="22" t="e">
        <f ca="1"/>
        <v>#N/A</v>
      </c>
      <c r="PNR538" s="22" t="e">
        <f ca="1"/>
        <v>#N/A</v>
      </c>
      <c r="PNS538" s="22" t="e">
        <f ca="1"/>
        <v>#N/A</v>
      </c>
      <c r="PNT538" s="22" t="e">
        <f ca="1"/>
        <v>#N/A</v>
      </c>
      <c r="PNU538" s="22" t="e">
        <f ca="1"/>
        <v>#N/A</v>
      </c>
      <c r="PNV538" s="22" t="e">
        <f ca="1"/>
        <v>#N/A</v>
      </c>
      <c r="PNW538" s="22" t="e">
        <f ca="1"/>
        <v>#N/A</v>
      </c>
      <c r="PNX538" s="22" t="e">
        <f ca="1"/>
        <v>#N/A</v>
      </c>
      <c r="PNY538" s="22" t="e">
        <f ca="1"/>
        <v>#N/A</v>
      </c>
      <c r="PNZ538" s="22" t="e">
        <f ca="1"/>
        <v>#N/A</v>
      </c>
      <c r="POA538" s="22" t="e">
        <f ca="1"/>
        <v>#N/A</v>
      </c>
      <c r="POB538" s="22" t="e">
        <f ca="1"/>
        <v>#N/A</v>
      </c>
      <c r="POC538" s="22" t="e">
        <f ca="1"/>
        <v>#N/A</v>
      </c>
      <c r="POD538" s="22" t="e">
        <f ca="1"/>
        <v>#N/A</v>
      </c>
      <c r="POE538" s="22" t="e">
        <f ca="1"/>
        <v>#N/A</v>
      </c>
      <c r="POF538" s="22" t="e">
        <f ca="1"/>
        <v>#N/A</v>
      </c>
      <c r="POG538" s="22" t="e">
        <f ca="1"/>
        <v>#N/A</v>
      </c>
      <c r="POH538" s="22" t="e">
        <f ca="1"/>
        <v>#N/A</v>
      </c>
      <c r="POI538" s="22" t="e">
        <f ca="1"/>
        <v>#N/A</v>
      </c>
      <c r="POJ538" s="22" t="e">
        <f ca="1"/>
        <v>#N/A</v>
      </c>
      <c r="POK538" s="22" t="e">
        <f ca="1"/>
        <v>#N/A</v>
      </c>
      <c r="POL538" s="22" t="e">
        <f ca="1"/>
        <v>#N/A</v>
      </c>
      <c r="POM538" s="22" t="e">
        <f ca="1"/>
        <v>#N/A</v>
      </c>
      <c r="PON538" s="22" t="e">
        <f ca="1"/>
        <v>#N/A</v>
      </c>
      <c r="POO538" s="22" t="e">
        <f ca="1"/>
        <v>#N/A</v>
      </c>
      <c r="POP538" s="22" t="e">
        <f ca="1"/>
        <v>#N/A</v>
      </c>
      <c r="POQ538" s="22" t="e">
        <f ca="1"/>
        <v>#N/A</v>
      </c>
      <c r="POR538" s="22" t="e">
        <f ca="1"/>
        <v>#N/A</v>
      </c>
      <c r="POS538" s="22" t="e">
        <f ca="1"/>
        <v>#N/A</v>
      </c>
      <c r="POT538" s="22" t="e">
        <f ca="1"/>
        <v>#N/A</v>
      </c>
      <c r="POU538" s="22" t="e">
        <f ca="1"/>
        <v>#N/A</v>
      </c>
      <c r="POV538" s="22" t="e">
        <f ca="1"/>
        <v>#N/A</v>
      </c>
      <c r="POW538" s="22" t="e">
        <f ca="1"/>
        <v>#N/A</v>
      </c>
      <c r="POX538" s="22" t="e">
        <f ca="1"/>
        <v>#N/A</v>
      </c>
      <c r="POY538" s="22" t="e">
        <f ca="1"/>
        <v>#N/A</v>
      </c>
      <c r="POZ538" s="22" t="e">
        <f ca="1"/>
        <v>#N/A</v>
      </c>
      <c r="PPA538" s="22" t="e">
        <f ca="1"/>
        <v>#N/A</v>
      </c>
      <c r="PPB538" s="22" t="e">
        <f ca="1"/>
        <v>#N/A</v>
      </c>
      <c r="PPC538" s="22" t="e">
        <f ca="1"/>
        <v>#N/A</v>
      </c>
      <c r="PPD538" s="22" t="e">
        <f ca="1"/>
        <v>#N/A</v>
      </c>
      <c r="PPE538" s="22" t="e">
        <f ca="1"/>
        <v>#N/A</v>
      </c>
      <c r="PPF538" s="22" t="e">
        <f ca="1"/>
        <v>#N/A</v>
      </c>
      <c r="PPG538" s="22" t="e">
        <f ca="1"/>
        <v>#N/A</v>
      </c>
      <c r="PPH538" s="22" t="e">
        <f ca="1"/>
        <v>#N/A</v>
      </c>
      <c r="PPI538" s="22" t="e">
        <f ca="1"/>
        <v>#N/A</v>
      </c>
      <c r="PPJ538" s="22" t="e">
        <f ca="1"/>
        <v>#N/A</v>
      </c>
      <c r="PPK538" s="22" t="e">
        <f ca="1"/>
        <v>#N/A</v>
      </c>
      <c r="PPL538" s="22" t="e">
        <f ca="1"/>
        <v>#N/A</v>
      </c>
      <c r="PPM538" s="22" t="e">
        <f ca="1"/>
        <v>#N/A</v>
      </c>
      <c r="PPN538" s="22" t="e">
        <f ca="1"/>
        <v>#N/A</v>
      </c>
      <c r="PPO538" s="22" t="e">
        <f ca="1"/>
        <v>#N/A</v>
      </c>
      <c r="PPP538" s="22" t="e">
        <f ca="1"/>
        <v>#N/A</v>
      </c>
      <c r="PPQ538" s="22" t="e">
        <f ca="1"/>
        <v>#N/A</v>
      </c>
      <c r="PPR538" s="22" t="e">
        <f ca="1"/>
        <v>#N/A</v>
      </c>
      <c r="PPS538" s="22" t="e">
        <f ca="1"/>
        <v>#N/A</v>
      </c>
      <c r="PPT538" s="22" t="e">
        <f ca="1"/>
        <v>#N/A</v>
      </c>
      <c r="PPU538" s="22" t="e">
        <f ca="1"/>
        <v>#N/A</v>
      </c>
      <c r="PPV538" s="22" t="e">
        <f ca="1"/>
        <v>#N/A</v>
      </c>
      <c r="PPW538" s="22" t="e">
        <f ca="1"/>
        <v>#N/A</v>
      </c>
      <c r="PPX538" s="22" t="e">
        <f ca="1"/>
        <v>#N/A</v>
      </c>
      <c r="PPY538" s="22" t="e">
        <f ca="1"/>
        <v>#N/A</v>
      </c>
      <c r="PPZ538" s="22" t="e">
        <f ca="1"/>
        <v>#N/A</v>
      </c>
      <c r="PQA538" s="22" t="e">
        <f ca="1"/>
        <v>#N/A</v>
      </c>
      <c r="PQB538" s="22" t="e">
        <f ca="1"/>
        <v>#N/A</v>
      </c>
      <c r="PQC538" s="22" t="e">
        <f ca="1"/>
        <v>#N/A</v>
      </c>
      <c r="PQD538" s="22" t="e">
        <f ca="1"/>
        <v>#N/A</v>
      </c>
      <c r="PQE538" s="22" t="e">
        <f ca="1"/>
        <v>#N/A</v>
      </c>
      <c r="PQF538" s="22" t="e">
        <f ca="1"/>
        <v>#N/A</v>
      </c>
      <c r="PQG538" s="22" t="e">
        <f ca="1"/>
        <v>#N/A</v>
      </c>
      <c r="PQH538" s="22" t="e">
        <f ca="1"/>
        <v>#N/A</v>
      </c>
      <c r="PQI538" s="22" t="e">
        <f ca="1"/>
        <v>#N/A</v>
      </c>
      <c r="PQJ538" s="22" t="e">
        <f ca="1"/>
        <v>#N/A</v>
      </c>
      <c r="PQK538" s="22" t="e">
        <f ca="1"/>
        <v>#N/A</v>
      </c>
      <c r="PQL538" s="22" t="e">
        <f ca="1"/>
        <v>#N/A</v>
      </c>
      <c r="PQM538" s="22" t="e">
        <f ca="1"/>
        <v>#N/A</v>
      </c>
      <c r="PQN538" s="22" t="e">
        <f ca="1"/>
        <v>#N/A</v>
      </c>
      <c r="PQO538" s="22" t="e">
        <f ca="1"/>
        <v>#N/A</v>
      </c>
      <c r="PQP538" s="22" t="e">
        <f ca="1"/>
        <v>#N/A</v>
      </c>
      <c r="PQQ538" s="22" t="e">
        <f ca="1"/>
        <v>#N/A</v>
      </c>
      <c r="PQR538" s="22" t="e">
        <f ca="1"/>
        <v>#N/A</v>
      </c>
      <c r="PQS538" s="22" t="e">
        <f ca="1"/>
        <v>#N/A</v>
      </c>
      <c r="PQT538" s="22" t="e">
        <f ca="1"/>
        <v>#N/A</v>
      </c>
      <c r="PQU538" s="22" t="e">
        <f ca="1"/>
        <v>#N/A</v>
      </c>
      <c r="PQV538" s="22" t="e">
        <f ca="1"/>
        <v>#N/A</v>
      </c>
      <c r="PQW538" s="22" t="e">
        <f ca="1"/>
        <v>#N/A</v>
      </c>
      <c r="PQX538" s="22" t="e">
        <f ca="1"/>
        <v>#N/A</v>
      </c>
      <c r="PQY538" s="22" t="e">
        <f ca="1"/>
        <v>#N/A</v>
      </c>
      <c r="PQZ538" s="22" t="e">
        <f ca="1"/>
        <v>#N/A</v>
      </c>
      <c r="PRA538" s="22" t="e">
        <f ca="1"/>
        <v>#N/A</v>
      </c>
      <c r="PRB538" s="22" t="e">
        <f ca="1"/>
        <v>#N/A</v>
      </c>
      <c r="PRC538" s="22" t="e">
        <f ca="1"/>
        <v>#N/A</v>
      </c>
      <c r="PRD538" s="22" t="e">
        <f ca="1"/>
        <v>#N/A</v>
      </c>
      <c r="PRE538" s="22" t="e">
        <f ca="1"/>
        <v>#N/A</v>
      </c>
      <c r="PRF538" s="22" t="e">
        <f ca="1"/>
        <v>#N/A</v>
      </c>
      <c r="PRG538" s="22" t="e">
        <f ca="1"/>
        <v>#N/A</v>
      </c>
      <c r="PRH538" s="22" t="e">
        <f ca="1"/>
        <v>#N/A</v>
      </c>
      <c r="PRI538" s="22" t="e">
        <f ca="1"/>
        <v>#N/A</v>
      </c>
      <c r="PRJ538" s="22" t="e">
        <f ca="1"/>
        <v>#N/A</v>
      </c>
      <c r="PRK538" s="22" t="e">
        <f ca="1"/>
        <v>#N/A</v>
      </c>
      <c r="PRL538" s="22" t="e">
        <f ca="1"/>
        <v>#N/A</v>
      </c>
      <c r="PRM538" s="22" t="e">
        <f ca="1"/>
        <v>#N/A</v>
      </c>
      <c r="PRN538" s="22" t="e">
        <f ca="1"/>
        <v>#N/A</v>
      </c>
      <c r="PRO538" s="22" t="e">
        <f ca="1"/>
        <v>#N/A</v>
      </c>
      <c r="PRP538" s="22" t="e">
        <f ca="1"/>
        <v>#N/A</v>
      </c>
      <c r="PRQ538" s="22" t="e">
        <f ca="1"/>
        <v>#N/A</v>
      </c>
      <c r="PRR538" s="22" t="e">
        <f ca="1"/>
        <v>#N/A</v>
      </c>
      <c r="PRS538" s="22" t="e">
        <f ca="1"/>
        <v>#N/A</v>
      </c>
      <c r="PRT538" s="22" t="e">
        <f ca="1"/>
        <v>#N/A</v>
      </c>
      <c r="PRU538" s="22" t="e">
        <f ca="1"/>
        <v>#N/A</v>
      </c>
      <c r="PRV538" s="22" t="e">
        <f ca="1"/>
        <v>#N/A</v>
      </c>
      <c r="PRW538" s="22" t="e">
        <f ca="1"/>
        <v>#N/A</v>
      </c>
      <c r="PRX538" s="22" t="e">
        <f ca="1"/>
        <v>#N/A</v>
      </c>
      <c r="PRY538" s="22" t="e">
        <f ca="1"/>
        <v>#N/A</v>
      </c>
      <c r="PRZ538" s="22" t="e">
        <f ca="1"/>
        <v>#N/A</v>
      </c>
      <c r="PSA538" s="22" t="e">
        <f ca="1"/>
        <v>#N/A</v>
      </c>
      <c r="PSB538" s="22" t="e">
        <f ca="1"/>
        <v>#N/A</v>
      </c>
      <c r="PSC538" s="22" t="e">
        <f ca="1"/>
        <v>#N/A</v>
      </c>
      <c r="PSD538" s="22" t="e">
        <f ca="1"/>
        <v>#N/A</v>
      </c>
      <c r="PSE538" s="22" t="e">
        <f ca="1"/>
        <v>#N/A</v>
      </c>
      <c r="PSF538" s="22" t="e">
        <f ca="1"/>
        <v>#N/A</v>
      </c>
      <c r="PSG538" s="22" t="e">
        <f ca="1"/>
        <v>#N/A</v>
      </c>
      <c r="PSH538" s="22" t="e">
        <f ca="1"/>
        <v>#N/A</v>
      </c>
      <c r="PSI538" s="22" t="e">
        <f ca="1"/>
        <v>#N/A</v>
      </c>
      <c r="PSJ538" s="22" t="e">
        <f ca="1"/>
        <v>#N/A</v>
      </c>
      <c r="PSK538" s="22" t="e">
        <f ca="1"/>
        <v>#N/A</v>
      </c>
      <c r="PSL538" s="22" t="e">
        <f ca="1"/>
        <v>#N/A</v>
      </c>
      <c r="PSM538" s="22" t="e">
        <f ca="1"/>
        <v>#N/A</v>
      </c>
      <c r="PSN538" s="22" t="e">
        <f ca="1"/>
        <v>#N/A</v>
      </c>
      <c r="PSO538" s="22" t="e">
        <f ca="1"/>
        <v>#N/A</v>
      </c>
      <c r="PSP538" s="22" t="e">
        <f ca="1"/>
        <v>#N/A</v>
      </c>
      <c r="PSQ538" s="22" t="e">
        <f ca="1"/>
        <v>#N/A</v>
      </c>
      <c r="PSR538" s="22" t="e">
        <f ca="1"/>
        <v>#N/A</v>
      </c>
      <c r="PSS538" s="22" t="e">
        <f ca="1"/>
        <v>#N/A</v>
      </c>
      <c r="PST538" s="22" t="e">
        <f ca="1"/>
        <v>#N/A</v>
      </c>
      <c r="PSU538" s="22" t="e">
        <f ca="1"/>
        <v>#N/A</v>
      </c>
      <c r="PSV538" s="22" t="e">
        <f ca="1"/>
        <v>#N/A</v>
      </c>
      <c r="PSW538" s="22" t="e">
        <f ca="1"/>
        <v>#N/A</v>
      </c>
      <c r="PSX538" s="22" t="e">
        <f ca="1"/>
        <v>#N/A</v>
      </c>
      <c r="PSY538" s="22" t="e">
        <f ca="1"/>
        <v>#N/A</v>
      </c>
      <c r="PSZ538" s="22" t="e">
        <f ca="1"/>
        <v>#N/A</v>
      </c>
      <c r="PTA538" s="22" t="e">
        <f ca="1"/>
        <v>#N/A</v>
      </c>
      <c r="PTB538" s="22" t="e">
        <f ca="1"/>
        <v>#N/A</v>
      </c>
      <c r="PTC538" s="22" t="e">
        <f ca="1"/>
        <v>#N/A</v>
      </c>
      <c r="PTD538" s="22" t="e">
        <f ca="1"/>
        <v>#N/A</v>
      </c>
      <c r="PTE538" s="22" t="e">
        <f ca="1"/>
        <v>#N/A</v>
      </c>
      <c r="PTF538" s="22" t="e">
        <f ca="1"/>
        <v>#N/A</v>
      </c>
      <c r="PTG538" s="22" t="e">
        <f ca="1"/>
        <v>#N/A</v>
      </c>
      <c r="PTH538" s="22" t="e">
        <f ca="1"/>
        <v>#N/A</v>
      </c>
      <c r="PTI538" s="22" t="e">
        <f ca="1"/>
        <v>#N/A</v>
      </c>
      <c r="PTJ538" s="22" t="e">
        <f ca="1"/>
        <v>#N/A</v>
      </c>
      <c r="PTK538" s="22" t="e">
        <f ca="1"/>
        <v>#N/A</v>
      </c>
      <c r="PTL538" s="22" t="e">
        <f ca="1"/>
        <v>#N/A</v>
      </c>
      <c r="PTM538" s="22" t="e">
        <f ca="1"/>
        <v>#N/A</v>
      </c>
      <c r="PTN538" s="22" t="e">
        <f ca="1"/>
        <v>#N/A</v>
      </c>
      <c r="PTO538" s="22" t="e">
        <f ca="1"/>
        <v>#N/A</v>
      </c>
      <c r="PTP538" s="22" t="e">
        <f ca="1"/>
        <v>#N/A</v>
      </c>
      <c r="PTQ538" s="22" t="e">
        <f ca="1"/>
        <v>#N/A</v>
      </c>
      <c r="PTR538" s="22" t="e">
        <f ca="1"/>
        <v>#N/A</v>
      </c>
      <c r="PTS538" s="22" t="e">
        <f ca="1"/>
        <v>#N/A</v>
      </c>
      <c r="PTT538" s="22" t="e">
        <f ca="1"/>
        <v>#N/A</v>
      </c>
      <c r="PTU538" s="22" t="e">
        <f ca="1"/>
        <v>#N/A</v>
      </c>
      <c r="PTV538" s="22" t="e">
        <f ca="1"/>
        <v>#N/A</v>
      </c>
      <c r="PTW538" s="22" t="e">
        <f ca="1"/>
        <v>#N/A</v>
      </c>
      <c r="PTX538" s="22" t="e">
        <f ca="1"/>
        <v>#N/A</v>
      </c>
      <c r="PTY538" s="22" t="e">
        <f ca="1"/>
        <v>#N/A</v>
      </c>
      <c r="PTZ538" s="22" t="e">
        <f ca="1"/>
        <v>#N/A</v>
      </c>
      <c r="PUA538" s="22" t="e">
        <f ca="1"/>
        <v>#N/A</v>
      </c>
      <c r="PUB538" s="22" t="e">
        <f ca="1"/>
        <v>#N/A</v>
      </c>
      <c r="PUC538" s="22" t="e">
        <f ca="1"/>
        <v>#N/A</v>
      </c>
      <c r="PUD538" s="22" t="e">
        <f ca="1"/>
        <v>#N/A</v>
      </c>
      <c r="PUE538" s="22" t="e">
        <f ca="1"/>
        <v>#N/A</v>
      </c>
      <c r="PUF538" s="22" t="e">
        <f ca="1"/>
        <v>#N/A</v>
      </c>
      <c r="PUG538" s="22" t="e">
        <f ca="1"/>
        <v>#N/A</v>
      </c>
      <c r="PUH538" s="22" t="e">
        <f ca="1"/>
        <v>#N/A</v>
      </c>
      <c r="PUI538" s="22" t="e">
        <f ca="1"/>
        <v>#N/A</v>
      </c>
      <c r="PUJ538" s="22" t="e">
        <f ca="1"/>
        <v>#N/A</v>
      </c>
      <c r="PUK538" s="22" t="e">
        <f ca="1"/>
        <v>#N/A</v>
      </c>
      <c r="PUL538" s="22" t="e">
        <f ca="1"/>
        <v>#N/A</v>
      </c>
      <c r="PUM538" s="22" t="e">
        <f ca="1"/>
        <v>#N/A</v>
      </c>
      <c r="PUN538" s="22" t="e">
        <f ca="1"/>
        <v>#N/A</v>
      </c>
      <c r="PUO538" s="22" t="e">
        <f ca="1"/>
        <v>#N/A</v>
      </c>
      <c r="PUP538" s="22" t="e">
        <f ca="1"/>
        <v>#N/A</v>
      </c>
      <c r="PUQ538" s="22" t="e">
        <f ca="1"/>
        <v>#N/A</v>
      </c>
      <c r="PUR538" s="22" t="e">
        <f ca="1"/>
        <v>#N/A</v>
      </c>
      <c r="PUS538" s="22" t="e">
        <f ca="1"/>
        <v>#N/A</v>
      </c>
      <c r="PUT538" s="22" t="e">
        <f ca="1"/>
        <v>#N/A</v>
      </c>
      <c r="PUU538" s="22" t="e">
        <f ca="1"/>
        <v>#N/A</v>
      </c>
      <c r="PUV538" s="22" t="e">
        <f ca="1"/>
        <v>#N/A</v>
      </c>
      <c r="PUW538" s="22" t="e">
        <f ca="1"/>
        <v>#N/A</v>
      </c>
      <c r="PUX538" s="22" t="e">
        <f ca="1"/>
        <v>#N/A</v>
      </c>
      <c r="PUY538" s="22" t="e">
        <f ca="1"/>
        <v>#N/A</v>
      </c>
      <c r="PUZ538" s="22" t="e">
        <f ca="1"/>
        <v>#N/A</v>
      </c>
      <c r="PVA538" s="22" t="e">
        <f ca="1"/>
        <v>#N/A</v>
      </c>
      <c r="PVB538" s="22" t="e">
        <f ca="1"/>
        <v>#N/A</v>
      </c>
      <c r="PVC538" s="22" t="e">
        <f ca="1"/>
        <v>#N/A</v>
      </c>
      <c r="PVD538" s="22" t="e">
        <f ca="1"/>
        <v>#N/A</v>
      </c>
      <c r="PVE538" s="22" t="e">
        <f ca="1"/>
        <v>#N/A</v>
      </c>
      <c r="PVF538" s="22" t="e">
        <f ca="1"/>
        <v>#N/A</v>
      </c>
      <c r="PVG538" s="22" t="e">
        <f ca="1"/>
        <v>#N/A</v>
      </c>
      <c r="PVH538" s="22" t="e">
        <f ca="1"/>
        <v>#N/A</v>
      </c>
      <c r="PVI538" s="22" t="e">
        <f ca="1"/>
        <v>#N/A</v>
      </c>
      <c r="PVJ538" s="22" t="e">
        <f ca="1"/>
        <v>#N/A</v>
      </c>
      <c r="PVK538" s="22" t="e">
        <f ca="1"/>
        <v>#N/A</v>
      </c>
      <c r="PVL538" s="22" t="e">
        <f ca="1"/>
        <v>#N/A</v>
      </c>
      <c r="PVM538" s="22" t="e">
        <f ca="1"/>
        <v>#N/A</v>
      </c>
      <c r="PVN538" s="22" t="e">
        <f ca="1"/>
        <v>#N/A</v>
      </c>
      <c r="PVO538" s="22" t="e">
        <f ca="1"/>
        <v>#N/A</v>
      </c>
      <c r="PVP538" s="22" t="e">
        <f ca="1"/>
        <v>#N/A</v>
      </c>
      <c r="PVQ538" s="22" t="e">
        <f ca="1"/>
        <v>#N/A</v>
      </c>
      <c r="PVR538" s="22" t="e">
        <f ca="1"/>
        <v>#N/A</v>
      </c>
      <c r="PVS538" s="22" t="e">
        <f ca="1"/>
        <v>#N/A</v>
      </c>
      <c r="PVT538" s="22" t="e">
        <f ca="1"/>
        <v>#N/A</v>
      </c>
      <c r="PVU538" s="22" t="e">
        <f ca="1"/>
        <v>#N/A</v>
      </c>
      <c r="PVV538" s="22" t="e">
        <f ca="1"/>
        <v>#N/A</v>
      </c>
      <c r="PVW538" s="22" t="e">
        <f ca="1"/>
        <v>#N/A</v>
      </c>
      <c r="PVX538" s="22" t="e">
        <f ca="1"/>
        <v>#N/A</v>
      </c>
      <c r="PVY538" s="22" t="e">
        <f ca="1"/>
        <v>#N/A</v>
      </c>
      <c r="PVZ538" s="22" t="e">
        <f ca="1"/>
        <v>#N/A</v>
      </c>
      <c r="PWA538" s="22" t="e">
        <f ca="1"/>
        <v>#N/A</v>
      </c>
      <c r="PWB538" s="22" t="e">
        <f ca="1"/>
        <v>#N/A</v>
      </c>
      <c r="PWC538" s="22" t="e">
        <f ca="1"/>
        <v>#N/A</v>
      </c>
      <c r="PWD538" s="22" t="e">
        <f ca="1"/>
        <v>#N/A</v>
      </c>
      <c r="PWE538" s="22" t="e">
        <f ca="1"/>
        <v>#N/A</v>
      </c>
      <c r="PWF538" s="22" t="e">
        <f ca="1"/>
        <v>#N/A</v>
      </c>
      <c r="PWG538" s="22" t="e">
        <f ca="1"/>
        <v>#N/A</v>
      </c>
      <c r="PWH538" s="22" t="e">
        <f ca="1"/>
        <v>#N/A</v>
      </c>
      <c r="PWI538" s="22" t="e">
        <f ca="1"/>
        <v>#N/A</v>
      </c>
      <c r="PWJ538" s="22" t="e">
        <f ca="1"/>
        <v>#N/A</v>
      </c>
      <c r="PWK538" s="22" t="e">
        <f ca="1"/>
        <v>#N/A</v>
      </c>
      <c r="PWL538" s="22" t="e">
        <f ca="1"/>
        <v>#N/A</v>
      </c>
      <c r="PWM538" s="22" t="e">
        <f ca="1"/>
        <v>#N/A</v>
      </c>
      <c r="PWN538" s="22" t="e">
        <f ca="1"/>
        <v>#N/A</v>
      </c>
      <c r="PWO538" s="22" t="e">
        <f ca="1"/>
        <v>#N/A</v>
      </c>
      <c r="PWP538" s="22" t="e">
        <f ca="1"/>
        <v>#N/A</v>
      </c>
      <c r="PWQ538" s="22" t="e">
        <f ca="1"/>
        <v>#N/A</v>
      </c>
      <c r="PWR538" s="22" t="e">
        <f ca="1"/>
        <v>#N/A</v>
      </c>
      <c r="PWS538" s="22" t="e">
        <f ca="1"/>
        <v>#N/A</v>
      </c>
      <c r="PWT538" s="22" t="e">
        <f ca="1"/>
        <v>#N/A</v>
      </c>
      <c r="PWU538" s="22" t="e">
        <f ca="1"/>
        <v>#N/A</v>
      </c>
      <c r="PWV538" s="22" t="e">
        <f ca="1"/>
        <v>#N/A</v>
      </c>
      <c r="PWW538" s="22" t="e">
        <f ca="1"/>
        <v>#N/A</v>
      </c>
      <c r="PWX538" s="22" t="e">
        <f ca="1"/>
        <v>#N/A</v>
      </c>
      <c r="PWY538" s="22" t="e">
        <f ca="1"/>
        <v>#N/A</v>
      </c>
      <c r="PWZ538" s="22" t="e">
        <f ca="1"/>
        <v>#N/A</v>
      </c>
      <c r="PXA538" s="22" t="e">
        <f ca="1"/>
        <v>#N/A</v>
      </c>
      <c r="PXB538" s="22" t="e">
        <f ca="1"/>
        <v>#N/A</v>
      </c>
      <c r="PXC538" s="22" t="e">
        <f ca="1"/>
        <v>#N/A</v>
      </c>
      <c r="PXD538" s="22" t="e">
        <f ca="1"/>
        <v>#N/A</v>
      </c>
      <c r="PXE538" s="22" t="e">
        <f ca="1"/>
        <v>#N/A</v>
      </c>
      <c r="PXF538" s="22" t="e">
        <f ca="1"/>
        <v>#N/A</v>
      </c>
      <c r="PXG538" s="22" t="e">
        <f ca="1"/>
        <v>#N/A</v>
      </c>
      <c r="PXH538" s="22" t="e">
        <f ca="1"/>
        <v>#N/A</v>
      </c>
      <c r="PXI538" s="22" t="e">
        <f ca="1"/>
        <v>#N/A</v>
      </c>
      <c r="PXJ538" s="22" t="e">
        <f ca="1"/>
        <v>#N/A</v>
      </c>
      <c r="PXK538" s="22" t="e">
        <f ca="1"/>
        <v>#N/A</v>
      </c>
      <c r="PXL538" s="22" t="e">
        <f ca="1"/>
        <v>#N/A</v>
      </c>
      <c r="PXM538" s="22" t="e">
        <f ca="1"/>
        <v>#N/A</v>
      </c>
      <c r="PXN538" s="22" t="e">
        <f ca="1"/>
        <v>#N/A</v>
      </c>
      <c r="PXO538" s="22" t="e">
        <f ca="1"/>
        <v>#N/A</v>
      </c>
      <c r="PXP538" s="22" t="e">
        <f ca="1"/>
        <v>#N/A</v>
      </c>
      <c r="PXQ538" s="22" t="e">
        <f ca="1"/>
        <v>#N/A</v>
      </c>
      <c r="PXR538" s="22" t="e">
        <f ca="1"/>
        <v>#N/A</v>
      </c>
      <c r="PXS538" s="22" t="e">
        <f ca="1"/>
        <v>#N/A</v>
      </c>
      <c r="PXT538" s="22" t="e">
        <f ca="1"/>
        <v>#N/A</v>
      </c>
      <c r="PXU538" s="22" t="e">
        <f ca="1"/>
        <v>#N/A</v>
      </c>
      <c r="PXV538" s="22" t="e">
        <f ca="1"/>
        <v>#N/A</v>
      </c>
      <c r="PXW538" s="22" t="e">
        <f ca="1"/>
        <v>#N/A</v>
      </c>
      <c r="PXX538" s="22" t="e">
        <f ca="1"/>
        <v>#N/A</v>
      </c>
      <c r="PXY538" s="22" t="e">
        <f ca="1"/>
        <v>#N/A</v>
      </c>
      <c r="PXZ538" s="22" t="e">
        <f ca="1"/>
        <v>#N/A</v>
      </c>
      <c r="PYA538" s="22" t="e">
        <f ca="1"/>
        <v>#N/A</v>
      </c>
      <c r="PYB538" s="22" t="e">
        <f ca="1"/>
        <v>#N/A</v>
      </c>
      <c r="PYC538" s="22" t="e">
        <f ca="1"/>
        <v>#N/A</v>
      </c>
      <c r="PYD538" s="22" t="e">
        <f ca="1"/>
        <v>#N/A</v>
      </c>
      <c r="PYE538" s="22" t="e">
        <f ca="1"/>
        <v>#N/A</v>
      </c>
      <c r="PYF538" s="22" t="e">
        <f ca="1"/>
        <v>#N/A</v>
      </c>
      <c r="PYG538" s="22" t="e">
        <f ca="1"/>
        <v>#N/A</v>
      </c>
      <c r="PYH538" s="22" t="e">
        <f ca="1"/>
        <v>#N/A</v>
      </c>
      <c r="PYI538" s="22" t="e">
        <f ca="1"/>
        <v>#N/A</v>
      </c>
      <c r="PYJ538" s="22" t="e">
        <f ca="1"/>
        <v>#N/A</v>
      </c>
      <c r="PYK538" s="22" t="e">
        <f ca="1"/>
        <v>#N/A</v>
      </c>
      <c r="PYL538" s="22" t="e">
        <f ca="1"/>
        <v>#N/A</v>
      </c>
      <c r="PYM538" s="22" t="e">
        <f ca="1"/>
        <v>#N/A</v>
      </c>
      <c r="PYN538" s="22" t="e">
        <f ca="1"/>
        <v>#N/A</v>
      </c>
      <c r="PYO538" s="22" t="e">
        <f ca="1"/>
        <v>#N/A</v>
      </c>
      <c r="PYP538" s="22" t="e">
        <f ca="1"/>
        <v>#N/A</v>
      </c>
      <c r="PYQ538" s="22" t="e">
        <f ca="1"/>
        <v>#N/A</v>
      </c>
      <c r="PYR538" s="22" t="e">
        <f ca="1"/>
        <v>#N/A</v>
      </c>
      <c r="PYS538" s="22" t="e">
        <f ca="1"/>
        <v>#N/A</v>
      </c>
      <c r="PYT538" s="22" t="e">
        <f ca="1"/>
        <v>#N/A</v>
      </c>
      <c r="PYU538" s="22" t="e">
        <f ca="1"/>
        <v>#N/A</v>
      </c>
      <c r="PYV538" s="22" t="e">
        <f ca="1"/>
        <v>#N/A</v>
      </c>
      <c r="PYW538" s="22" t="e">
        <f ca="1"/>
        <v>#N/A</v>
      </c>
      <c r="PYX538" s="22" t="e">
        <f ca="1"/>
        <v>#N/A</v>
      </c>
      <c r="PYY538" s="22" t="e">
        <f ca="1"/>
        <v>#N/A</v>
      </c>
      <c r="PYZ538" s="22" t="e">
        <f ca="1"/>
        <v>#N/A</v>
      </c>
      <c r="PZA538" s="22" t="e">
        <f ca="1"/>
        <v>#N/A</v>
      </c>
      <c r="PZB538" s="22" t="e">
        <f ca="1"/>
        <v>#N/A</v>
      </c>
      <c r="PZC538" s="22" t="e">
        <f ca="1"/>
        <v>#N/A</v>
      </c>
      <c r="PZD538" s="22" t="e">
        <f ca="1"/>
        <v>#N/A</v>
      </c>
      <c r="PZE538" s="22" t="e">
        <f ca="1"/>
        <v>#N/A</v>
      </c>
      <c r="PZF538" s="22" t="e">
        <f ca="1"/>
        <v>#N/A</v>
      </c>
      <c r="PZG538" s="22" t="e">
        <f ca="1"/>
        <v>#N/A</v>
      </c>
      <c r="PZH538" s="22" t="e">
        <f ca="1"/>
        <v>#N/A</v>
      </c>
      <c r="PZI538" s="22" t="e">
        <f ca="1"/>
        <v>#N/A</v>
      </c>
      <c r="PZJ538" s="22" t="e">
        <f ca="1"/>
        <v>#N/A</v>
      </c>
      <c r="PZK538" s="22" t="e">
        <f ca="1"/>
        <v>#N/A</v>
      </c>
      <c r="PZL538" s="22" t="e">
        <f ca="1"/>
        <v>#N/A</v>
      </c>
      <c r="PZM538" s="22" t="e">
        <f ca="1"/>
        <v>#N/A</v>
      </c>
      <c r="PZN538" s="22" t="e">
        <f ca="1"/>
        <v>#N/A</v>
      </c>
      <c r="PZO538" s="22" t="e">
        <f ca="1"/>
        <v>#N/A</v>
      </c>
      <c r="PZP538" s="22" t="e">
        <f ca="1"/>
        <v>#N/A</v>
      </c>
      <c r="PZQ538" s="22" t="e">
        <f ca="1"/>
        <v>#N/A</v>
      </c>
      <c r="PZR538" s="22" t="e">
        <f ca="1"/>
        <v>#N/A</v>
      </c>
      <c r="PZS538" s="22" t="e">
        <f ca="1"/>
        <v>#N/A</v>
      </c>
      <c r="PZT538" s="22" t="e">
        <f ca="1"/>
        <v>#N/A</v>
      </c>
      <c r="PZU538" s="22" t="e">
        <f ca="1"/>
        <v>#N/A</v>
      </c>
      <c r="PZV538" s="22" t="e">
        <f ca="1"/>
        <v>#N/A</v>
      </c>
      <c r="PZW538" s="22" t="e">
        <f ca="1"/>
        <v>#N/A</v>
      </c>
      <c r="PZX538" s="22" t="e">
        <f ca="1"/>
        <v>#N/A</v>
      </c>
      <c r="PZY538" s="22" t="e">
        <f ca="1"/>
        <v>#N/A</v>
      </c>
      <c r="PZZ538" s="22" t="e">
        <f ca="1"/>
        <v>#N/A</v>
      </c>
      <c r="QAA538" s="22" t="e">
        <f ca="1"/>
        <v>#N/A</v>
      </c>
      <c r="QAB538" s="22" t="e">
        <f ca="1"/>
        <v>#N/A</v>
      </c>
      <c r="QAC538" s="22" t="e">
        <f ca="1"/>
        <v>#N/A</v>
      </c>
      <c r="QAD538" s="22" t="e">
        <f ca="1"/>
        <v>#N/A</v>
      </c>
      <c r="QAE538" s="22" t="e">
        <f ca="1"/>
        <v>#N/A</v>
      </c>
      <c r="QAF538" s="22" t="e">
        <f ca="1"/>
        <v>#N/A</v>
      </c>
      <c r="QAG538" s="22" t="e">
        <f ca="1"/>
        <v>#N/A</v>
      </c>
      <c r="QAH538" s="22" t="e">
        <f ca="1"/>
        <v>#N/A</v>
      </c>
      <c r="QAI538" s="22" t="e">
        <f ca="1"/>
        <v>#N/A</v>
      </c>
      <c r="QAJ538" s="22" t="e">
        <f ca="1"/>
        <v>#N/A</v>
      </c>
      <c r="QAK538" s="22" t="e">
        <f ca="1"/>
        <v>#N/A</v>
      </c>
      <c r="QAL538" s="22" t="e">
        <f ca="1"/>
        <v>#N/A</v>
      </c>
      <c r="QAM538" s="22" t="e">
        <f ca="1"/>
        <v>#N/A</v>
      </c>
      <c r="QAN538" s="22" t="e">
        <f ca="1"/>
        <v>#N/A</v>
      </c>
      <c r="QAO538" s="22" t="e">
        <f ca="1"/>
        <v>#N/A</v>
      </c>
      <c r="QAP538" s="22" t="e">
        <f ca="1"/>
        <v>#N/A</v>
      </c>
      <c r="QAQ538" s="22" t="e">
        <f ca="1"/>
        <v>#N/A</v>
      </c>
      <c r="QAR538" s="22" t="e">
        <f ca="1"/>
        <v>#N/A</v>
      </c>
      <c r="QAS538" s="22" t="e">
        <f ca="1"/>
        <v>#N/A</v>
      </c>
      <c r="QAT538" s="22" t="e">
        <f ca="1"/>
        <v>#N/A</v>
      </c>
      <c r="QAU538" s="22" t="e">
        <f ca="1"/>
        <v>#N/A</v>
      </c>
      <c r="QAV538" s="22" t="e">
        <f ca="1"/>
        <v>#N/A</v>
      </c>
      <c r="QAW538" s="22" t="e">
        <f ca="1"/>
        <v>#N/A</v>
      </c>
      <c r="QAX538" s="22" t="e">
        <f ca="1"/>
        <v>#N/A</v>
      </c>
      <c r="QAY538" s="22" t="e">
        <f ca="1"/>
        <v>#N/A</v>
      </c>
      <c r="QAZ538" s="22" t="e">
        <f ca="1"/>
        <v>#N/A</v>
      </c>
      <c r="QBA538" s="22" t="e">
        <f ca="1"/>
        <v>#N/A</v>
      </c>
      <c r="QBB538" s="22" t="e">
        <f ca="1"/>
        <v>#N/A</v>
      </c>
      <c r="QBC538" s="22" t="e">
        <f ca="1"/>
        <v>#N/A</v>
      </c>
      <c r="QBD538" s="22" t="e">
        <f ca="1"/>
        <v>#N/A</v>
      </c>
      <c r="QBE538" s="22" t="e">
        <f ca="1"/>
        <v>#N/A</v>
      </c>
      <c r="QBF538" s="22" t="e">
        <f ca="1"/>
        <v>#N/A</v>
      </c>
      <c r="QBG538" s="22" t="e">
        <f ca="1"/>
        <v>#N/A</v>
      </c>
      <c r="QBH538" s="22" t="e">
        <f ca="1"/>
        <v>#N/A</v>
      </c>
      <c r="QBI538" s="22" t="e">
        <f ca="1"/>
        <v>#N/A</v>
      </c>
      <c r="QBJ538" s="22" t="e">
        <f ca="1"/>
        <v>#N/A</v>
      </c>
      <c r="QBK538" s="22" t="e">
        <f ca="1"/>
        <v>#N/A</v>
      </c>
      <c r="QBL538" s="22" t="e">
        <f ca="1"/>
        <v>#N/A</v>
      </c>
      <c r="QBM538" s="22" t="e">
        <f ca="1"/>
        <v>#N/A</v>
      </c>
      <c r="QBN538" s="22" t="e">
        <f ca="1"/>
        <v>#N/A</v>
      </c>
      <c r="QBO538" s="22" t="e">
        <f ca="1"/>
        <v>#N/A</v>
      </c>
      <c r="QBP538" s="22" t="e">
        <f ca="1"/>
        <v>#N/A</v>
      </c>
      <c r="QBQ538" s="22" t="e">
        <f ca="1"/>
        <v>#N/A</v>
      </c>
      <c r="QBR538" s="22" t="e">
        <f ca="1"/>
        <v>#N/A</v>
      </c>
      <c r="QBS538" s="22" t="e">
        <f ca="1"/>
        <v>#N/A</v>
      </c>
      <c r="QBT538" s="22" t="e">
        <f ca="1"/>
        <v>#N/A</v>
      </c>
      <c r="QBU538" s="22" t="e">
        <f ca="1"/>
        <v>#N/A</v>
      </c>
      <c r="QBV538" s="22" t="e">
        <f ca="1"/>
        <v>#N/A</v>
      </c>
      <c r="QBW538" s="22" t="e">
        <f ca="1"/>
        <v>#N/A</v>
      </c>
      <c r="QBX538" s="22" t="e">
        <f ca="1"/>
        <v>#N/A</v>
      </c>
      <c r="QBY538" s="22" t="e">
        <f ca="1"/>
        <v>#N/A</v>
      </c>
      <c r="QBZ538" s="22" t="e">
        <f ca="1"/>
        <v>#N/A</v>
      </c>
      <c r="QCA538" s="22" t="e">
        <f ca="1"/>
        <v>#N/A</v>
      </c>
      <c r="QCB538" s="22" t="e">
        <f ca="1"/>
        <v>#N/A</v>
      </c>
      <c r="QCC538" s="22" t="e">
        <f ca="1"/>
        <v>#N/A</v>
      </c>
      <c r="QCD538" s="22" t="e">
        <f ca="1"/>
        <v>#N/A</v>
      </c>
      <c r="QCE538" s="22" t="e">
        <f ca="1"/>
        <v>#N/A</v>
      </c>
      <c r="QCF538" s="22" t="e">
        <f ca="1"/>
        <v>#N/A</v>
      </c>
      <c r="QCG538" s="22" t="e">
        <f ca="1"/>
        <v>#N/A</v>
      </c>
      <c r="QCH538" s="22" t="e">
        <f ca="1"/>
        <v>#N/A</v>
      </c>
      <c r="QCI538" s="22" t="e">
        <f ca="1"/>
        <v>#N/A</v>
      </c>
      <c r="QCJ538" s="22" t="e">
        <f ca="1"/>
        <v>#N/A</v>
      </c>
      <c r="QCK538" s="22" t="e">
        <f ca="1"/>
        <v>#N/A</v>
      </c>
      <c r="QCL538" s="22" t="e">
        <f ca="1"/>
        <v>#N/A</v>
      </c>
      <c r="QCM538" s="22" t="e">
        <f ca="1"/>
        <v>#N/A</v>
      </c>
      <c r="QCN538" s="22" t="e">
        <f ca="1"/>
        <v>#N/A</v>
      </c>
      <c r="QCO538" s="22" t="e">
        <f ca="1"/>
        <v>#N/A</v>
      </c>
      <c r="QCP538" s="22" t="e">
        <f ca="1"/>
        <v>#N/A</v>
      </c>
      <c r="QCQ538" s="22" t="e">
        <f ca="1"/>
        <v>#N/A</v>
      </c>
      <c r="QCR538" s="22" t="e">
        <f ca="1"/>
        <v>#N/A</v>
      </c>
      <c r="QCS538" s="22" t="e">
        <f ca="1"/>
        <v>#N/A</v>
      </c>
      <c r="QCT538" s="22" t="e">
        <f ca="1"/>
        <v>#N/A</v>
      </c>
      <c r="QCU538" s="22" t="e">
        <f ca="1"/>
        <v>#N/A</v>
      </c>
      <c r="QCV538" s="22" t="e">
        <f ca="1"/>
        <v>#N/A</v>
      </c>
      <c r="QCW538" s="22" t="e">
        <f ca="1"/>
        <v>#N/A</v>
      </c>
      <c r="QCX538" s="22" t="e">
        <f ca="1"/>
        <v>#N/A</v>
      </c>
      <c r="QCY538" s="22" t="e">
        <f ca="1"/>
        <v>#N/A</v>
      </c>
      <c r="QCZ538" s="22" t="e">
        <f ca="1"/>
        <v>#N/A</v>
      </c>
      <c r="QDA538" s="22" t="e">
        <f ca="1"/>
        <v>#N/A</v>
      </c>
      <c r="QDB538" s="22" t="e">
        <f ca="1"/>
        <v>#N/A</v>
      </c>
      <c r="QDC538" s="22" t="e">
        <f ca="1"/>
        <v>#N/A</v>
      </c>
      <c r="QDD538" s="22" t="e">
        <f ca="1"/>
        <v>#N/A</v>
      </c>
      <c r="QDE538" s="22" t="e">
        <f ca="1"/>
        <v>#N/A</v>
      </c>
      <c r="QDF538" s="22" t="e">
        <f ca="1"/>
        <v>#N/A</v>
      </c>
      <c r="QDG538" s="22" t="e">
        <f ca="1"/>
        <v>#N/A</v>
      </c>
      <c r="QDH538" s="22" t="e">
        <f ca="1"/>
        <v>#N/A</v>
      </c>
      <c r="QDI538" s="22" t="e">
        <f ca="1"/>
        <v>#N/A</v>
      </c>
      <c r="QDJ538" s="22" t="e">
        <f ca="1"/>
        <v>#N/A</v>
      </c>
      <c r="QDK538" s="22" t="e">
        <f ca="1"/>
        <v>#N/A</v>
      </c>
      <c r="QDL538" s="22" t="e">
        <f ca="1"/>
        <v>#N/A</v>
      </c>
      <c r="QDM538" s="22" t="e">
        <f ca="1"/>
        <v>#N/A</v>
      </c>
      <c r="QDN538" s="22" t="e">
        <f ca="1"/>
        <v>#N/A</v>
      </c>
      <c r="QDO538" s="22" t="e">
        <f ca="1"/>
        <v>#N/A</v>
      </c>
      <c r="QDP538" s="22" t="e">
        <f ca="1"/>
        <v>#N/A</v>
      </c>
      <c r="QDQ538" s="22" t="e">
        <f ca="1"/>
        <v>#N/A</v>
      </c>
      <c r="QDR538" s="22" t="e">
        <f ca="1"/>
        <v>#N/A</v>
      </c>
      <c r="QDS538" s="22" t="e">
        <f ca="1"/>
        <v>#N/A</v>
      </c>
      <c r="QDT538" s="22" t="e">
        <f ca="1"/>
        <v>#N/A</v>
      </c>
      <c r="QDU538" s="22" t="e">
        <f ca="1"/>
        <v>#N/A</v>
      </c>
      <c r="QDV538" s="22" t="e">
        <f ca="1"/>
        <v>#N/A</v>
      </c>
      <c r="QDW538" s="22" t="e">
        <f ca="1"/>
        <v>#N/A</v>
      </c>
      <c r="QDX538" s="22" t="e">
        <f ca="1"/>
        <v>#N/A</v>
      </c>
      <c r="QDY538" s="22" t="e">
        <f ca="1"/>
        <v>#N/A</v>
      </c>
      <c r="QDZ538" s="22" t="e">
        <f ca="1"/>
        <v>#N/A</v>
      </c>
      <c r="QEA538" s="22" t="e">
        <f ca="1"/>
        <v>#N/A</v>
      </c>
      <c r="QEB538" s="22" t="e">
        <f ca="1"/>
        <v>#N/A</v>
      </c>
      <c r="QEC538" s="22" t="e">
        <f ca="1"/>
        <v>#N/A</v>
      </c>
      <c r="QED538" s="22" t="e">
        <f ca="1"/>
        <v>#N/A</v>
      </c>
      <c r="QEE538" s="22" t="e">
        <f ca="1"/>
        <v>#N/A</v>
      </c>
      <c r="QEF538" s="22" t="e">
        <f ca="1"/>
        <v>#N/A</v>
      </c>
      <c r="QEG538" s="22" t="e">
        <f ca="1"/>
        <v>#N/A</v>
      </c>
      <c r="QEH538" s="22" t="e">
        <f ca="1"/>
        <v>#N/A</v>
      </c>
      <c r="QEI538" s="22" t="e">
        <f ca="1"/>
        <v>#N/A</v>
      </c>
      <c r="QEJ538" s="22" t="e">
        <f ca="1"/>
        <v>#N/A</v>
      </c>
      <c r="QEK538" s="22" t="e">
        <f ca="1"/>
        <v>#N/A</v>
      </c>
      <c r="QEL538" s="22" t="e">
        <f ca="1"/>
        <v>#N/A</v>
      </c>
      <c r="QEM538" s="22" t="e">
        <f ca="1"/>
        <v>#N/A</v>
      </c>
      <c r="QEN538" s="22" t="e">
        <f ca="1"/>
        <v>#N/A</v>
      </c>
      <c r="QEO538" s="22" t="e">
        <f ca="1"/>
        <v>#N/A</v>
      </c>
      <c r="QEP538" s="22" t="e">
        <f ca="1"/>
        <v>#N/A</v>
      </c>
      <c r="QEQ538" s="22" t="e">
        <f ca="1"/>
        <v>#N/A</v>
      </c>
      <c r="QER538" s="22" t="e">
        <f ca="1"/>
        <v>#N/A</v>
      </c>
      <c r="QES538" s="22" t="e">
        <f ca="1"/>
        <v>#N/A</v>
      </c>
      <c r="QET538" s="22" t="e">
        <f ca="1"/>
        <v>#N/A</v>
      </c>
      <c r="QEU538" s="22" t="e">
        <f ca="1"/>
        <v>#N/A</v>
      </c>
      <c r="QEV538" s="22" t="e">
        <f ca="1"/>
        <v>#N/A</v>
      </c>
      <c r="QEW538" s="22" t="e">
        <f ca="1"/>
        <v>#N/A</v>
      </c>
      <c r="QEX538" s="22" t="e">
        <f ca="1"/>
        <v>#N/A</v>
      </c>
      <c r="QEY538" s="22" t="e">
        <f ca="1"/>
        <v>#N/A</v>
      </c>
      <c r="QEZ538" s="22" t="e">
        <f ca="1"/>
        <v>#N/A</v>
      </c>
      <c r="QFA538" s="22" t="e">
        <f ca="1"/>
        <v>#N/A</v>
      </c>
      <c r="QFB538" s="22" t="e">
        <f ca="1"/>
        <v>#N/A</v>
      </c>
      <c r="QFC538" s="22" t="e">
        <f ca="1"/>
        <v>#N/A</v>
      </c>
      <c r="QFD538" s="22" t="e">
        <f ca="1"/>
        <v>#N/A</v>
      </c>
      <c r="QFE538" s="22" t="e">
        <f ca="1"/>
        <v>#N/A</v>
      </c>
      <c r="QFF538" s="22" t="e">
        <f ca="1"/>
        <v>#N/A</v>
      </c>
      <c r="QFG538" s="22" t="e">
        <f ca="1"/>
        <v>#N/A</v>
      </c>
      <c r="QFH538" s="22" t="e">
        <f ca="1"/>
        <v>#N/A</v>
      </c>
      <c r="QFI538" s="22" t="e">
        <f ca="1"/>
        <v>#N/A</v>
      </c>
      <c r="QFJ538" s="22" t="e">
        <f ca="1"/>
        <v>#N/A</v>
      </c>
      <c r="QFK538" s="22" t="e">
        <f ca="1"/>
        <v>#N/A</v>
      </c>
      <c r="QFL538" s="22" t="e">
        <f ca="1"/>
        <v>#N/A</v>
      </c>
      <c r="QFM538" s="22" t="e">
        <f ca="1"/>
        <v>#N/A</v>
      </c>
      <c r="QFN538" s="22" t="e">
        <f ca="1"/>
        <v>#N/A</v>
      </c>
      <c r="QFO538" s="22" t="e">
        <f ca="1"/>
        <v>#N/A</v>
      </c>
      <c r="QFP538" s="22" t="e">
        <f ca="1"/>
        <v>#N/A</v>
      </c>
      <c r="QFQ538" s="22" t="e">
        <f ca="1"/>
        <v>#N/A</v>
      </c>
      <c r="QFR538" s="22" t="e">
        <f ca="1"/>
        <v>#N/A</v>
      </c>
      <c r="QFS538" s="22" t="e">
        <f ca="1"/>
        <v>#N/A</v>
      </c>
      <c r="QFT538" s="22" t="e">
        <f ca="1"/>
        <v>#N/A</v>
      </c>
      <c r="QFU538" s="22" t="e">
        <f ca="1"/>
        <v>#N/A</v>
      </c>
      <c r="QFV538" s="22" t="e">
        <f ca="1"/>
        <v>#N/A</v>
      </c>
      <c r="QFW538" s="22" t="e">
        <f ca="1"/>
        <v>#N/A</v>
      </c>
      <c r="QFX538" s="22" t="e">
        <f ca="1"/>
        <v>#N/A</v>
      </c>
      <c r="QFY538" s="22" t="e">
        <f ca="1"/>
        <v>#N/A</v>
      </c>
      <c r="QFZ538" s="22" t="e">
        <f ca="1"/>
        <v>#N/A</v>
      </c>
      <c r="QGA538" s="22" t="e">
        <f ca="1"/>
        <v>#N/A</v>
      </c>
      <c r="QGB538" s="22" t="e">
        <f ca="1"/>
        <v>#N/A</v>
      </c>
      <c r="QGC538" s="22" t="e">
        <f ca="1"/>
        <v>#N/A</v>
      </c>
      <c r="QGD538" s="22" t="e">
        <f ca="1"/>
        <v>#N/A</v>
      </c>
      <c r="QGE538" s="22" t="e">
        <f ca="1"/>
        <v>#N/A</v>
      </c>
      <c r="QGF538" s="22" t="e">
        <f ca="1"/>
        <v>#N/A</v>
      </c>
      <c r="QGG538" s="22" t="e">
        <f ca="1"/>
        <v>#N/A</v>
      </c>
      <c r="QGH538" s="22" t="e">
        <f ca="1"/>
        <v>#N/A</v>
      </c>
      <c r="QGI538" s="22" t="e">
        <f ca="1"/>
        <v>#N/A</v>
      </c>
      <c r="QGJ538" s="22" t="e">
        <f ca="1"/>
        <v>#N/A</v>
      </c>
      <c r="QGK538" s="22" t="e">
        <f ca="1"/>
        <v>#N/A</v>
      </c>
      <c r="QGL538" s="22" t="e">
        <f ca="1"/>
        <v>#N/A</v>
      </c>
      <c r="QGM538" s="22" t="e">
        <f ca="1"/>
        <v>#N/A</v>
      </c>
      <c r="QGN538" s="22" t="e">
        <f ca="1"/>
        <v>#N/A</v>
      </c>
      <c r="QGO538" s="22" t="e">
        <f ca="1"/>
        <v>#N/A</v>
      </c>
      <c r="QGP538" s="22" t="e">
        <f ca="1"/>
        <v>#N/A</v>
      </c>
      <c r="QGQ538" s="22" t="e">
        <f ca="1"/>
        <v>#N/A</v>
      </c>
      <c r="QGR538" s="22" t="e">
        <f ca="1"/>
        <v>#N/A</v>
      </c>
      <c r="QGS538" s="22" t="e">
        <f ca="1"/>
        <v>#N/A</v>
      </c>
      <c r="QGT538" s="22" t="e">
        <f ca="1"/>
        <v>#N/A</v>
      </c>
      <c r="QGU538" s="22" t="e">
        <f ca="1"/>
        <v>#N/A</v>
      </c>
      <c r="QGV538" s="22" t="e">
        <f ca="1"/>
        <v>#N/A</v>
      </c>
      <c r="QGW538" s="22" t="e">
        <f ca="1"/>
        <v>#N/A</v>
      </c>
      <c r="QGX538" s="22" t="e">
        <f ca="1"/>
        <v>#N/A</v>
      </c>
      <c r="QGY538" s="22" t="e">
        <f ca="1"/>
        <v>#N/A</v>
      </c>
      <c r="QGZ538" s="22" t="e">
        <f ca="1"/>
        <v>#N/A</v>
      </c>
      <c r="QHA538" s="22" t="e">
        <f ca="1"/>
        <v>#N/A</v>
      </c>
      <c r="QHB538" s="22" t="e">
        <f ca="1"/>
        <v>#N/A</v>
      </c>
      <c r="QHC538" s="22" t="e">
        <f ca="1"/>
        <v>#N/A</v>
      </c>
      <c r="QHD538" s="22" t="e">
        <f ca="1"/>
        <v>#N/A</v>
      </c>
      <c r="QHE538" s="22" t="e">
        <f ca="1"/>
        <v>#N/A</v>
      </c>
      <c r="QHF538" s="22" t="e">
        <f ca="1"/>
        <v>#N/A</v>
      </c>
      <c r="QHG538" s="22" t="e">
        <f ca="1"/>
        <v>#N/A</v>
      </c>
      <c r="QHH538" s="22" t="e">
        <f ca="1"/>
        <v>#N/A</v>
      </c>
      <c r="QHI538" s="22" t="e">
        <f ca="1"/>
        <v>#N/A</v>
      </c>
      <c r="QHJ538" s="22" t="e">
        <f ca="1"/>
        <v>#N/A</v>
      </c>
      <c r="QHK538" s="22" t="e">
        <f ca="1"/>
        <v>#N/A</v>
      </c>
      <c r="QHL538" s="22" t="e">
        <f ca="1"/>
        <v>#N/A</v>
      </c>
      <c r="QHM538" s="22" t="e">
        <f ca="1"/>
        <v>#N/A</v>
      </c>
      <c r="QHN538" s="22" t="e">
        <f ca="1"/>
        <v>#N/A</v>
      </c>
      <c r="QHO538" s="22" t="e">
        <f ca="1"/>
        <v>#N/A</v>
      </c>
      <c r="QHP538" s="22" t="e">
        <f ca="1"/>
        <v>#N/A</v>
      </c>
      <c r="QHQ538" s="22" t="e">
        <f ca="1"/>
        <v>#N/A</v>
      </c>
      <c r="QHR538" s="22" t="e">
        <f ca="1"/>
        <v>#N/A</v>
      </c>
      <c r="QHS538" s="22" t="e">
        <f ca="1"/>
        <v>#N/A</v>
      </c>
      <c r="QHT538" s="22" t="e">
        <f ca="1"/>
        <v>#N/A</v>
      </c>
      <c r="QHU538" s="22" t="e">
        <f ca="1"/>
        <v>#N/A</v>
      </c>
      <c r="QHV538" s="22" t="e">
        <f ca="1"/>
        <v>#N/A</v>
      </c>
      <c r="QHW538" s="22" t="e">
        <f ca="1"/>
        <v>#N/A</v>
      </c>
      <c r="QHX538" s="22" t="e">
        <f ca="1"/>
        <v>#N/A</v>
      </c>
      <c r="QHY538" s="22" t="e">
        <f ca="1"/>
        <v>#N/A</v>
      </c>
      <c r="QHZ538" s="22" t="e">
        <f ca="1"/>
        <v>#N/A</v>
      </c>
      <c r="QIA538" s="22" t="e">
        <f ca="1"/>
        <v>#N/A</v>
      </c>
      <c r="QIB538" s="22" t="e">
        <f ca="1"/>
        <v>#N/A</v>
      </c>
      <c r="QIC538" s="22" t="e">
        <f ca="1"/>
        <v>#N/A</v>
      </c>
      <c r="QID538" s="22" t="e">
        <f ca="1"/>
        <v>#N/A</v>
      </c>
      <c r="QIE538" s="22" t="e">
        <f ca="1"/>
        <v>#N/A</v>
      </c>
      <c r="QIF538" s="22" t="e">
        <f ca="1"/>
        <v>#N/A</v>
      </c>
      <c r="QIG538" s="22" t="e">
        <f ca="1"/>
        <v>#N/A</v>
      </c>
      <c r="QIH538" s="22" t="e">
        <f ca="1"/>
        <v>#N/A</v>
      </c>
      <c r="QII538" s="22" t="e">
        <f ca="1"/>
        <v>#N/A</v>
      </c>
      <c r="QIJ538" s="22" t="e">
        <f ca="1"/>
        <v>#N/A</v>
      </c>
      <c r="QIK538" s="22" t="e">
        <f ca="1"/>
        <v>#N/A</v>
      </c>
      <c r="QIL538" s="22" t="e">
        <f ca="1"/>
        <v>#N/A</v>
      </c>
      <c r="QIM538" s="22" t="e">
        <f ca="1"/>
        <v>#N/A</v>
      </c>
      <c r="QIN538" s="22" t="e">
        <f ca="1"/>
        <v>#N/A</v>
      </c>
      <c r="QIO538" s="22" t="e">
        <f ca="1"/>
        <v>#N/A</v>
      </c>
      <c r="QIP538" s="22" t="e">
        <f ca="1"/>
        <v>#N/A</v>
      </c>
      <c r="QIQ538" s="22" t="e">
        <f ca="1"/>
        <v>#N/A</v>
      </c>
      <c r="QIR538" s="22" t="e">
        <f ca="1"/>
        <v>#N/A</v>
      </c>
      <c r="QIS538" s="22" t="e">
        <f ca="1"/>
        <v>#N/A</v>
      </c>
      <c r="QIT538" s="22" t="e">
        <f ca="1"/>
        <v>#N/A</v>
      </c>
      <c r="QIU538" s="22" t="e">
        <f ca="1"/>
        <v>#N/A</v>
      </c>
      <c r="QIV538" s="22" t="e">
        <f ca="1"/>
        <v>#N/A</v>
      </c>
      <c r="QIW538" s="22" t="e">
        <f ca="1"/>
        <v>#N/A</v>
      </c>
      <c r="QIX538" s="22" t="e">
        <f ca="1"/>
        <v>#N/A</v>
      </c>
      <c r="QIY538" s="22" t="e">
        <f ca="1"/>
        <v>#N/A</v>
      </c>
      <c r="QIZ538" s="22" t="e">
        <f ca="1"/>
        <v>#N/A</v>
      </c>
      <c r="QJA538" s="22" t="e">
        <f ca="1"/>
        <v>#N/A</v>
      </c>
      <c r="QJB538" s="22" t="e">
        <f ca="1"/>
        <v>#N/A</v>
      </c>
      <c r="QJC538" s="22" t="e">
        <f ca="1"/>
        <v>#N/A</v>
      </c>
      <c r="QJD538" s="22" t="e">
        <f ca="1"/>
        <v>#N/A</v>
      </c>
      <c r="QJE538" s="22" t="e">
        <f ca="1"/>
        <v>#N/A</v>
      </c>
      <c r="QJF538" s="22" t="e">
        <f ca="1"/>
        <v>#N/A</v>
      </c>
      <c r="QJG538" s="22" t="e">
        <f ca="1"/>
        <v>#N/A</v>
      </c>
      <c r="QJH538" s="22" t="e">
        <f ca="1"/>
        <v>#N/A</v>
      </c>
      <c r="QJI538" s="22" t="e">
        <f ca="1"/>
        <v>#N/A</v>
      </c>
      <c r="QJJ538" s="22" t="e">
        <f ca="1"/>
        <v>#N/A</v>
      </c>
      <c r="QJK538" s="22" t="e">
        <f ca="1"/>
        <v>#N/A</v>
      </c>
      <c r="QJL538" s="22" t="e">
        <f ca="1"/>
        <v>#N/A</v>
      </c>
      <c r="QJM538" s="22" t="e">
        <f ca="1"/>
        <v>#N/A</v>
      </c>
      <c r="QJN538" s="22" t="e">
        <f ca="1"/>
        <v>#N/A</v>
      </c>
      <c r="QJO538" s="22" t="e">
        <f ca="1"/>
        <v>#N/A</v>
      </c>
      <c r="QJP538" s="22" t="e">
        <f ca="1"/>
        <v>#N/A</v>
      </c>
      <c r="QJQ538" s="22" t="e">
        <f ca="1"/>
        <v>#N/A</v>
      </c>
      <c r="QJR538" s="22" t="e">
        <f ca="1"/>
        <v>#N/A</v>
      </c>
      <c r="QJS538" s="22" t="e">
        <f ca="1"/>
        <v>#N/A</v>
      </c>
      <c r="QJT538" s="22" t="e">
        <f ca="1"/>
        <v>#N/A</v>
      </c>
      <c r="QJU538" s="22" t="e">
        <f ca="1"/>
        <v>#N/A</v>
      </c>
      <c r="QJV538" s="22" t="e">
        <f ca="1"/>
        <v>#N/A</v>
      </c>
      <c r="QJW538" s="22" t="e">
        <f ca="1"/>
        <v>#N/A</v>
      </c>
      <c r="QJX538" s="22" t="e">
        <f ca="1"/>
        <v>#N/A</v>
      </c>
      <c r="QJY538" s="22" t="e">
        <f ca="1"/>
        <v>#N/A</v>
      </c>
      <c r="QJZ538" s="22" t="e">
        <f ca="1"/>
        <v>#N/A</v>
      </c>
      <c r="QKA538" s="22" t="e">
        <f ca="1"/>
        <v>#N/A</v>
      </c>
      <c r="QKB538" s="22" t="e">
        <f ca="1"/>
        <v>#N/A</v>
      </c>
      <c r="QKC538" s="22" t="e">
        <f ca="1"/>
        <v>#N/A</v>
      </c>
      <c r="QKD538" s="22" t="e">
        <f ca="1"/>
        <v>#N/A</v>
      </c>
      <c r="QKE538" s="22" t="e">
        <f ca="1"/>
        <v>#N/A</v>
      </c>
      <c r="QKF538" s="22" t="e">
        <f ca="1"/>
        <v>#N/A</v>
      </c>
      <c r="QKG538" s="22" t="e">
        <f ca="1"/>
        <v>#N/A</v>
      </c>
      <c r="QKH538" s="22" t="e">
        <f ca="1"/>
        <v>#N/A</v>
      </c>
      <c r="QKI538" s="22" t="e">
        <f ca="1"/>
        <v>#N/A</v>
      </c>
      <c r="QKJ538" s="22" t="e">
        <f ca="1"/>
        <v>#N/A</v>
      </c>
      <c r="QKK538" s="22" t="e">
        <f ca="1"/>
        <v>#N/A</v>
      </c>
      <c r="QKL538" s="22" t="e">
        <f ca="1"/>
        <v>#N/A</v>
      </c>
      <c r="QKM538" s="22" t="e">
        <f ca="1"/>
        <v>#N/A</v>
      </c>
      <c r="QKN538" s="22" t="e">
        <f ca="1"/>
        <v>#N/A</v>
      </c>
      <c r="QKO538" s="22" t="e">
        <f ca="1"/>
        <v>#N/A</v>
      </c>
      <c r="QKP538" s="22" t="e">
        <f ca="1"/>
        <v>#N/A</v>
      </c>
      <c r="QKQ538" s="22" t="e">
        <f ca="1"/>
        <v>#N/A</v>
      </c>
      <c r="QKR538" s="22" t="e">
        <f ca="1"/>
        <v>#N/A</v>
      </c>
      <c r="QKS538" s="22" t="e">
        <f ca="1"/>
        <v>#N/A</v>
      </c>
      <c r="QKT538" s="22" t="e">
        <f ca="1"/>
        <v>#N/A</v>
      </c>
      <c r="QKU538" s="22" t="e">
        <f ca="1"/>
        <v>#N/A</v>
      </c>
      <c r="QKV538" s="22" t="e">
        <f ca="1"/>
        <v>#N/A</v>
      </c>
      <c r="QKW538" s="22" t="e">
        <f ca="1"/>
        <v>#N/A</v>
      </c>
      <c r="QKX538" s="22" t="e">
        <f ca="1"/>
        <v>#N/A</v>
      </c>
      <c r="QKY538" s="22" t="e">
        <f ca="1"/>
        <v>#N/A</v>
      </c>
      <c r="QKZ538" s="22" t="e">
        <f ca="1"/>
        <v>#N/A</v>
      </c>
      <c r="QLA538" s="22" t="e">
        <f ca="1"/>
        <v>#N/A</v>
      </c>
      <c r="QLB538" s="22" t="e">
        <f ca="1"/>
        <v>#N/A</v>
      </c>
      <c r="QLC538" s="22" t="e">
        <f ca="1"/>
        <v>#N/A</v>
      </c>
      <c r="QLD538" s="22" t="e">
        <f ca="1"/>
        <v>#N/A</v>
      </c>
      <c r="QLE538" s="22" t="e">
        <f ca="1"/>
        <v>#N/A</v>
      </c>
      <c r="QLF538" s="22" t="e">
        <f ca="1"/>
        <v>#N/A</v>
      </c>
      <c r="QLG538" s="22" t="e">
        <f ca="1"/>
        <v>#N/A</v>
      </c>
      <c r="QLH538" s="22" t="e">
        <f ca="1"/>
        <v>#N/A</v>
      </c>
      <c r="QLI538" s="22" t="e">
        <f ca="1"/>
        <v>#N/A</v>
      </c>
      <c r="QLJ538" s="22" t="e">
        <f ca="1"/>
        <v>#N/A</v>
      </c>
      <c r="QLK538" s="22" t="e">
        <f ca="1"/>
        <v>#N/A</v>
      </c>
      <c r="QLL538" s="22" t="e">
        <f ca="1"/>
        <v>#N/A</v>
      </c>
      <c r="QLM538" s="22" t="e">
        <f ca="1"/>
        <v>#N/A</v>
      </c>
      <c r="QLN538" s="22" t="e">
        <f ca="1"/>
        <v>#N/A</v>
      </c>
      <c r="QLO538" s="22" t="e">
        <f ca="1"/>
        <v>#N/A</v>
      </c>
      <c r="QLP538" s="22" t="e">
        <f ca="1"/>
        <v>#N/A</v>
      </c>
      <c r="QLQ538" s="22" t="e">
        <f ca="1"/>
        <v>#N/A</v>
      </c>
      <c r="QLR538" s="22" t="e">
        <f ca="1"/>
        <v>#N/A</v>
      </c>
      <c r="QLS538" s="22" t="e">
        <f ca="1"/>
        <v>#N/A</v>
      </c>
      <c r="QLT538" s="22" t="e">
        <f ca="1"/>
        <v>#N/A</v>
      </c>
      <c r="QLU538" s="22" t="e">
        <f ca="1"/>
        <v>#N/A</v>
      </c>
      <c r="QLV538" s="22" t="e">
        <f ca="1"/>
        <v>#N/A</v>
      </c>
      <c r="QLW538" s="22" t="e">
        <f ca="1"/>
        <v>#N/A</v>
      </c>
      <c r="QLX538" s="22" t="e">
        <f ca="1"/>
        <v>#N/A</v>
      </c>
      <c r="QLY538" s="22" t="e">
        <f ca="1"/>
        <v>#N/A</v>
      </c>
      <c r="QLZ538" s="22" t="e">
        <f ca="1"/>
        <v>#N/A</v>
      </c>
      <c r="QMA538" s="22" t="e">
        <f ca="1"/>
        <v>#N/A</v>
      </c>
      <c r="QMB538" s="22" t="e">
        <f ca="1"/>
        <v>#N/A</v>
      </c>
      <c r="QMC538" s="22" t="e">
        <f ca="1"/>
        <v>#N/A</v>
      </c>
      <c r="QMD538" s="22" t="e">
        <f ca="1"/>
        <v>#N/A</v>
      </c>
      <c r="QME538" s="22" t="e">
        <f ca="1"/>
        <v>#N/A</v>
      </c>
      <c r="QMF538" s="22" t="e">
        <f ca="1"/>
        <v>#N/A</v>
      </c>
      <c r="QMG538" s="22" t="e">
        <f ca="1"/>
        <v>#N/A</v>
      </c>
      <c r="QMH538" s="22" t="e">
        <f ca="1"/>
        <v>#N/A</v>
      </c>
      <c r="QMI538" s="22" t="e">
        <f ca="1"/>
        <v>#N/A</v>
      </c>
      <c r="QMJ538" s="22" t="e">
        <f ca="1"/>
        <v>#N/A</v>
      </c>
      <c r="QMK538" s="22" t="e">
        <f ca="1"/>
        <v>#N/A</v>
      </c>
      <c r="QML538" s="22" t="e">
        <f ca="1"/>
        <v>#N/A</v>
      </c>
      <c r="QMM538" s="22" t="e">
        <f ca="1"/>
        <v>#N/A</v>
      </c>
      <c r="QMN538" s="22" t="e">
        <f ca="1"/>
        <v>#N/A</v>
      </c>
      <c r="QMO538" s="22" t="e">
        <f ca="1"/>
        <v>#N/A</v>
      </c>
      <c r="QMP538" s="22" t="e">
        <f ca="1"/>
        <v>#N/A</v>
      </c>
      <c r="QMQ538" s="22" t="e">
        <f ca="1"/>
        <v>#N/A</v>
      </c>
      <c r="QMR538" s="22" t="e">
        <f ca="1"/>
        <v>#N/A</v>
      </c>
      <c r="QMS538" s="22" t="e">
        <f ca="1"/>
        <v>#N/A</v>
      </c>
      <c r="QMT538" s="22" t="e">
        <f ca="1"/>
        <v>#N/A</v>
      </c>
      <c r="QMU538" s="22" t="e">
        <f ca="1"/>
        <v>#N/A</v>
      </c>
      <c r="QMV538" s="22" t="e">
        <f ca="1"/>
        <v>#N/A</v>
      </c>
      <c r="QMW538" s="22" t="e">
        <f ca="1"/>
        <v>#N/A</v>
      </c>
      <c r="QMX538" s="22" t="e">
        <f ca="1"/>
        <v>#N/A</v>
      </c>
      <c r="QMY538" s="22" t="e">
        <f ca="1"/>
        <v>#N/A</v>
      </c>
      <c r="QMZ538" s="22" t="e">
        <f ca="1"/>
        <v>#N/A</v>
      </c>
      <c r="QNA538" s="22" t="e">
        <f ca="1"/>
        <v>#N/A</v>
      </c>
      <c r="QNB538" s="22" t="e">
        <f ca="1"/>
        <v>#N/A</v>
      </c>
      <c r="QNC538" s="22" t="e">
        <f ca="1"/>
        <v>#N/A</v>
      </c>
      <c r="QND538" s="22" t="e">
        <f ca="1"/>
        <v>#N/A</v>
      </c>
      <c r="QNE538" s="22" t="e">
        <f ca="1"/>
        <v>#N/A</v>
      </c>
      <c r="QNF538" s="22" t="e">
        <f ca="1"/>
        <v>#N/A</v>
      </c>
      <c r="QNG538" s="22" t="e">
        <f ca="1"/>
        <v>#N/A</v>
      </c>
      <c r="QNH538" s="22" t="e">
        <f ca="1"/>
        <v>#N/A</v>
      </c>
      <c r="QNI538" s="22" t="e">
        <f ca="1"/>
        <v>#N/A</v>
      </c>
      <c r="QNJ538" s="22" t="e">
        <f ca="1"/>
        <v>#N/A</v>
      </c>
      <c r="QNK538" s="22" t="e">
        <f ca="1"/>
        <v>#N/A</v>
      </c>
      <c r="QNL538" s="22" t="e">
        <f ca="1"/>
        <v>#N/A</v>
      </c>
      <c r="QNM538" s="22" t="e">
        <f ca="1"/>
        <v>#N/A</v>
      </c>
      <c r="QNN538" s="22" t="e">
        <f ca="1"/>
        <v>#N/A</v>
      </c>
      <c r="QNO538" s="22" t="e">
        <f ca="1"/>
        <v>#N/A</v>
      </c>
      <c r="QNP538" s="22" t="e">
        <f ca="1"/>
        <v>#N/A</v>
      </c>
      <c r="QNQ538" s="22" t="e">
        <f ca="1"/>
        <v>#N/A</v>
      </c>
      <c r="QNR538" s="22" t="e">
        <f ca="1"/>
        <v>#N/A</v>
      </c>
      <c r="QNS538" s="22" t="e">
        <f ca="1"/>
        <v>#N/A</v>
      </c>
      <c r="QNT538" s="22" t="e">
        <f ca="1"/>
        <v>#N/A</v>
      </c>
      <c r="QNU538" s="22" t="e">
        <f ca="1"/>
        <v>#N/A</v>
      </c>
      <c r="QNV538" s="22" t="e">
        <f ca="1"/>
        <v>#N/A</v>
      </c>
      <c r="QNW538" s="22" t="e">
        <f ca="1"/>
        <v>#N/A</v>
      </c>
      <c r="QNX538" s="22" t="e">
        <f ca="1"/>
        <v>#N/A</v>
      </c>
      <c r="QNY538" s="22" t="e">
        <f ca="1"/>
        <v>#N/A</v>
      </c>
      <c r="QNZ538" s="22" t="e">
        <f ca="1"/>
        <v>#N/A</v>
      </c>
      <c r="QOA538" s="22" t="e">
        <f ca="1"/>
        <v>#N/A</v>
      </c>
      <c r="QOB538" s="22" t="e">
        <f ca="1"/>
        <v>#N/A</v>
      </c>
      <c r="QOC538" s="22" t="e">
        <f ca="1"/>
        <v>#N/A</v>
      </c>
      <c r="QOD538" s="22" t="e">
        <f ca="1"/>
        <v>#N/A</v>
      </c>
      <c r="QOE538" s="22" t="e">
        <f ca="1"/>
        <v>#N/A</v>
      </c>
      <c r="QOF538" s="22" t="e">
        <f ca="1"/>
        <v>#N/A</v>
      </c>
      <c r="QOG538" s="22" t="e">
        <f ca="1"/>
        <v>#N/A</v>
      </c>
      <c r="QOH538" s="22" t="e">
        <f ca="1"/>
        <v>#N/A</v>
      </c>
      <c r="QOI538" s="22" t="e">
        <f ca="1"/>
        <v>#N/A</v>
      </c>
      <c r="QOJ538" s="22" t="e">
        <f ca="1"/>
        <v>#N/A</v>
      </c>
      <c r="QOK538" s="22" t="e">
        <f ca="1"/>
        <v>#N/A</v>
      </c>
      <c r="QOL538" s="22" t="e">
        <f ca="1"/>
        <v>#N/A</v>
      </c>
      <c r="QOM538" s="22" t="e">
        <f ca="1"/>
        <v>#N/A</v>
      </c>
      <c r="QON538" s="22" t="e">
        <f ca="1"/>
        <v>#N/A</v>
      </c>
      <c r="QOO538" s="22" t="e">
        <f ca="1"/>
        <v>#N/A</v>
      </c>
      <c r="QOP538" s="22" t="e">
        <f ca="1"/>
        <v>#N/A</v>
      </c>
      <c r="QOQ538" s="22" t="e">
        <f ca="1"/>
        <v>#N/A</v>
      </c>
      <c r="QOR538" s="22" t="e">
        <f ca="1"/>
        <v>#N/A</v>
      </c>
      <c r="QOS538" s="22" t="e">
        <f ca="1"/>
        <v>#N/A</v>
      </c>
      <c r="QOT538" s="22" t="e">
        <f ca="1"/>
        <v>#N/A</v>
      </c>
      <c r="QOU538" s="22" t="e">
        <f ca="1"/>
        <v>#N/A</v>
      </c>
      <c r="QOV538" s="22" t="e">
        <f ca="1"/>
        <v>#N/A</v>
      </c>
      <c r="QOW538" s="22" t="e">
        <f ca="1"/>
        <v>#N/A</v>
      </c>
      <c r="QOX538" s="22" t="e">
        <f ca="1"/>
        <v>#N/A</v>
      </c>
      <c r="QOY538" s="22" t="e">
        <f ca="1"/>
        <v>#N/A</v>
      </c>
      <c r="QOZ538" s="22" t="e">
        <f ca="1"/>
        <v>#N/A</v>
      </c>
      <c r="QPA538" s="22" t="e">
        <f ca="1"/>
        <v>#N/A</v>
      </c>
      <c r="QPB538" s="22" t="e">
        <f ca="1"/>
        <v>#N/A</v>
      </c>
      <c r="QPC538" s="22" t="e">
        <f ca="1"/>
        <v>#N/A</v>
      </c>
      <c r="QPD538" s="22" t="e">
        <f ca="1"/>
        <v>#N/A</v>
      </c>
      <c r="QPE538" s="22" t="e">
        <f ca="1"/>
        <v>#N/A</v>
      </c>
      <c r="QPF538" s="22" t="e">
        <f ca="1"/>
        <v>#N/A</v>
      </c>
      <c r="QPG538" s="22" t="e">
        <f ca="1"/>
        <v>#N/A</v>
      </c>
      <c r="QPH538" s="22" t="e">
        <f ca="1"/>
        <v>#N/A</v>
      </c>
      <c r="QPI538" s="22" t="e">
        <f ca="1"/>
        <v>#N/A</v>
      </c>
      <c r="QPJ538" s="22" t="e">
        <f ca="1"/>
        <v>#N/A</v>
      </c>
      <c r="QPK538" s="22" t="e">
        <f ca="1"/>
        <v>#N/A</v>
      </c>
      <c r="QPL538" s="22" t="e">
        <f ca="1"/>
        <v>#N/A</v>
      </c>
      <c r="QPM538" s="22" t="e">
        <f ca="1"/>
        <v>#N/A</v>
      </c>
      <c r="QPN538" s="22" t="e">
        <f ca="1"/>
        <v>#N/A</v>
      </c>
      <c r="QPO538" s="22" t="e">
        <f ca="1"/>
        <v>#N/A</v>
      </c>
      <c r="QPP538" s="22" t="e">
        <f ca="1"/>
        <v>#N/A</v>
      </c>
      <c r="QPQ538" s="22" t="e">
        <f ca="1"/>
        <v>#N/A</v>
      </c>
      <c r="QPR538" s="22" t="e">
        <f ca="1"/>
        <v>#N/A</v>
      </c>
      <c r="QPS538" s="22" t="e">
        <f ca="1"/>
        <v>#N/A</v>
      </c>
      <c r="QPT538" s="22" t="e">
        <f ca="1"/>
        <v>#N/A</v>
      </c>
      <c r="QPU538" s="22" t="e">
        <f ca="1"/>
        <v>#N/A</v>
      </c>
      <c r="QPV538" s="22" t="e">
        <f ca="1"/>
        <v>#N/A</v>
      </c>
      <c r="QPW538" s="22" t="e">
        <f ca="1"/>
        <v>#N/A</v>
      </c>
      <c r="QPX538" s="22" t="e">
        <f ca="1"/>
        <v>#N/A</v>
      </c>
      <c r="QPY538" s="22" t="e">
        <f ca="1"/>
        <v>#N/A</v>
      </c>
      <c r="QPZ538" s="22" t="e">
        <f ca="1"/>
        <v>#N/A</v>
      </c>
      <c r="QQA538" s="22" t="e">
        <f ca="1"/>
        <v>#N/A</v>
      </c>
      <c r="QQB538" s="22" t="e">
        <f ca="1"/>
        <v>#N/A</v>
      </c>
      <c r="QQC538" s="22" t="e">
        <f ca="1"/>
        <v>#N/A</v>
      </c>
      <c r="QQD538" s="22" t="e">
        <f ca="1"/>
        <v>#N/A</v>
      </c>
      <c r="QQE538" s="22" t="e">
        <f ca="1"/>
        <v>#N/A</v>
      </c>
      <c r="QQF538" s="22" t="e">
        <f ca="1"/>
        <v>#N/A</v>
      </c>
      <c r="QQG538" s="22" t="e">
        <f ca="1"/>
        <v>#N/A</v>
      </c>
      <c r="QQH538" s="22" t="e">
        <f ca="1"/>
        <v>#N/A</v>
      </c>
      <c r="QQI538" s="22" t="e">
        <f ca="1"/>
        <v>#N/A</v>
      </c>
      <c r="QQJ538" s="22" t="e">
        <f ca="1"/>
        <v>#N/A</v>
      </c>
      <c r="QQK538" s="22" t="e">
        <f ca="1"/>
        <v>#N/A</v>
      </c>
      <c r="QQL538" s="22" t="e">
        <f ca="1"/>
        <v>#N/A</v>
      </c>
      <c r="QQM538" s="22" t="e">
        <f ca="1"/>
        <v>#N/A</v>
      </c>
      <c r="QQN538" s="22" t="e">
        <f ca="1"/>
        <v>#N/A</v>
      </c>
      <c r="QQO538" s="22" t="e">
        <f ca="1"/>
        <v>#N/A</v>
      </c>
      <c r="QQP538" s="22" t="e">
        <f ca="1"/>
        <v>#N/A</v>
      </c>
      <c r="QQQ538" s="22" t="e">
        <f ca="1"/>
        <v>#N/A</v>
      </c>
      <c r="QQR538" s="22" t="e">
        <f ca="1"/>
        <v>#N/A</v>
      </c>
      <c r="QQS538" s="22" t="e">
        <f ca="1"/>
        <v>#N/A</v>
      </c>
      <c r="QQT538" s="22" t="e">
        <f ca="1"/>
        <v>#N/A</v>
      </c>
      <c r="QQU538" s="22" t="e">
        <f ca="1"/>
        <v>#N/A</v>
      </c>
      <c r="QQV538" s="22" t="e">
        <f ca="1"/>
        <v>#N/A</v>
      </c>
      <c r="QQW538" s="22" t="e">
        <f ca="1"/>
        <v>#N/A</v>
      </c>
      <c r="QQX538" s="22" t="e">
        <f ca="1"/>
        <v>#N/A</v>
      </c>
      <c r="QQY538" s="22" t="e">
        <f ca="1"/>
        <v>#N/A</v>
      </c>
      <c r="QQZ538" s="22" t="e">
        <f ca="1"/>
        <v>#N/A</v>
      </c>
      <c r="QRA538" s="22" t="e">
        <f ca="1"/>
        <v>#N/A</v>
      </c>
      <c r="QRB538" s="22" t="e">
        <f ca="1"/>
        <v>#N/A</v>
      </c>
      <c r="QRC538" s="22" t="e">
        <f ca="1"/>
        <v>#N/A</v>
      </c>
      <c r="QRD538" s="22" t="e">
        <f ca="1"/>
        <v>#N/A</v>
      </c>
      <c r="QRE538" s="22" t="e">
        <f ca="1"/>
        <v>#N/A</v>
      </c>
      <c r="QRF538" s="22" t="e">
        <f ca="1"/>
        <v>#N/A</v>
      </c>
      <c r="QRG538" s="22" t="e">
        <f ca="1"/>
        <v>#N/A</v>
      </c>
      <c r="QRH538" s="22" t="e">
        <f ca="1"/>
        <v>#N/A</v>
      </c>
      <c r="QRI538" s="22" t="e">
        <f ca="1"/>
        <v>#N/A</v>
      </c>
      <c r="QRJ538" s="22" t="e">
        <f ca="1"/>
        <v>#N/A</v>
      </c>
      <c r="QRK538" s="22" t="e">
        <f ca="1"/>
        <v>#N/A</v>
      </c>
      <c r="QRL538" s="22" t="e">
        <f ca="1"/>
        <v>#N/A</v>
      </c>
      <c r="QRM538" s="22" t="e">
        <f ca="1"/>
        <v>#N/A</v>
      </c>
      <c r="QRN538" s="22" t="e">
        <f ca="1"/>
        <v>#N/A</v>
      </c>
      <c r="QRO538" s="22" t="e">
        <f ca="1"/>
        <v>#N/A</v>
      </c>
      <c r="QRP538" s="22" t="e">
        <f ca="1"/>
        <v>#N/A</v>
      </c>
      <c r="QRQ538" s="22" t="e">
        <f ca="1"/>
        <v>#N/A</v>
      </c>
      <c r="QRR538" s="22" t="e">
        <f ca="1"/>
        <v>#N/A</v>
      </c>
      <c r="QRS538" s="22" t="e">
        <f ca="1"/>
        <v>#N/A</v>
      </c>
      <c r="QRT538" s="22" t="e">
        <f ca="1"/>
        <v>#N/A</v>
      </c>
      <c r="QRU538" s="22" t="e">
        <f ca="1"/>
        <v>#N/A</v>
      </c>
      <c r="QRV538" s="22" t="e">
        <f ca="1"/>
        <v>#N/A</v>
      </c>
      <c r="QRW538" s="22" t="e">
        <f ca="1"/>
        <v>#N/A</v>
      </c>
      <c r="QRX538" s="22" t="e">
        <f ca="1"/>
        <v>#N/A</v>
      </c>
      <c r="QRY538" s="22" t="e">
        <f ca="1"/>
        <v>#N/A</v>
      </c>
      <c r="QRZ538" s="22" t="e">
        <f ca="1"/>
        <v>#N/A</v>
      </c>
      <c r="QSA538" s="22" t="e">
        <f ca="1"/>
        <v>#N/A</v>
      </c>
      <c r="QSB538" s="22" t="e">
        <f ca="1"/>
        <v>#N/A</v>
      </c>
      <c r="QSC538" s="22" t="e">
        <f ca="1"/>
        <v>#N/A</v>
      </c>
      <c r="QSD538" s="22" t="e">
        <f ca="1"/>
        <v>#N/A</v>
      </c>
      <c r="QSE538" s="22" t="e">
        <f ca="1"/>
        <v>#N/A</v>
      </c>
      <c r="QSF538" s="22" t="e">
        <f ca="1"/>
        <v>#N/A</v>
      </c>
      <c r="QSG538" s="22" t="e">
        <f ca="1"/>
        <v>#N/A</v>
      </c>
      <c r="QSH538" s="22" t="e">
        <f ca="1"/>
        <v>#N/A</v>
      </c>
      <c r="QSI538" s="22" t="e">
        <f ca="1"/>
        <v>#N/A</v>
      </c>
      <c r="QSJ538" s="22" t="e">
        <f ca="1"/>
        <v>#N/A</v>
      </c>
      <c r="QSK538" s="22" t="e">
        <f ca="1"/>
        <v>#N/A</v>
      </c>
      <c r="QSL538" s="22" t="e">
        <f ca="1"/>
        <v>#N/A</v>
      </c>
      <c r="QSM538" s="22" t="e">
        <f ca="1"/>
        <v>#N/A</v>
      </c>
      <c r="QSN538" s="22" t="e">
        <f ca="1"/>
        <v>#N/A</v>
      </c>
      <c r="QSO538" s="22" t="e">
        <f ca="1"/>
        <v>#N/A</v>
      </c>
      <c r="QSP538" s="22" t="e">
        <f ca="1"/>
        <v>#N/A</v>
      </c>
      <c r="QSQ538" s="22" t="e">
        <f ca="1"/>
        <v>#N/A</v>
      </c>
      <c r="QSR538" s="22" t="e">
        <f ca="1"/>
        <v>#N/A</v>
      </c>
      <c r="QSS538" s="22" t="e">
        <f ca="1"/>
        <v>#N/A</v>
      </c>
      <c r="QST538" s="22" t="e">
        <f ca="1"/>
        <v>#N/A</v>
      </c>
      <c r="QSU538" s="22" t="e">
        <f ca="1"/>
        <v>#N/A</v>
      </c>
      <c r="QSV538" s="22" t="e">
        <f ca="1"/>
        <v>#N/A</v>
      </c>
      <c r="QSW538" s="22" t="e">
        <f ca="1"/>
        <v>#N/A</v>
      </c>
      <c r="QSX538" s="22" t="e">
        <f ca="1"/>
        <v>#N/A</v>
      </c>
      <c r="QSY538" s="22" t="e">
        <f ca="1"/>
        <v>#N/A</v>
      </c>
      <c r="QSZ538" s="22" t="e">
        <f ca="1"/>
        <v>#N/A</v>
      </c>
      <c r="QTA538" s="22" t="e">
        <f ca="1"/>
        <v>#N/A</v>
      </c>
      <c r="QTB538" s="22" t="e">
        <f ca="1"/>
        <v>#N/A</v>
      </c>
      <c r="QTC538" s="22" t="e">
        <f ca="1"/>
        <v>#N/A</v>
      </c>
      <c r="QTD538" s="22" t="e">
        <f ca="1"/>
        <v>#N/A</v>
      </c>
      <c r="QTE538" s="22" t="e">
        <f ca="1"/>
        <v>#N/A</v>
      </c>
      <c r="QTF538" s="22" t="e">
        <f ca="1"/>
        <v>#N/A</v>
      </c>
      <c r="QTG538" s="22" t="e">
        <f ca="1"/>
        <v>#N/A</v>
      </c>
      <c r="QTH538" s="22" t="e">
        <f ca="1"/>
        <v>#N/A</v>
      </c>
      <c r="QTI538" s="22" t="e">
        <f ca="1"/>
        <v>#N/A</v>
      </c>
      <c r="QTJ538" s="22" t="e">
        <f ca="1"/>
        <v>#N/A</v>
      </c>
      <c r="QTK538" s="22" t="e">
        <f ca="1"/>
        <v>#N/A</v>
      </c>
      <c r="QTL538" s="22" t="e">
        <f ca="1"/>
        <v>#N/A</v>
      </c>
      <c r="QTM538" s="22" t="e">
        <f ca="1"/>
        <v>#N/A</v>
      </c>
      <c r="QTN538" s="22" t="e">
        <f ca="1"/>
        <v>#N/A</v>
      </c>
      <c r="QTO538" s="22" t="e">
        <f ca="1"/>
        <v>#N/A</v>
      </c>
      <c r="QTP538" s="22" t="e">
        <f ca="1"/>
        <v>#N/A</v>
      </c>
      <c r="QTQ538" s="22" t="e">
        <f ca="1"/>
        <v>#N/A</v>
      </c>
      <c r="QTR538" s="22" t="e">
        <f ca="1"/>
        <v>#N/A</v>
      </c>
      <c r="QTS538" s="22" t="e">
        <f ca="1"/>
        <v>#N/A</v>
      </c>
      <c r="QTT538" s="22" t="e">
        <f ca="1"/>
        <v>#N/A</v>
      </c>
      <c r="QTU538" s="22" t="e">
        <f ca="1"/>
        <v>#N/A</v>
      </c>
      <c r="QTV538" s="22" t="e">
        <f ca="1"/>
        <v>#N/A</v>
      </c>
      <c r="QTW538" s="22" t="e">
        <f ca="1"/>
        <v>#N/A</v>
      </c>
      <c r="QTX538" s="22" t="e">
        <f ca="1"/>
        <v>#N/A</v>
      </c>
      <c r="QTY538" s="22" t="e">
        <f ca="1"/>
        <v>#N/A</v>
      </c>
      <c r="QTZ538" s="22" t="e">
        <f ca="1"/>
        <v>#N/A</v>
      </c>
      <c r="QUA538" s="22" t="e">
        <f ca="1"/>
        <v>#N/A</v>
      </c>
      <c r="QUB538" s="22" t="e">
        <f ca="1"/>
        <v>#N/A</v>
      </c>
      <c r="QUC538" s="22" t="e">
        <f ca="1"/>
        <v>#N/A</v>
      </c>
      <c r="QUD538" s="22" t="e">
        <f ca="1"/>
        <v>#N/A</v>
      </c>
      <c r="QUE538" s="22" t="e">
        <f ca="1"/>
        <v>#N/A</v>
      </c>
      <c r="QUF538" s="22" t="e">
        <f ca="1"/>
        <v>#N/A</v>
      </c>
      <c r="QUG538" s="22" t="e">
        <f ca="1"/>
        <v>#N/A</v>
      </c>
      <c r="QUH538" s="22" t="e">
        <f ca="1"/>
        <v>#N/A</v>
      </c>
      <c r="QUI538" s="22" t="e">
        <f ca="1"/>
        <v>#N/A</v>
      </c>
      <c r="QUJ538" s="22" t="e">
        <f ca="1"/>
        <v>#N/A</v>
      </c>
      <c r="QUK538" s="22" t="e">
        <f ca="1"/>
        <v>#N/A</v>
      </c>
      <c r="QUL538" s="22" t="e">
        <f ca="1"/>
        <v>#N/A</v>
      </c>
      <c r="QUM538" s="22" t="e">
        <f ca="1"/>
        <v>#N/A</v>
      </c>
      <c r="QUN538" s="22" t="e">
        <f ca="1"/>
        <v>#N/A</v>
      </c>
      <c r="QUO538" s="22" t="e">
        <f ca="1"/>
        <v>#N/A</v>
      </c>
      <c r="QUP538" s="22" t="e">
        <f ca="1"/>
        <v>#N/A</v>
      </c>
      <c r="QUQ538" s="22" t="e">
        <f ca="1"/>
        <v>#N/A</v>
      </c>
      <c r="QUR538" s="22" t="e">
        <f ca="1"/>
        <v>#N/A</v>
      </c>
      <c r="QUS538" s="22" t="e">
        <f ca="1"/>
        <v>#N/A</v>
      </c>
      <c r="QUT538" s="22" t="e">
        <f ca="1"/>
        <v>#N/A</v>
      </c>
      <c r="QUU538" s="22" t="e">
        <f ca="1"/>
        <v>#N/A</v>
      </c>
      <c r="QUV538" s="22" t="e">
        <f ca="1"/>
        <v>#N/A</v>
      </c>
      <c r="QUW538" s="22" t="e">
        <f ca="1"/>
        <v>#N/A</v>
      </c>
      <c r="QUX538" s="22" t="e">
        <f ca="1"/>
        <v>#N/A</v>
      </c>
      <c r="QUY538" s="22" t="e">
        <f ca="1"/>
        <v>#N/A</v>
      </c>
      <c r="QUZ538" s="22" t="e">
        <f ca="1"/>
        <v>#N/A</v>
      </c>
      <c r="QVA538" s="22" t="e">
        <f ca="1"/>
        <v>#N/A</v>
      </c>
      <c r="QVB538" s="22" t="e">
        <f ca="1"/>
        <v>#N/A</v>
      </c>
      <c r="QVC538" s="22" t="e">
        <f ca="1"/>
        <v>#N/A</v>
      </c>
      <c r="QVD538" s="22" t="e">
        <f ca="1"/>
        <v>#N/A</v>
      </c>
      <c r="QVE538" s="22" t="e">
        <f ca="1"/>
        <v>#N/A</v>
      </c>
      <c r="QVF538" s="22" t="e">
        <f ca="1"/>
        <v>#N/A</v>
      </c>
      <c r="QVG538" s="22" t="e">
        <f ca="1"/>
        <v>#N/A</v>
      </c>
      <c r="QVH538" s="22" t="e">
        <f ca="1"/>
        <v>#N/A</v>
      </c>
      <c r="QVI538" s="22" t="e">
        <f ca="1"/>
        <v>#N/A</v>
      </c>
      <c r="QVJ538" s="22" t="e">
        <f ca="1"/>
        <v>#N/A</v>
      </c>
      <c r="QVK538" s="22" t="e">
        <f ca="1"/>
        <v>#N/A</v>
      </c>
      <c r="QVL538" s="22" t="e">
        <f ca="1"/>
        <v>#N/A</v>
      </c>
      <c r="QVM538" s="22" t="e">
        <f ca="1"/>
        <v>#N/A</v>
      </c>
      <c r="QVN538" s="22" t="e">
        <f ca="1"/>
        <v>#N/A</v>
      </c>
      <c r="QVO538" s="22" t="e">
        <f ca="1"/>
        <v>#N/A</v>
      </c>
      <c r="QVP538" s="22" t="e">
        <f ca="1"/>
        <v>#N/A</v>
      </c>
      <c r="QVQ538" s="22" t="e">
        <f ca="1"/>
        <v>#N/A</v>
      </c>
      <c r="QVR538" s="22" t="e">
        <f ca="1"/>
        <v>#N/A</v>
      </c>
      <c r="QVS538" s="22" t="e">
        <f ca="1"/>
        <v>#N/A</v>
      </c>
      <c r="QVT538" s="22" t="e">
        <f ca="1"/>
        <v>#N/A</v>
      </c>
      <c r="QVU538" s="22" t="e">
        <f ca="1"/>
        <v>#N/A</v>
      </c>
      <c r="QVV538" s="22" t="e">
        <f ca="1"/>
        <v>#N/A</v>
      </c>
      <c r="QVW538" s="22" t="e">
        <f ca="1"/>
        <v>#N/A</v>
      </c>
      <c r="QVX538" s="22" t="e">
        <f ca="1"/>
        <v>#N/A</v>
      </c>
      <c r="QVY538" s="22" t="e">
        <f ca="1"/>
        <v>#N/A</v>
      </c>
      <c r="QVZ538" s="22" t="e">
        <f ca="1"/>
        <v>#N/A</v>
      </c>
      <c r="QWA538" s="22" t="e">
        <f ca="1"/>
        <v>#N/A</v>
      </c>
      <c r="QWB538" s="22" t="e">
        <f ca="1"/>
        <v>#N/A</v>
      </c>
      <c r="QWC538" s="22" t="e">
        <f ca="1"/>
        <v>#N/A</v>
      </c>
      <c r="QWD538" s="22" t="e">
        <f ca="1"/>
        <v>#N/A</v>
      </c>
      <c r="QWE538" s="22" t="e">
        <f ca="1"/>
        <v>#N/A</v>
      </c>
      <c r="QWF538" s="22" t="e">
        <f ca="1"/>
        <v>#N/A</v>
      </c>
      <c r="QWG538" s="22" t="e">
        <f ca="1"/>
        <v>#N/A</v>
      </c>
      <c r="QWH538" s="22" t="e">
        <f ca="1"/>
        <v>#N/A</v>
      </c>
      <c r="QWI538" s="22" t="e">
        <f ca="1"/>
        <v>#N/A</v>
      </c>
      <c r="QWJ538" s="22" t="e">
        <f ca="1"/>
        <v>#N/A</v>
      </c>
      <c r="QWK538" s="22" t="e">
        <f ca="1"/>
        <v>#N/A</v>
      </c>
      <c r="QWL538" s="22" t="e">
        <f ca="1"/>
        <v>#N/A</v>
      </c>
      <c r="QWM538" s="22" t="e">
        <f ca="1"/>
        <v>#N/A</v>
      </c>
      <c r="QWN538" s="22" t="e">
        <f ca="1"/>
        <v>#N/A</v>
      </c>
      <c r="QWO538" s="22" t="e">
        <f ca="1"/>
        <v>#N/A</v>
      </c>
      <c r="QWP538" s="22" t="e">
        <f ca="1"/>
        <v>#N/A</v>
      </c>
      <c r="QWQ538" s="22" t="e">
        <f ca="1"/>
        <v>#N/A</v>
      </c>
      <c r="QWR538" s="22" t="e">
        <f ca="1"/>
        <v>#N/A</v>
      </c>
      <c r="QWS538" s="22" t="e">
        <f ca="1"/>
        <v>#N/A</v>
      </c>
      <c r="QWT538" s="22" t="e">
        <f ca="1"/>
        <v>#N/A</v>
      </c>
      <c r="QWU538" s="22" t="e">
        <f ca="1"/>
        <v>#N/A</v>
      </c>
      <c r="QWV538" s="22" t="e">
        <f ca="1"/>
        <v>#N/A</v>
      </c>
      <c r="QWW538" s="22" t="e">
        <f ca="1"/>
        <v>#N/A</v>
      </c>
      <c r="QWX538" s="22" t="e">
        <f ca="1"/>
        <v>#N/A</v>
      </c>
      <c r="QWY538" s="22" t="e">
        <f ca="1"/>
        <v>#N/A</v>
      </c>
      <c r="QWZ538" s="22" t="e">
        <f ca="1"/>
        <v>#N/A</v>
      </c>
      <c r="QXA538" s="22" t="e">
        <f ca="1"/>
        <v>#N/A</v>
      </c>
      <c r="QXB538" s="22" t="e">
        <f ca="1"/>
        <v>#N/A</v>
      </c>
      <c r="QXC538" s="22" t="e">
        <f ca="1"/>
        <v>#N/A</v>
      </c>
      <c r="QXD538" s="22" t="e">
        <f ca="1"/>
        <v>#N/A</v>
      </c>
      <c r="QXE538" s="22" t="e">
        <f ca="1"/>
        <v>#N/A</v>
      </c>
      <c r="QXF538" s="22" t="e">
        <f ca="1"/>
        <v>#N/A</v>
      </c>
      <c r="QXG538" s="22" t="e">
        <f ca="1"/>
        <v>#N/A</v>
      </c>
      <c r="QXH538" s="22" t="e">
        <f ca="1"/>
        <v>#N/A</v>
      </c>
      <c r="QXI538" s="22" t="e">
        <f ca="1"/>
        <v>#N/A</v>
      </c>
      <c r="QXJ538" s="22" t="e">
        <f ca="1"/>
        <v>#N/A</v>
      </c>
      <c r="QXK538" s="22" t="e">
        <f ca="1"/>
        <v>#N/A</v>
      </c>
      <c r="QXL538" s="22" t="e">
        <f ca="1"/>
        <v>#N/A</v>
      </c>
      <c r="QXM538" s="22" t="e">
        <f ca="1"/>
        <v>#N/A</v>
      </c>
      <c r="QXN538" s="22" t="e">
        <f ca="1"/>
        <v>#N/A</v>
      </c>
      <c r="QXO538" s="22" t="e">
        <f ca="1"/>
        <v>#N/A</v>
      </c>
      <c r="QXP538" s="22" t="e">
        <f ca="1"/>
        <v>#N/A</v>
      </c>
      <c r="QXQ538" s="22" t="e">
        <f ca="1"/>
        <v>#N/A</v>
      </c>
      <c r="QXR538" s="22" t="e">
        <f ca="1"/>
        <v>#N/A</v>
      </c>
      <c r="QXS538" s="22" t="e">
        <f ca="1"/>
        <v>#N/A</v>
      </c>
      <c r="QXT538" s="22" t="e">
        <f ca="1"/>
        <v>#N/A</v>
      </c>
      <c r="QXU538" s="22" t="e">
        <f ca="1"/>
        <v>#N/A</v>
      </c>
      <c r="QXV538" s="22" t="e">
        <f ca="1"/>
        <v>#N/A</v>
      </c>
      <c r="QXW538" s="22" t="e">
        <f ca="1"/>
        <v>#N/A</v>
      </c>
      <c r="QXX538" s="22" t="e">
        <f ca="1"/>
        <v>#N/A</v>
      </c>
      <c r="QXY538" s="22" t="e">
        <f ca="1"/>
        <v>#N/A</v>
      </c>
      <c r="QXZ538" s="22" t="e">
        <f ca="1"/>
        <v>#N/A</v>
      </c>
      <c r="QYA538" s="22" t="e">
        <f ca="1"/>
        <v>#N/A</v>
      </c>
      <c r="QYB538" s="22" t="e">
        <f ca="1"/>
        <v>#N/A</v>
      </c>
      <c r="QYC538" s="22" t="e">
        <f ca="1"/>
        <v>#N/A</v>
      </c>
      <c r="QYD538" s="22" t="e">
        <f ca="1"/>
        <v>#N/A</v>
      </c>
      <c r="QYE538" s="22" t="e">
        <f ca="1"/>
        <v>#N/A</v>
      </c>
      <c r="QYF538" s="22" t="e">
        <f ca="1"/>
        <v>#N/A</v>
      </c>
      <c r="QYG538" s="22" t="e">
        <f ca="1"/>
        <v>#N/A</v>
      </c>
      <c r="QYH538" s="22" t="e">
        <f ca="1"/>
        <v>#N/A</v>
      </c>
      <c r="QYI538" s="22" t="e">
        <f ca="1"/>
        <v>#N/A</v>
      </c>
      <c r="QYJ538" s="22" t="e">
        <f ca="1"/>
        <v>#N/A</v>
      </c>
      <c r="QYK538" s="22" t="e">
        <f ca="1"/>
        <v>#N/A</v>
      </c>
      <c r="QYL538" s="22" t="e">
        <f ca="1"/>
        <v>#N/A</v>
      </c>
      <c r="QYM538" s="22" t="e">
        <f ca="1"/>
        <v>#N/A</v>
      </c>
      <c r="QYN538" s="22" t="e">
        <f ca="1"/>
        <v>#N/A</v>
      </c>
      <c r="QYO538" s="22" t="e">
        <f ca="1"/>
        <v>#N/A</v>
      </c>
      <c r="QYP538" s="22" t="e">
        <f ca="1"/>
        <v>#N/A</v>
      </c>
      <c r="QYQ538" s="22" t="e">
        <f ca="1"/>
        <v>#N/A</v>
      </c>
      <c r="QYR538" s="22" t="e">
        <f ca="1"/>
        <v>#N/A</v>
      </c>
      <c r="QYS538" s="22" t="e">
        <f ca="1"/>
        <v>#N/A</v>
      </c>
      <c r="QYT538" s="22" t="e">
        <f ca="1"/>
        <v>#N/A</v>
      </c>
      <c r="QYU538" s="22" t="e">
        <f ca="1"/>
        <v>#N/A</v>
      </c>
      <c r="QYV538" s="22" t="e">
        <f ca="1"/>
        <v>#N/A</v>
      </c>
      <c r="QYW538" s="22" t="e">
        <f ca="1"/>
        <v>#N/A</v>
      </c>
      <c r="QYX538" s="22" t="e">
        <f ca="1"/>
        <v>#N/A</v>
      </c>
      <c r="QYY538" s="22" t="e">
        <f ca="1"/>
        <v>#N/A</v>
      </c>
      <c r="QYZ538" s="22" t="e">
        <f ca="1"/>
        <v>#N/A</v>
      </c>
      <c r="QZA538" s="22" t="e">
        <f ca="1"/>
        <v>#N/A</v>
      </c>
      <c r="QZB538" s="22" t="e">
        <f ca="1"/>
        <v>#N/A</v>
      </c>
      <c r="QZC538" s="22" t="e">
        <f ca="1"/>
        <v>#N/A</v>
      </c>
      <c r="QZD538" s="22" t="e">
        <f ca="1"/>
        <v>#N/A</v>
      </c>
      <c r="QZE538" s="22" t="e">
        <f ca="1"/>
        <v>#N/A</v>
      </c>
      <c r="QZF538" s="22" t="e">
        <f ca="1"/>
        <v>#N/A</v>
      </c>
      <c r="QZG538" s="22" t="e">
        <f ca="1"/>
        <v>#N/A</v>
      </c>
      <c r="QZH538" s="22" t="e">
        <f ca="1"/>
        <v>#N/A</v>
      </c>
      <c r="QZI538" s="22" t="e">
        <f ca="1"/>
        <v>#N/A</v>
      </c>
      <c r="QZJ538" s="22" t="e">
        <f ca="1"/>
        <v>#N/A</v>
      </c>
      <c r="QZK538" s="22" t="e">
        <f ca="1"/>
        <v>#N/A</v>
      </c>
      <c r="QZL538" s="22" t="e">
        <f ca="1"/>
        <v>#N/A</v>
      </c>
      <c r="QZM538" s="22" t="e">
        <f ca="1"/>
        <v>#N/A</v>
      </c>
      <c r="QZN538" s="22" t="e">
        <f ca="1"/>
        <v>#N/A</v>
      </c>
      <c r="QZO538" s="22" t="e">
        <f ca="1"/>
        <v>#N/A</v>
      </c>
      <c r="QZP538" s="22" t="e">
        <f ca="1"/>
        <v>#N/A</v>
      </c>
      <c r="QZQ538" s="22" t="e">
        <f ca="1"/>
        <v>#N/A</v>
      </c>
      <c r="QZR538" s="22" t="e">
        <f ca="1"/>
        <v>#N/A</v>
      </c>
      <c r="QZS538" s="22" t="e">
        <f ca="1"/>
        <v>#N/A</v>
      </c>
      <c r="QZT538" s="22" t="e">
        <f ca="1"/>
        <v>#N/A</v>
      </c>
      <c r="QZU538" s="22" t="e">
        <f ca="1"/>
        <v>#N/A</v>
      </c>
      <c r="QZV538" s="22" t="e">
        <f ca="1"/>
        <v>#N/A</v>
      </c>
      <c r="QZW538" s="22" t="e">
        <f ca="1"/>
        <v>#N/A</v>
      </c>
      <c r="QZX538" s="22" t="e">
        <f ca="1"/>
        <v>#N/A</v>
      </c>
      <c r="QZY538" s="22" t="e">
        <f ca="1"/>
        <v>#N/A</v>
      </c>
      <c r="QZZ538" s="22" t="e">
        <f ca="1"/>
        <v>#N/A</v>
      </c>
      <c r="RAA538" s="22" t="e">
        <f ca="1"/>
        <v>#N/A</v>
      </c>
      <c r="RAB538" s="22" t="e">
        <f ca="1"/>
        <v>#N/A</v>
      </c>
      <c r="RAC538" s="22" t="e">
        <f ca="1"/>
        <v>#N/A</v>
      </c>
      <c r="RAD538" s="22" t="e">
        <f ca="1"/>
        <v>#N/A</v>
      </c>
      <c r="RAE538" s="22" t="e">
        <f ca="1"/>
        <v>#N/A</v>
      </c>
      <c r="RAF538" s="22" t="e">
        <f ca="1"/>
        <v>#N/A</v>
      </c>
      <c r="RAG538" s="22" t="e">
        <f ca="1"/>
        <v>#N/A</v>
      </c>
      <c r="RAH538" s="22" t="e">
        <f ca="1"/>
        <v>#N/A</v>
      </c>
      <c r="RAI538" s="22" t="e">
        <f ca="1"/>
        <v>#N/A</v>
      </c>
      <c r="RAJ538" s="22" t="e">
        <f ca="1"/>
        <v>#N/A</v>
      </c>
      <c r="RAK538" s="22" t="e">
        <f ca="1"/>
        <v>#N/A</v>
      </c>
      <c r="RAL538" s="22" t="e">
        <f ca="1"/>
        <v>#N/A</v>
      </c>
      <c r="RAM538" s="22" t="e">
        <f ca="1"/>
        <v>#N/A</v>
      </c>
      <c r="RAN538" s="22" t="e">
        <f ca="1"/>
        <v>#N/A</v>
      </c>
      <c r="RAO538" s="22" t="e">
        <f ca="1"/>
        <v>#N/A</v>
      </c>
      <c r="RAP538" s="22" t="e">
        <f ca="1"/>
        <v>#N/A</v>
      </c>
      <c r="RAQ538" s="22" t="e">
        <f ca="1"/>
        <v>#N/A</v>
      </c>
      <c r="RAR538" s="22" t="e">
        <f ca="1"/>
        <v>#N/A</v>
      </c>
      <c r="RAS538" s="22" t="e">
        <f ca="1"/>
        <v>#N/A</v>
      </c>
      <c r="RAT538" s="22" t="e">
        <f ca="1"/>
        <v>#N/A</v>
      </c>
      <c r="RAU538" s="22" t="e">
        <f ca="1"/>
        <v>#N/A</v>
      </c>
      <c r="RAV538" s="22" t="e">
        <f ca="1"/>
        <v>#N/A</v>
      </c>
      <c r="RAW538" s="22" t="e">
        <f ca="1"/>
        <v>#N/A</v>
      </c>
      <c r="RAX538" s="22" t="e">
        <f ca="1"/>
        <v>#N/A</v>
      </c>
      <c r="RAY538" s="22" t="e">
        <f ca="1"/>
        <v>#N/A</v>
      </c>
      <c r="RAZ538" s="22" t="e">
        <f ca="1"/>
        <v>#N/A</v>
      </c>
      <c r="RBA538" s="22" t="e">
        <f ca="1"/>
        <v>#N/A</v>
      </c>
      <c r="RBB538" s="22" t="e">
        <f ca="1"/>
        <v>#N/A</v>
      </c>
      <c r="RBC538" s="22" t="e">
        <f ca="1"/>
        <v>#N/A</v>
      </c>
      <c r="RBD538" s="22" t="e">
        <f ca="1"/>
        <v>#N/A</v>
      </c>
      <c r="RBE538" s="22" t="e">
        <f ca="1"/>
        <v>#N/A</v>
      </c>
      <c r="RBF538" s="22" t="e">
        <f ca="1"/>
        <v>#N/A</v>
      </c>
      <c r="RBG538" s="22" t="e">
        <f ca="1"/>
        <v>#N/A</v>
      </c>
      <c r="RBH538" s="22" t="e">
        <f ca="1"/>
        <v>#N/A</v>
      </c>
      <c r="RBI538" s="22" t="e">
        <f ca="1"/>
        <v>#N/A</v>
      </c>
      <c r="RBJ538" s="22" t="e">
        <f ca="1"/>
        <v>#N/A</v>
      </c>
      <c r="RBK538" s="22" t="e">
        <f ca="1"/>
        <v>#N/A</v>
      </c>
      <c r="RBL538" s="22" t="e">
        <f ca="1"/>
        <v>#N/A</v>
      </c>
      <c r="RBM538" s="22" t="e">
        <f ca="1"/>
        <v>#N/A</v>
      </c>
      <c r="RBN538" s="22" t="e">
        <f ca="1"/>
        <v>#N/A</v>
      </c>
      <c r="RBO538" s="22" t="e">
        <f ca="1"/>
        <v>#N/A</v>
      </c>
      <c r="RBP538" s="22" t="e">
        <f ca="1"/>
        <v>#N/A</v>
      </c>
      <c r="RBQ538" s="22" t="e">
        <f ca="1"/>
        <v>#N/A</v>
      </c>
      <c r="RBR538" s="22" t="e">
        <f ca="1"/>
        <v>#N/A</v>
      </c>
      <c r="RBS538" s="22" t="e">
        <f ca="1"/>
        <v>#N/A</v>
      </c>
      <c r="RBT538" s="22" t="e">
        <f ca="1"/>
        <v>#N/A</v>
      </c>
      <c r="RBU538" s="22" t="e">
        <f ca="1"/>
        <v>#N/A</v>
      </c>
      <c r="RBV538" s="22" t="e">
        <f ca="1"/>
        <v>#N/A</v>
      </c>
      <c r="RBW538" s="22" t="e">
        <f ca="1"/>
        <v>#N/A</v>
      </c>
      <c r="RBX538" s="22" t="e">
        <f ca="1"/>
        <v>#N/A</v>
      </c>
      <c r="RBY538" s="22" t="e">
        <f ca="1"/>
        <v>#N/A</v>
      </c>
      <c r="RBZ538" s="22" t="e">
        <f ca="1"/>
        <v>#N/A</v>
      </c>
      <c r="RCA538" s="22" t="e">
        <f ca="1"/>
        <v>#N/A</v>
      </c>
      <c r="RCB538" s="22" t="e">
        <f ca="1"/>
        <v>#N/A</v>
      </c>
      <c r="RCC538" s="22" t="e">
        <f ca="1"/>
        <v>#N/A</v>
      </c>
      <c r="RCD538" s="22" t="e">
        <f ca="1"/>
        <v>#N/A</v>
      </c>
      <c r="RCE538" s="22" t="e">
        <f ca="1"/>
        <v>#N/A</v>
      </c>
      <c r="RCF538" s="22" t="e">
        <f ca="1"/>
        <v>#N/A</v>
      </c>
      <c r="RCG538" s="22" t="e">
        <f ca="1"/>
        <v>#N/A</v>
      </c>
      <c r="RCH538" s="22" t="e">
        <f ca="1"/>
        <v>#N/A</v>
      </c>
      <c r="RCI538" s="22" t="e">
        <f ca="1"/>
        <v>#N/A</v>
      </c>
      <c r="RCJ538" s="22" t="e">
        <f ca="1"/>
        <v>#N/A</v>
      </c>
      <c r="RCK538" s="22" t="e">
        <f ca="1"/>
        <v>#N/A</v>
      </c>
      <c r="RCL538" s="22" t="e">
        <f ca="1"/>
        <v>#N/A</v>
      </c>
      <c r="RCM538" s="22" t="e">
        <f ca="1"/>
        <v>#N/A</v>
      </c>
      <c r="RCN538" s="22" t="e">
        <f ca="1"/>
        <v>#N/A</v>
      </c>
      <c r="RCO538" s="22" t="e">
        <f ca="1"/>
        <v>#N/A</v>
      </c>
      <c r="RCP538" s="22" t="e">
        <f ca="1"/>
        <v>#N/A</v>
      </c>
      <c r="RCQ538" s="22" t="e">
        <f ca="1"/>
        <v>#N/A</v>
      </c>
      <c r="RCR538" s="22" t="e">
        <f ca="1"/>
        <v>#N/A</v>
      </c>
      <c r="RCS538" s="22" t="e">
        <f ca="1"/>
        <v>#N/A</v>
      </c>
      <c r="RCT538" s="22" t="e">
        <f ca="1"/>
        <v>#N/A</v>
      </c>
      <c r="RCU538" s="22" t="e">
        <f ca="1"/>
        <v>#N/A</v>
      </c>
      <c r="RCV538" s="22" t="e">
        <f ca="1"/>
        <v>#N/A</v>
      </c>
      <c r="RCW538" s="22" t="e">
        <f ca="1"/>
        <v>#N/A</v>
      </c>
      <c r="RCX538" s="22" t="e">
        <f ca="1"/>
        <v>#N/A</v>
      </c>
      <c r="RCY538" s="22" t="e">
        <f ca="1"/>
        <v>#N/A</v>
      </c>
      <c r="RCZ538" s="22" t="e">
        <f ca="1"/>
        <v>#N/A</v>
      </c>
      <c r="RDA538" s="22" t="e">
        <f ca="1"/>
        <v>#N/A</v>
      </c>
      <c r="RDB538" s="22" t="e">
        <f ca="1"/>
        <v>#N/A</v>
      </c>
      <c r="RDC538" s="22" t="e">
        <f ca="1"/>
        <v>#N/A</v>
      </c>
      <c r="RDD538" s="22" t="e">
        <f ca="1"/>
        <v>#N/A</v>
      </c>
      <c r="RDE538" s="22" t="e">
        <f ca="1"/>
        <v>#N/A</v>
      </c>
      <c r="RDF538" s="22" t="e">
        <f ca="1"/>
        <v>#N/A</v>
      </c>
      <c r="RDG538" s="22" t="e">
        <f ca="1"/>
        <v>#N/A</v>
      </c>
      <c r="RDH538" s="22" t="e">
        <f ca="1"/>
        <v>#N/A</v>
      </c>
      <c r="RDI538" s="22" t="e">
        <f ca="1"/>
        <v>#N/A</v>
      </c>
      <c r="RDJ538" s="22" t="e">
        <f ca="1"/>
        <v>#N/A</v>
      </c>
      <c r="RDK538" s="22" t="e">
        <f ca="1"/>
        <v>#N/A</v>
      </c>
      <c r="RDL538" s="22" t="e">
        <f ca="1"/>
        <v>#N/A</v>
      </c>
      <c r="RDM538" s="22" t="e">
        <f ca="1"/>
        <v>#N/A</v>
      </c>
      <c r="RDN538" s="22" t="e">
        <f ca="1"/>
        <v>#N/A</v>
      </c>
      <c r="RDO538" s="22" t="e">
        <f ca="1"/>
        <v>#N/A</v>
      </c>
      <c r="RDP538" s="22" t="e">
        <f ca="1"/>
        <v>#N/A</v>
      </c>
      <c r="RDQ538" s="22" t="e">
        <f ca="1"/>
        <v>#N/A</v>
      </c>
      <c r="RDR538" s="22" t="e">
        <f ca="1"/>
        <v>#N/A</v>
      </c>
      <c r="RDS538" s="22" t="e">
        <f ca="1"/>
        <v>#N/A</v>
      </c>
      <c r="RDT538" s="22" t="e">
        <f ca="1"/>
        <v>#N/A</v>
      </c>
      <c r="RDU538" s="22" t="e">
        <f ca="1"/>
        <v>#N/A</v>
      </c>
      <c r="RDV538" s="22" t="e">
        <f ca="1"/>
        <v>#N/A</v>
      </c>
      <c r="RDW538" s="22" t="e">
        <f ca="1"/>
        <v>#N/A</v>
      </c>
      <c r="RDX538" s="22" t="e">
        <f ca="1"/>
        <v>#N/A</v>
      </c>
      <c r="RDY538" s="22" t="e">
        <f ca="1"/>
        <v>#N/A</v>
      </c>
      <c r="RDZ538" s="22" t="e">
        <f ca="1"/>
        <v>#N/A</v>
      </c>
      <c r="REA538" s="22" t="e">
        <f ca="1"/>
        <v>#N/A</v>
      </c>
      <c r="REB538" s="22" t="e">
        <f ca="1"/>
        <v>#N/A</v>
      </c>
      <c r="REC538" s="22" t="e">
        <f ca="1"/>
        <v>#N/A</v>
      </c>
      <c r="RED538" s="22" t="e">
        <f ca="1"/>
        <v>#N/A</v>
      </c>
      <c r="REE538" s="22" t="e">
        <f ca="1"/>
        <v>#N/A</v>
      </c>
      <c r="REF538" s="22" t="e">
        <f ca="1"/>
        <v>#N/A</v>
      </c>
      <c r="REG538" s="22" t="e">
        <f ca="1"/>
        <v>#N/A</v>
      </c>
      <c r="REH538" s="22" t="e">
        <f ca="1"/>
        <v>#N/A</v>
      </c>
      <c r="REI538" s="22" t="e">
        <f ca="1"/>
        <v>#N/A</v>
      </c>
      <c r="REJ538" s="22" t="e">
        <f ca="1"/>
        <v>#N/A</v>
      </c>
      <c r="REK538" s="22" t="e">
        <f ca="1"/>
        <v>#N/A</v>
      </c>
      <c r="REL538" s="22" t="e">
        <f ca="1"/>
        <v>#N/A</v>
      </c>
      <c r="REM538" s="22" t="e">
        <f ca="1"/>
        <v>#N/A</v>
      </c>
      <c r="REN538" s="22" t="e">
        <f ca="1"/>
        <v>#N/A</v>
      </c>
      <c r="REO538" s="22" t="e">
        <f ca="1"/>
        <v>#N/A</v>
      </c>
      <c r="REP538" s="22" t="e">
        <f ca="1"/>
        <v>#N/A</v>
      </c>
      <c r="REQ538" s="22" t="e">
        <f ca="1"/>
        <v>#N/A</v>
      </c>
      <c r="RER538" s="22" t="e">
        <f ca="1"/>
        <v>#N/A</v>
      </c>
      <c r="RES538" s="22" t="e">
        <f ca="1"/>
        <v>#N/A</v>
      </c>
      <c r="RET538" s="22" t="e">
        <f ca="1"/>
        <v>#N/A</v>
      </c>
      <c r="REU538" s="22" t="e">
        <f ca="1"/>
        <v>#N/A</v>
      </c>
      <c r="REV538" s="22" t="e">
        <f ca="1"/>
        <v>#N/A</v>
      </c>
      <c r="REW538" s="22" t="e">
        <f ca="1"/>
        <v>#N/A</v>
      </c>
      <c r="REX538" s="22" t="e">
        <f ca="1"/>
        <v>#N/A</v>
      </c>
      <c r="REY538" s="22" t="e">
        <f ca="1"/>
        <v>#N/A</v>
      </c>
      <c r="REZ538" s="22" t="e">
        <f ca="1"/>
        <v>#N/A</v>
      </c>
      <c r="RFA538" s="22" t="e">
        <f ca="1"/>
        <v>#N/A</v>
      </c>
      <c r="RFB538" s="22" t="e">
        <f ca="1"/>
        <v>#N/A</v>
      </c>
      <c r="RFC538" s="22" t="e">
        <f ca="1"/>
        <v>#N/A</v>
      </c>
      <c r="RFD538" s="22" t="e">
        <f ca="1"/>
        <v>#N/A</v>
      </c>
      <c r="RFE538" s="22" t="e">
        <f ca="1"/>
        <v>#N/A</v>
      </c>
      <c r="RFF538" s="22" t="e">
        <f ca="1"/>
        <v>#N/A</v>
      </c>
      <c r="RFG538" s="22" t="e">
        <f ca="1"/>
        <v>#N/A</v>
      </c>
      <c r="RFH538" s="22" t="e">
        <f ca="1"/>
        <v>#N/A</v>
      </c>
      <c r="RFI538" s="22" t="e">
        <f ca="1"/>
        <v>#N/A</v>
      </c>
      <c r="RFJ538" s="22" t="e">
        <f ca="1"/>
        <v>#N/A</v>
      </c>
      <c r="RFK538" s="22" t="e">
        <f ca="1"/>
        <v>#N/A</v>
      </c>
      <c r="RFL538" s="22" t="e">
        <f ca="1"/>
        <v>#N/A</v>
      </c>
      <c r="RFM538" s="22" t="e">
        <f ca="1"/>
        <v>#N/A</v>
      </c>
      <c r="RFN538" s="22" t="e">
        <f ca="1"/>
        <v>#N/A</v>
      </c>
      <c r="RFO538" s="22" t="e">
        <f ca="1"/>
        <v>#N/A</v>
      </c>
      <c r="RFP538" s="22" t="e">
        <f ca="1"/>
        <v>#N/A</v>
      </c>
      <c r="RFQ538" s="22" t="e">
        <f ca="1"/>
        <v>#N/A</v>
      </c>
      <c r="RFR538" s="22" t="e">
        <f ca="1"/>
        <v>#N/A</v>
      </c>
      <c r="RFS538" s="22" t="e">
        <f ca="1"/>
        <v>#N/A</v>
      </c>
      <c r="RFT538" s="22" t="e">
        <f ca="1"/>
        <v>#N/A</v>
      </c>
      <c r="RFU538" s="22" t="e">
        <f ca="1"/>
        <v>#N/A</v>
      </c>
      <c r="RFV538" s="22" t="e">
        <f ca="1"/>
        <v>#N/A</v>
      </c>
      <c r="RFW538" s="22" t="e">
        <f ca="1"/>
        <v>#N/A</v>
      </c>
      <c r="RFX538" s="22" t="e">
        <f ca="1"/>
        <v>#N/A</v>
      </c>
      <c r="RFY538" s="22" t="e">
        <f ca="1"/>
        <v>#N/A</v>
      </c>
      <c r="RFZ538" s="22" t="e">
        <f ca="1"/>
        <v>#N/A</v>
      </c>
      <c r="RGA538" s="22" t="e">
        <f ca="1"/>
        <v>#N/A</v>
      </c>
      <c r="RGB538" s="22" t="e">
        <f ca="1"/>
        <v>#N/A</v>
      </c>
      <c r="RGC538" s="22" t="e">
        <f ca="1"/>
        <v>#N/A</v>
      </c>
      <c r="RGD538" s="22" t="e">
        <f ca="1"/>
        <v>#N/A</v>
      </c>
      <c r="RGE538" s="22" t="e">
        <f ca="1"/>
        <v>#N/A</v>
      </c>
      <c r="RGF538" s="22" t="e">
        <f ca="1"/>
        <v>#N/A</v>
      </c>
      <c r="RGG538" s="22" t="e">
        <f ca="1"/>
        <v>#N/A</v>
      </c>
      <c r="RGH538" s="22" t="e">
        <f ca="1"/>
        <v>#N/A</v>
      </c>
      <c r="RGI538" s="22" t="e">
        <f ca="1"/>
        <v>#N/A</v>
      </c>
      <c r="RGJ538" s="22" t="e">
        <f ca="1"/>
        <v>#N/A</v>
      </c>
      <c r="RGK538" s="22" t="e">
        <f ca="1"/>
        <v>#N/A</v>
      </c>
      <c r="RGL538" s="22" t="e">
        <f ca="1"/>
        <v>#N/A</v>
      </c>
      <c r="RGM538" s="22" t="e">
        <f ca="1"/>
        <v>#N/A</v>
      </c>
      <c r="RGN538" s="22" t="e">
        <f ca="1"/>
        <v>#N/A</v>
      </c>
      <c r="RGO538" s="22" t="e">
        <f ca="1"/>
        <v>#N/A</v>
      </c>
      <c r="RGP538" s="22" t="e">
        <f ca="1"/>
        <v>#N/A</v>
      </c>
      <c r="RGQ538" s="22" t="e">
        <f ca="1"/>
        <v>#N/A</v>
      </c>
      <c r="RGR538" s="22" t="e">
        <f ca="1"/>
        <v>#N/A</v>
      </c>
      <c r="RGS538" s="22" t="e">
        <f ca="1"/>
        <v>#N/A</v>
      </c>
      <c r="RGT538" s="22" t="e">
        <f ca="1"/>
        <v>#N/A</v>
      </c>
      <c r="RGU538" s="22" t="e">
        <f ca="1"/>
        <v>#N/A</v>
      </c>
      <c r="RGV538" s="22" t="e">
        <f ca="1"/>
        <v>#N/A</v>
      </c>
      <c r="RGW538" s="22" t="e">
        <f ca="1"/>
        <v>#N/A</v>
      </c>
      <c r="RGX538" s="22" t="e">
        <f ca="1"/>
        <v>#N/A</v>
      </c>
      <c r="RGY538" s="22" t="e">
        <f ca="1"/>
        <v>#N/A</v>
      </c>
      <c r="RGZ538" s="22" t="e">
        <f ca="1"/>
        <v>#N/A</v>
      </c>
      <c r="RHA538" s="22" t="e">
        <f ca="1"/>
        <v>#N/A</v>
      </c>
      <c r="RHB538" s="22" t="e">
        <f ca="1"/>
        <v>#N/A</v>
      </c>
      <c r="RHC538" s="22" t="e">
        <f ca="1"/>
        <v>#N/A</v>
      </c>
      <c r="RHD538" s="22" t="e">
        <f ca="1"/>
        <v>#N/A</v>
      </c>
      <c r="RHE538" s="22" t="e">
        <f ca="1"/>
        <v>#N/A</v>
      </c>
      <c r="RHF538" s="22" t="e">
        <f ca="1"/>
        <v>#N/A</v>
      </c>
      <c r="RHG538" s="22" t="e">
        <f ca="1"/>
        <v>#N/A</v>
      </c>
      <c r="RHH538" s="22" t="e">
        <f ca="1"/>
        <v>#N/A</v>
      </c>
      <c r="RHI538" s="22" t="e">
        <f ca="1"/>
        <v>#N/A</v>
      </c>
      <c r="RHJ538" s="22" t="e">
        <f ca="1"/>
        <v>#N/A</v>
      </c>
      <c r="RHK538" s="22" t="e">
        <f ca="1"/>
        <v>#N/A</v>
      </c>
      <c r="RHL538" s="22" t="e">
        <f ca="1"/>
        <v>#N/A</v>
      </c>
      <c r="RHM538" s="22" t="e">
        <f ca="1"/>
        <v>#N/A</v>
      </c>
      <c r="RHN538" s="22" t="e">
        <f ca="1"/>
        <v>#N/A</v>
      </c>
      <c r="RHO538" s="22" t="e">
        <f ca="1"/>
        <v>#N/A</v>
      </c>
      <c r="RHP538" s="22" t="e">
        <f ca="1"/>
        <v>#N/A</v>
      </c>
      <c r="RHQ538" s="22" t="e">
        <f ca="1"/>
        <v>#N/A</v>
      </c>
      <c r="RHR538" s="22" t="e">
        <f ca="1"/>
        <v>#N/A</v>
      </c>
      <c r="RHS538" s="22" t="e">
        <f ca="1"/>
        <v>#N/A</v>
      </c>
      <c r="RHT538" s="22" t="e">
        <f ca="1"/>
        <v>#N/A</v>
      </c>
      <c r="RHU538" s="22" t="e">
        <f ca="1"/>
        <v>#N/A</v>
      </c>
      <c r="RHV538" s="22" t="e">
        <f ca="1"/>
        <v>#N/A</v>
      </c>
      <c r="RHW538" s="22" t="e">
        <f ca="1"/>
        <v>#N/A</v>
      </c>
      <c r="RHX538" s="22" t="e">
        <f ca="1"/>
        <v>#N/A</v>
      </c>
      <c r="RHY538" s="22" t="e">
        <f ca="1"/>
        <v>#N/A</v>
      </c>
      <c r="RHZ538" s="22" t="e">
        <f ca="1"/>
        <v>#N/A</v>
      </c>
      <c r="RIA538" s="22" t="e">
        <f ca="1"/>
        <v>#N/A</v>
      </c>
      <c r="RIB538" s="22" t="e">
        <f ca="1"/>
        <v>#N/A</v>
      </c>
      <c r="RIC538" s="22" t="e">
        <f ca="1"/>
        <v>#N/A</v>
      </c>
      <c r="RID538" s="22" t="e">
        <f ca="1"/>
        <v>#N/A</v>
      </c>
      <c r="RIE538" s="22" t="e">
        <f ca="1"/>
        <v>#N/A</v>
      </c>
      <c r="RIF538" s="22" t="e">
        <f ca="1"/>
        <v>#N/A</v>
      </c>
      <c r="RIG538" s="22" t="e">
        <f ca="1"/>
        <v>#N/A</v>
      </c>
      <c r="RIH538" s="22" t="e">
        <f ca="1"/>
        <v>#N/A</v>
      </c>
      <c r="RII538" s="22" t="e">
        <f ca="1"/>
        <v>#N/A</v>
      </c>
      <c r="RIJ538" s="22" t="e">
        <f ca="1"/>
        <v>#N/A</v>
      </c>
      <c r="RIK538" s="22" t="e">
        <f ca="1"/>
        <v>#N/A</v>
      </c>
      <c r="RIL538" s="22" t="e">
        <f ca="1"/>
        <v>#N/A</v>
      </c>
      <c r="RIM538" s="22" t="e">
        <f ca="1"/>
        <v>#N/A</v>
      </c>
      <c r="RIN538" s="22" t="e">
        <f ca="1"/>
        <v>#N/A</v>
      </c>
      <c r="RIO538" s="22" t="e">
        <f ca="1"/>
        <v>#N/A</v>
      </c>
      <c r="RIP538" s="22" t="e">
        <f ca="1"/>
        <v>#N/A</v>
      </c>
      <c r="RIQ538" s="22" t="e">
        <f ca="1"/>
        <v>#N/A</v>
      </c>
      <c r="RIR538" s="22" t="e">
        <f ca="1"/>
        <v>#N/A</v>
      </c>
      <c r="RIS538" s="22" t="e">
        <f ca="1"/>
        <v>#N/A</v>
      </c>
      <c r="RIT538" s="22" t="e">
        <f ca="1"/>
        <v>#N/A</v>
      </c>
      <c r="RIU538" s="22" t="e">
        <f ca="1"/>
        <v>#N/A</v>
      </c>
      <c r="RIV538" s="22" t="e">
        <f ca="1"/>
        <v>#N/A</v>
      </c>
      <c r="RIW538" s="22" t="e">
        <f ca="1"/>
        <v>#N/A</v>
      </c>
      <c r="RIX538" s="22" t="e">
        <f ca="1"/>
        <v>#N/A</v>
      </c>
      <c r="RIY538" s="22" t="e">
        <f ca="1"/>
        <v>#N/A</v>
      </c>
      <c r="RIZ538" s="22" t="e">
        <f ca="1"/>
        <v>#N/A</v>
      </c>
      <c r="RJA538" s="22" t="e">
        <f ca="1"/>
        <v>#N/A</v>
      </c>
      <c r="RJB538" s="22" t="e">
        <f ca="1"/>
        <v>#N/A</v>
      </c>
      <c r="RJC538" s="22" t="e">
        <f ca="1"/>
        <v>#N/A</v>
      </c>
      <c r="RJD538" s="22" t="e">
        <f ca="1"/>
        <v>#N/A</v>
      </c>
      <c r="RJE538" s="22" t="e">
        <f ca="1"/>
        <v>#N/A</v>
      </c>
      <c r="RJF538" s="22" t="e">
        <f ca="1"/>
        <v>#N/A</v>
      </c>
      <c r="RJG538" s="22" t="e">
        <f ca="1"/>
        <v>#N/A</v>
      </c>
      <c r="RJH538" s="22" t="e">
        <f ca="1"/>
        <v>#N/A</v>
      </c>
      <c r="RJI538" s="22" t="e">
        <f ca="1"/>
        <v>#N/A</v>
      </c>
      <c r="RJJ538" s="22" t="e">
        <f ca="1"/>
        <v>#N/A</v>
      </c>
      <c r="RJK538" s="22" t="e">
        <f ca="1"/>
        <v>#N/A</v>
      </c>
      <c r="RJL538" s="22" t="e">
        <f ca="1"/>
        <v>#N/A</v>
      </c>
      <c r="RJM538" s="22" t="e">
        <f ca="1"/>
        <v>#N/A</v>
      </c>
      <c r="RJN538" s="22" t="e">
        <f ca="1"/>
        <v>#N/A</v>
      </c>
      <c r="RJO538" s="22" t="e">
        <f ca="1"/>
        <v>#N/A</v>
      </c>
      <c r="RJP538" s="22" t="e">
        <f ca="1"/>
        <v>#N/A</v>
      </c>
      <c r="RJQ538" s="22" t="e">
        <f ca="1"/>
        <v>#N/A</v>
      </c>
      <c r="RJR538" s="22" t="e">
        <f ca="1"/>
        <v>#N/A</v>
      </c>
      <c r="RJS538" s="22" t="e">
        <f ca="1"/>
        <v>#N/A</v>
      </c>
      <c r="RJT538" s="22" t="e">
        <f ca="1"/>
        <v>#N/A</v>
      </c>
      <c r="RJU538" s="22" t="e">
        <f ca="1"/>
        <v>#N/A</v>
      </c>
      <c r="RJV538" s="22" t="e">
        <f ca="1"/>
        <v>#N/A</v>
      </c>
      <c r="RJW538" s="22" t="e">
        <f ca="1"/>
        <v>#N/A</v>
      </c>
      <c r="RJX538" s="22" t="e">
        <f ca="1"/>
        <v>#N/A</v>
      </c>
      <c r="RJY538" s="22" t="e">
        <f ca="1"/>
        <v>#N/A</v>
      </c>
      <c r="RJZ538" s="22" t="e">
        <f ca="1"/>
        <v>#N/A</v>
      </c>
      <c r="RKA538" s="22" t="e">
        <f ca="1"/>
        <v>#N/A</v>
      </c>
      <c r="RKB538" s="22" t="e">
        <f ca="1"/>
        <v>#N/A</v>
      </c>
      <c r="RKC538" s="22" t="e">
        <f ca="1"/>
        <v>#N/A</v>
      </c>
      <c r="RKD538" s="22" t="e">
        <f ca="1"/>
        <v>#N/A</v>
      </c>
      <c r="RKE538" s="22" t="e">
        <f ca="1"/>
        <v>#N/A</v>
      </c>
      <c r="RKF538" s="22" t="e">
        <f ca="1"/>
        <v>#N/A</v>
      </c>
      <c r="RKG538" s="22" t="e">
        <f ca="1"/>
        <v>#N/A</v>
      </c>
      <c r="RKH538" s="22" t="e">
        <f ca="1"/>
        <v>#N/A</v>
      </c>
      <c r="RKI538" s="22" t="e">
        <f ca="1"/>
        <v>#N/A</v>
      </c>
      <c r="RKJ538" s="22" t="e">
        <f ca="1"/>
        <v>#N/A</v>
      </c>
      <c r="RKK538" s="22" t="e">
        <f ca="1"/>
        <v>#N/A</v>
      </c>
      <c r="RKL538" s="22" t="e">
        <f ca="1"/>
        <v>#N/A</v>
      </c>
      <c r="RKM538" s="22" t="e">
        <f ca="1"/>
        <v>#N/A</v>
      </c>
      <c r="RKN538" s="22" t="e">
        <f ca="1"/>
        <v>#N/A</v>
      </c>
      <c r="RKO538" s="22" t="e">
        <f ca="1"/>
        <v>#N/A</v>
      </c>
      <c r="RKP538" s="22" t="e">
        <f ca="1"/>
        <v>#N/A</v>
      </c>
      <c r="RKQ538" s="22" t="e">
        <f ca="1"/>
        <v>#N/A</v>
      </c>
      <c r="RKR538" s="22" t="e">
        <f ca="1"/>
        <v>#N/A</v>
      </c>
      <c r="RKS538" s="22" t="e">
        <f ca="1"/>
        <v>#N/A</v>
      </c>
      <c r="RKT538" s="22" t="e">
        <f ca="1"/>
        <v>#N/A</v>
      </c>
      <c r="RKU538" s="22" t="e">
        <f ca="1"/>
        <v>#N/A</v>
      </c>
      <c r="RKV538" s="22" t="e">
        <f ca="1"/>
        <v>#N/A</v>
      </c>
      <c r="RKW538" s="22" t="e">
        <f ca="1"/>
        <v>#N/A</v>
      </c>
      <c r="RKX538" s="22" t="e">
        <f ca="1"/>
        <v>#N/A</v>
      </c>
      <c r="RKY538" s="22" t="e">
        <f ca="1"/>
        <v>#N/A</v>
      </c>
      <c r="RKZ538" s="22" t="e">
        <f ca="1"/>
        <v>#N/A</v>
      </c>
      <c r="RLA538" s="22" t="e">
        <f ca="1"/>
        <v>#N/A</v>
      </c>
      <c r="RLB538" s="22" t="e">
        <f ca="1"/>
        <v>#N/A</v>
      </c>
      <c r="RLC538" s="22" t="e">
        <f ca="1"/>
        <v>#N/A</v>
      </c>
      <c r="RLD538" s="22" t="e">
        <f ca="1"/>
        <v>#N/A</v>
      </c>
      <c r="RLE538" s="22" t="e">
        <f ca="1"/>
        <v>#N/A</v>
      </c>
      <c r="RLF538" s="22" t="e">
        <f ca="1"/>
        <v>#N/A</v>
      </c>
      <c r="RLG538" s="22" t="e">
        <f ca="1"/>
        <v>#N/A</v>
      </c>
      <c r="RLH538" s="22" t="e">
        <f ca="1"/>
        <v>#N/A</v>
      </c>
      <c r="RLI538" s="22" t="e">
        <f ca="1"/>
        <v>#N/A</v>
      </c>
      <c r="RLJ538" s="22" t="e">
        <f ca="1"/>
        <v>#N/A</v>
      </c>
      <c r="RLK538" s="22" t="e">
        <f ca="1"/>
        <v>#N/A</v>
      </c>
      <c r="RLL538" s="22" t="e">
        <f ca="1"/>
        <v>#N/A</v>
      </c>
      <c r="RLM538" s="22" t="e">
        <f ca="1"/>
        <v>#N/A</v>
      </c>
      <c r="RLN538" s="22" t="e">
        <f ca="1"/>
        <v>#N/A</v>
      </c>
      <c r="RLO538" s="22" t="e">
        <f ca="1"/>
        <v>#N/A</v>
      </c>
      <c r="RLP538" s="22" t="e">
        <f ca="1"/>
        <v>#N/A</v>
      </c>
      <c r="RLQ538" s="22" t="e">
        <f ca="1"/>
        <v>#N/A</v>
      </c>
      <c r="RLR538" s="22" t="e">
        <f ca="1"/>
        <v>#N/A</v>
      </c>
      <c r="RLS538" s="22" t="e">
        <f ca="1"/>
        <v>#N/A</v>
      </c>
      <c r="RLT538" s="22" t="e">
        <f ca="1"/>
        <v>#N/A</v>
      </c>
      <c r="RLU538" s="22" t="e">
        <f ca="1"/>
        <v>#N/A</v>
      </c>
      <c r="RLV538" s="22" t="e">
        <f ca="1"/>
        <v>#N/A</v>
      </c>
      <c r="RLW538" s="22" t="e">
        <f ca="1"/>
        <v>#N/A</v>
      </c>
      <c r="RLX538" s="22" t="e">
        <f ca="1"/>
        <v>#N/A</v>
      </c>
      <c r="RLY538" s="22" t="e">
        <f ca="1"/>
        <v>#N/A</v>
      </c>
      <c r="RLZ538" s="22" t="e">
        <f ca="1"/>
        <v>#N/A</v>
      </c>
      <c r="RMA538" s="22" t="e">
        <f ca="1"/>
        <v>#N/A</v>
      </c>
      <c r="RMB538" s="22" t="e">
        <f ca="1"/>
        <v>#N/A</v>
      </c>
      <c r="RMC538" s="22" t="e">
        <f ca="1"/>
        <v>#N/A</v>
      </c>
      <c r="RMD538" s="22" t="e">
        <f ca="1"/>
        <v>#N/A</v>
      </c>
      <c r="RME538" s="22" t="e">
        <f ca="1"/>
        <v>#N/A</v>
      </c>
      <c r="RMF538" s="22" t="e">
        <f ca="1"/>
        <v>#N/A</v>
      </c>
      <c r="RMG538" s="22" t="e">
        <f ca="1"/>
        <v>#N/A</v>
      </c>
      <c r="RMH538" s="22" t="e">
        <f ca="1"/>
        <v>#N/A</v>
      </c>
      <c r="RMI538" s="22" t="e">
        <f ca="1"/>
        <v>#N/A</v>
      </c>
      <c r="RMJ538" s="22" t="e">
        <f ca="1"/>
        <v>#N/A</v>
      </c>
      <c r="RMK538" s="22" t="e">
        <f ca="1"/>
        <v>#N/A</v>
      </c>
      <c r="RML538" s="22" t="e">
        <f ca="1"/>
        <v>#N/A</v>
      </c>
      <c r="RMM538" s="22" t="e">
        <f ca="1"/>
        <v>#N/A</v>
      </c>
      <c r="RMN538" s="22" t="e">
        <f ca="1"/>
        <v>#N/A</v>
      </c>
      <c r="RMO538" s="22" t="e">
        <f ca="1"/>
        <v>#N/A</v>
      </c>
      <c r="RMP538" s="22" t="e">
        <f ca="1"/>
        <v>#N/A</v>
      </c>
      <c r="RMQ538" s="22" t="e">
        <f ca="1"/>
        <v>#N/A</v>
      </c>
      <c r="RMR538" s="22" t="e">
        <f ca="1"/>
        <v>#N/A</v>
      </c>
      <c r="RMS538" s="22" t="e">
        <f ca="1"/>
        <v>#N/A</v>
      </c>
      <c r="RMT538" s="22" t="e">
        <f ca="1"/>
        <v>#N/A</v>
      </c>
      <c r="RMU538" s="22" t="e">
        <f ca="1"/>
        <v>#N/A</v>
      </c>
      <c r="RMV538" s="22" t="e">
        <f ca="1"/>
        <v>#N/A</v>
      </c>
      <c r="RMW538" s="22" t="e">
        <f ca="1"/>
        <v>#N/A</v>
      </c>
      <c r="RMX538" s="22" t="e">
        <f ca="1"/>
        <v>#N/A</v>
      </c>
      <c r="RMY538" s="22" t="e">
        <f ca="1"/>
        <v>#N/A</v>
      </c>
      <c r="RMZ538" s="22" t="e">
        <f ca="1"/>
        <v>#N/A</v>
      </c>
      <c r="RNA538" s="22" t="e">
        <f ca="1"/>
        <v>#N/A</v>
      </c>
      <c r="RNB538" s="22" t="e">
        <f ca="1"/>
        <v>#N/A</v>
      </c>
      <c r="RNC538" s="22" t="e">
        <f ca="1"/>
        <v>#N/A</v>
      </c>
      <c r="RND538" s="22" t="e">
        <f ca="1"/>
        <v>#N/A</v>
      </c>
      <c r="RNE538" s="22" t="e">
        <f ca="1"/>
        <v>#N/A</v>
      </c>
      <c r="RNF538" s="22" t="e">
        <f ca="1"/>
        <v>#N/A</v>
      </c>
      <c r="RNG538" s="22" t="e">
        <f ca="1"/>
        <v>#N/A</v>
      </c>
      <c r="RNH538" s="22" t="e">
        <f ca="1"/>
        <v>#N/A</v>
      </c>
      <c r="RNI538" s="22" t="e">
        <f ca="1"/>
        <v>#N/A</v>
      </c>
      <c r="RNJ538" s="22" t="e">
        <f ca="1"/>
        <v>#N/A</v>
      </c>
      <c r="RNK538" s="22" t="e">
        <f ca="1"/>
        <v>#N/A</v>
      </c>
      <c r="RNL538" s="22" t="e">
        <f ca="1"/>
        <v>#N/A</v>
      </c>
      <c r="RNM538" s="22" t="e">
        <f ca="1"/>
        <v>#N/A</v>
      </c>
      <c r="RNN538" s="22" t="e">
        <f ca="1"/>
        <v>#N/A</v>
      </c>
      <c r="RNO538" s="22" t="e">
        <f ca="1"/>
        <v>#N/A</v>
      </c>
      <c r="RNP538" s="22" t="e">
        <f ca="1"/>
        <v>#N/A</v>
      </c>
      <c r="RNQ538" s="22" t="e">
        <f ca="1"/>
        <v>#N/A</v>
      </c>
      <c r="RNR538" s="22" t="e">
        <f ca="1"/>
        <v>#N/A</v>
      </c>
      <c r="RNS538" s="22" t="e">
        <f ca="1"/>
        <v>#N/A</v>
      </c>
      <c r="RNT538" s="22" t="e">
        <f ca="1"/>
        <v>#N/A</v>
      </c>
      <c r="RNU538" s="22" t="e">
        <f ca="1"/>
        <v>#N/A</v>
      </c>
      <c r="RNV538" s="22" t="e">
        <f ca="1"/>
        <v>#N/A</v>
      </c>
      <c r="RNW538" s="22" t="e">
        <f ca="1"/>
        <v>#N/A</v>
      </c>
      <c r="RNX538" s="22" t="e">
        <f ca="1"/>
        <v>#N/A</v>
      </c>
      <c r="RNY538" s="22" t="e">
        <f ca="1"/>
        <v>#N/A</v>
      </c>
      <c r="RNZ538" s="22" t="e">
        <f ca="1"/>
        <v>#N/A</v>
      </c>
      <c r="ROA538" s="22" t="e">
        <f ca="1"/>
        <v>#N/A</v>
      </c>
      <c r="ROB538" s="22" t="e">
        <f ca="1"/>
        <v>#N/A</v>
      </c>
      <c r="ROC538" s="22" t="e">
        <f ca="1"/>
        <v>#N/A</v>
      </c>
      <c r="ROD538" s="22" t="e">
        <f ca="1"/>
        <v>#N/A</v>
      </c>
      <c r="ROE538" s="22" t="e">
        <f ca="1"/>
        <v>#N/A</v>
      </c>
      <c r="ROF538" s="22" t="e">
        <f ca="1"/>
        <v>#N/A</v>
      </c>
      <c r="ROG538" s="22" t="e">
        <f ca="1"/>
        <v>#N/A</v>
      </c>
      <c r="ROH538" s="22" t="e">
        <f ca="1"/>
        <v>#N/A</v>
      </c>
      <c r="ROI538" s="22" t="e">
        <f ca="1"/>
        <v>#N/A</v>
      </c>
      <c r="ROJ538" s="22" t="e">
        <f ca="1"/>
        <v>#N/A</v>
      </c>
      <c r="ROK538" s="22" t="e">
        <f ca="1"/>
        <v>#N/A</v>
      </c>
      <c r="ROL538" s="22" t="e">
        <f ca="1"/>
        <v>#N/A</v>
      </c>
      <c r="ROM538" s="22" t="e">
        <f ca="1"/>
        <v>#N/A</v>
      </c>
      <c r="RON538" s="22" t="e">
        <f ca="1"/>
        <v>#N/A</v>
      </c>
      <c r="ROO538" s="22" t="e">
        <f ca="1"/>
        <v>#N/A</v>
      </c>
      <c r="ROP538" s="22" t="e">
        <f ca="1"/>
        <v>#N/A</v>
      </c>
      <c r="ROQ538" s="22" t="e">
        <f ca="1"/>
        <v>#N/A</v>
      </c>
      <c r="ROR538" s="22" t="e">
        <f ca="1"/>
        <v>#N/A</v>
      </c>
      <c r="ROS538" s="22" t="e">
        <f ca="1"/>
        <v>#N/A</v>
      </c>
      <c r="ROT538" s="22" t="e">
        <f ca="1"/>
        <v>#N/A</v>
      </c>
      <c r="ROU538" s="22" t="e">
        <f ca="1"/>
        <v>#N/A</v>
      </c>
      <c r="ROV538" s="22" t="e">
        <f ca="1"/>
        <v>#N/A</v>
      </c>
      <c r="ROW538" s="22" t="e">
        <f ca="1"/>
        <v>#N/A</v>
      </c>
      <c r="ROX538" s="22" t="e">
        <f ca="1"/>
        <v>#N/A</v>
      </c>
      <c r="ROY538" s="22" t="e">
        <f ca="1"/>
        <v>#N/A</v>
      </c>
      <c r="ROZ538" s="22" t="e">
        <f ca="1"/>
        <v>#N/A</v>
      </c>
      <c r="RPA538" s="22" t="e">
        <f ca="1"/>
        <v>#N/A</v>
      </c>
      <c r="RPB538" s="22" t="e">
        <f ca="1"/>
        <v>#N/A</v>
      </c>
      <c r="RPC538" s="22" t="e">
        <f ca="1"/>
        <v>#N/A</v>
      </c>
      <c r="RPD538" s="22" t="e">
        <f ca="1"/>
        <v>#N/A</v>
      </c>
      <c r="RPE538" s="22" t="e">
        <f ca="1"/>
        <v>#N/A</v>
      </c>
      <c r="RPF538" s="22" t="e">
        <f ca="1"/>
        <v>#N/A</v>
      </c>
      <c r="RPG538" s="22" t="e">
        <f ca="1"/>
        <v>#N/A</v>
      </c>
      <c r="RPH538" s="22" t="e">
        <f ca="1"/>
        <v>#N/A</v>
      </c>
      <c r="RPI538" s="22" t="e">
        <f ca="1"/>
        <v>#N/A</v>
      </c>
      <c r="RPJ538" s="22" t="e">
        <f ca="1"/>
        <v>#N/A</v>
      </c>
      <c r="RPK538" s="22" t="e">
        <f ca="1"/>
        <v>#N/A</v>
      </c>
      <c r="RPL538" s="22" t="e">
        <f ca="1"/>
        <v>#N/A</v>
      </c>
      <c r="RPM538" s="22" t="e">
        <f ca="1"/>
        <v>#N/A</v>
      </c>
      <c r="RPN538" s="22" t="e">
        <f ca="1"/>
        <v>#N/A</v>
      </c>
      <c r="RPO538" s="22" t="e">
        <f ca="1"/>
        <v>#N/A</v>
      </c>
      <c r="RPP538" s="22" t="e">
        <f ca="1"/>
        <v>#N/A</v>
      </c>
      <c r="RPQ538" s="22" t="e">
        <f ca="1"/>
        <v>#N/A</v>
      </c>
      <c r="RPR538" s="22" t="e">
        <f ca="1"/>
        <v>#N/A</v>
      </c>
      <c r="RPS538" s="22" t="e">
        <f ca="1"/>
        <v>#N/A</v>
      </c>
      <c r="RPT538" s="22" t="e">
        <f ca="1"/>
        <v>#N/A</v>
      </c>
      <c r="RPU538" s="22" t="e">
        <f ca="1"/>
        <v>#N/A</v>
      </c>
      <c r="RPV538" s="22" t="e">
        <f ca="1"/>
        <v>#N/A</v>
      </c>
      <c r="RPW538" s="22" t="e">
        <f ca="1"/>
        <v>#N/A</v>
      </c>
      <c r="RPX538" s="22" t="e">
        <f ca="1"/>
        <v>#N/A</v>
      </c>
      <c r="RPY538" s="22" t="e">
        <f ca="1"/>
        <v>#N/A</v>
      </c>
      <c r="RPZ538" s="22" t="e">
        <f ca="1"/>
        <v>#N/A</v>
      </c>
      <c r="RQA538" s="22" t="e">
        <f ca="1"/>
        <v>#N/A</v>
      </c>
      <c r="RQB538" s="22" t="e">
        <f ca="1"/>
        <v>#N/A</v>
      </c>
      <c r="RQC538" s="22" t="e">
        <f ca="1"/>
        <v>#N/A</v>
      </c>
      <c r="RQD538" s="22" t="e">
        <f ca="1"/>
        <v>#N/A</v>
      </c>
      <c r="RQE538" s="22" t="e">
        <f ca="1"/>
        <v>#N/A</v>
      </c>
      <c r="RQF538" s="22" t="e">
        <f ca="1"/>
        <v>#N/A</v>
      </c>
      <c r="RQG538" s="22" t="e">
        <f ca="1"/>
        <v>#N/A</v>
      </c>
      <c r="RQH538" s="22" t="e">
        <f ca="1"/>
        <v>#N/A</v>
      </c>
      <c r="RQI538" s="22" t="e">
        <f ca="1"/>
        <v>#N/A</v>
      </c>
      <c r="RQJ538" s="22" t="e">
        <f ca="1"/>
        <v>#N/A</v>
      </c>
      <c r="RQK538" s="22" t="e">
        <f ca="1"/>
        <v>#N/A</v>
      </c>
      <c r="RQL538" s="22" t="e">
        <f ca="1"/>
        <v>#N/A</v>
      </c>
      <c r="RQM538" s="22" t="e">
        <f ca="1"/>
        <v>#N/A</v>
      </c>
      <c r="RQN538" s="22" t="e">
        <f ca="1"/>
        <v>#N/A</v>
      </c>
      <c r="RQO538" s="22" t="e">
        <f ca="1"/>
        <v>#N/A</v>
      </c>
      <c r="RQP538" s="22" t="e">
        <f ca="1"/>
        <v>#N/A</v>
      </c>
      <c r="RQQ538" s="22" t="e">
        <f ca="1"/>
        <v>#N/A</v>
      </c>
      <c r="RQR538" s="22" t="e">
        <f ca="1"/>
        <v>#N/A</v>
      </c>
      <c r="RQS538" s="22" t="e">
        <f ca="1"/>
        <v>#N/A</v>
      </c>
      <c r="RQT538" s="22" t="e">
        <f ca="1"/>
        <v>#N/A</v>
      </c>
      <c r="RQU538" s="22" t="e">
        <f ca="1"/>
        <v>#N/A</v>
      </c>
      <c r="RQV538" s="22" t="e">
        <f ca="1"/>
        <v>#N/A</v>
      </c>
      <c r="RQW538" s="22" t="e">
        <f ca="1"/>
        <v>#N/A</v>
      </c>
      <c r="RQX538" s="22" t="e">
        <f ca="1"/>
        <v>#N/A</v>
      </c>
      <c r="RQY538" s="22" t="e">
        <f ca="1"/>
        <v>#N/A</v>
      </c>
      <c r="RQZ538" s="22" t="e">
        <f ca="1"/>
        <v>#N/A</v>
      </c>
      <c r="RRA538" s="22" t="e">
        <f ca="1"/>
        <v>#N/A</v>
      </c>
      <c r="RRB538" s="22" t="e">
        <f ca="1"/>
        <v>#N/A</v>
      </c>
      <c r="RRC538" s="22" t="e">
        <f ca="1"/>
        <v>#N/A</v>
      </c>
      <c r="RRD538" s="22" t="e">
        <f ca="1"/>
        <v>#N/A</v>
      </c>
      <c r="RRE538" s="22" t="e">
        <f ca="1"/>
        <v>#N/A</v>
      </c>
      <c r="RRF538" s="22" t="e">
        <f ca="1"/>
        <v>#N/A</v>
      </c>
      <c r="RRG538" s="22" t="e">
        <f ca="1"/>
        <v>#N/A</v>
      </c>
      <c r="RRH538" s="22" t="e">
        <f ca="1"/>
        <v>#N/A</v>
      </c>
      <c r="RRI538" s="22" t="e">
        <f ca="1"/>
        <v>#N/A</v>
      </c>
      <c r="RRJ538" s="22" t="e">
        <f ca="1"/>
        <v>#N/A</v>
      </c>
      <c r="RRK538" s="22" t="e">
        <f ca="1"/>
        <v>#N/A</v>
      </c>
      <c r="RRL538" s="22" t="e">
        <f ca="1"/>
        <v>#N/A</v>
      </c>
      <c r="RRM538" s="22" t="e">
        <f ca="1"/>
        <v>#N/A</v>
      </c>
      <c r="RRN538" s="22" t="e">
        <f ca="1"/>
        <v>#N/A</v>
      </c>
      <c r="RRO538" s="22" t="e">
        <f ca="1"/>
        <v>#N/A</v>
      </c>
      <c r="RRP538" s="22" t="e">
        <f ca="1"/>
        <v>#N/A</v>
      </c>
      <c r="RRQ538" s="22" t="e">
        <f ca="1"/>
        <v>#N/A</v>
      </c>
      <c r="RRR538" s="22" t="e">
        <f ca="1"/>
        <v>#N/A</v>
      </c>
      <c r="RRS538" s="22" t="e">
        <f ca="1"/>
        <v>#N/A</v>
      </c>
      <c r="RRT538" s="22" t="e">
        <f ca="1"/>
        <v>#N/A</v>
      </c>
      <c r="RRU538" s="22" t="e">
        <f ca="1"/>
        <v>#N/A</v>
      </c>
      <c r="RRV538" s="22" t="e">
        <f ca="1"/>
        <v>#N/A</v>
      </c>
      <c r="RRW538" s="22" t="e">
        <f ca="1"/>
        <v>#N/A</v>
      </c>
      <c r="RRX538" s="22" t="e">
        <f ca="1"/>
        <v>#N/A</v>
      </c>
      <c r="RRY538" s="22" t="e">
        <f ca="1"/>
        <v>#N/A</v>
      </c>
      <c r="RRZ538" s="22" t="e">
        <f ca="1"/>
        <v>#N/A</v>
      </c>
      <c r="RSA538" s="22" t="e">
        <f ca="1"/>
        <v>#N/A</v>
      </c>
      <c r="RSB538" s="22" t="e">
        <f ca="1"/>
        <v>#N/A</v>
      </c>
      <c r="RSC538" s="22" t="e">
        <f ca="1"/>
        <v>#N/A</v>
      </c>
      <c r="RSD538" s="22" t="e">
        <f ca="1"/>
        <v>#N/A</v>
      </c>
      <c r="RSE538" s="22" t="e">
        <f ca="1"/>
        <v>#N/A</v>
      </c>
      <c r="RSF538" s="22" t="e">
        <f ca="1"/>
        <v>#N/A</v>
      </c>
      <c r="RSG538" s="22" t="e">
        <f ca="1"/>
        <v>#N/A</v>
      </c>
      <c r="RSH538" s="22" t="e">
        <f ca="1"/>
        <v>#N/A</v>
      </c>
      <c r="RSI538" s="22" t="e">
        <f ca="1"/>
        <v>#N/A</v>
      </c>
      <c r="RSJ538" s="22" t="e">
        <f ca="1"/>
        <v>#N/A</v>
      </c>
      <c r="RSK538" s="22" t="e">
        <f ca="1"/>
        <v>#N/A</v>
      </c>
      <c r="RSL538" s="22" t="e">
        <f ca="1"/>
        <v>#N/A</v>
      </c>
      <c r="RSM538" s="22" t="e">
        <f ca="1"/>
        <v>#N/A</v>
      </c>
      <c r="RSN538" s="22" t="e">
        <f ca="1"/>
        <v>#N/A</v>
      </c>
      <c r="RSO538" s="22" t="e">
        <f ca="1"/>
        <v>#N/A</v>
      </c>
      <c r="RSP538" s="22" t="e">
        <f ca="1"/>
        <v>#N/A</v>
      </c>
      <c r="RSQ538" s="22" t="e">
        <f ca="1"/>
        <v>#N/A</v>
      </c>
      <c r="RSR538" s="22" t="e">
        <f ca="1"/>
        <v>#N/A</v>
      </c>
      <c r="RSS538" s="22" t="e">
        <f ca="1"/>
        <v>#N/A</v>
      </c>
      <c r="RST538" s="22" t="e">
        <f ca="1"/>
        <v>#N/A</v>
      </c>
      <c r="RSU538" s="22" t="e">
        <f ca="1"/>
        <v>#N/A</v>
      </c>
      <c r="RSV538" s="22" t="e">
        <f ca="1"/>
        <v>#N/A</v>
      </c>
      <c r="RSW538" s="22" t="e">
        <f ca="1"/>
        <v>#N/A</v>
      </c>
      <c r="RSX538" s="22" t="e">
        <f ca="1"/>
        <v>#N/A</v>
      </c>
      <c r="RSY538" s="22" t="e">
        <f ca="1"/>
        <v>#N/A</v>
      </c>
      <c r="RSZ538" s="22" t="e">
        <f ca="1"/>
        <v>#N/A</v>
      </c>
      <c r="RTA538" s="22" t="e">
        <f ca="1"/>
        <v>#N/A</v>
      </c>
      <c r="RTB538" s="22" t="e">
        <f ca="1"/>
        <v>#N/A</v>
      </c>
      <c r="RTC538" s="22" t="e">
        <f ca="1"/>
        <v>#N/A</v>
      </c>
      <c r="RTD538" s="22" t="e">
        <f ca="1"/>
        <v>#N/A</v>
      </c>
      <c r="RTE538" s="22" t="e">
        <f ca="1"/>
        <v>#N/A</v>
      </c>
      <c r="RTF538" s="22" t="e">
        <f ca="1"/>
        <v>#N/A</v>
      </c>
      <c r="RTG538" s="22" t="e">
        <f ca="1"/>
        <v>#N/A</v>
      </c>
      <c r="RTH538" s="22" t="e">
        <f ca="1"/>
        <v>#N/A</v>
      </c>
      <c r="RTI538" s="22" t="e">
        <f ca="1"/>
        <v>#N/A</v>
      </c>
      <c r="RTJ538" s="22" t="e">
        <f ca="1"/>
        <v>#N/A</v>
      </c>
      <c r="RTK538" s="22" t="e">
        <f ca="1"/>
        <v>#N/A</v>
      </c>
      <c r="RTL538" s="22" t="e">
        <f ca="1"/>
        <v>#N/A</v>
      </c>
      <c r="RTM538" s="22" t="e">
        <f ca="1"/>
        <v>#N/A</v>
      </c>
      <c r="RTN538" s="22" t="e">
        <f ca="1"/>
        <v>#N/A</v>
      </c>
      <c r="RTO538" s="22" t="e">
        <f ca="1"/>
        <v>#N/A</v>
      </c>
      <c r="RTP538" s="22" t="e">
        <f ca="1"/>
        <v>#N/A</v>
      </c>
      <c r="RTQ538" s="22" t="e">
        <f ca="1"/>
        <v>#N/A</v>
      </c>
      <c r="RTR538" s="22" t="e">
        <f ca="1"/>
        <v>#N/A</v>
      </c>
      <c r="RTS538" s="22" t="e">
        <f ca="1"/>
        <v>#N/A</v>
      </c>
      <c r="RTT538" s="22" t="e">
        <f ca="1"/>
        <v>#N/A</v>
      </c>
      <c r="RTU538" s="22" t="e">
        <f ca="1"/>
        <v>#N/A</v>
      </c>
      <c r="RTV538" s="22" t="e">
        <f ca="1"/>
        <v>#N/A</v>
      </c>
      <c r="RTW538" s="22" t="e">
        <f ca="1"/>
        <v>#N/A</v>
      </c>
      <c r="RTX538" s="22" t="e">
        <f ca="1"/>
        <v>#N/A</v>
      </c>
      <c r="RTY538" s="22" t="e">
        <f ca="1"/>
        <v>#N/A</v>
      </c>
      <c r="RTZ538" s="22" t="e">
        <f ca="1"/>
        <v>#N/A</v>
      </c>
      <c r="RUA538" s="22" t="e">
        <f ca="1"/>
        <v>#N/A</v>
      </c>
      <c r="RUB538" s="22" t="e">
        <f ca="1"/>
        <v>#N/A</v>
      </c>
      <c r="RUC538" s="22" t="e">
        <f ca="1"/>
        <v>#N/A</v>
      </c>
      <c r="RUD538" s="22" t="e">
        <f ca="1"/>
        <v>#N/A</v>
      </c>
      <c r="RUE538" s="22" t="e">
        <f ca="1"/>
        <v>#N/A</v>
      </c>
      <c r="RUF538" s="22" t="e">
        <f ca="1"/>
        <v>#N/A</v>
      </c>
      <c r="RUG538" s="22" t="e">
        <f ca="1"/>
        <v>#N/A</v>
      </c>
      <c r="RUH538" s="22" t="e">
        <f ca="1"/>
        <v>#N/A</v>
      </c>
      <c r="RUI538" s="22" t="e">
        <f ca="1"/>
        <v>#N/A</v>
      </c>
      <c r="RUJ538" s="22" t="e">
        <f ca="1"/>
        <v>#N/A</v>
      </c>
      <c r="RUK538" s="22" t="e">
        <f ca="1"/>
        <v>#N/A</v>
      </c>
      <c r="RUL538" s="22" t="e">
        <f ca="1"/>
        <v>#N/A</v>
      </c>
      <c r="RUM538" s="22" t="e">
        <f ca="1"/>
        <v>#N/A</v>
      </c>
      <c r="RUN538" s="22" t="e">
        <f ca="1"/>
        <v>#N/A</v>
      </c>
      <c r="RUO538" s="22" t="e">
        <f ca="1"/>
        <v>#N/A</v>
      </c>
      <c r="RUP538" s="22" t="e">
        <f ca="1"/>
        <v>#N/A</v>
      </c>
      <c r="RUQ538" s="22" t="e">
        <f ca="1"/>
        <v>#N/A</v>
      </c>
      <c r="RUR538" s="22" t="e">
        <f ca="1"/>
        <v>#N/A</v>
      </c>
      <c r="RUS538" s="22" t="e">
        <f ca="1"/>
        <v>#N/A</v>
      </c>
      <c r="RUT538" s="22" t="e">
        <f ca="1"/>
        <v>#N/A</v>
      </c>
      <c r="RUU538" s="22" t="e">
        <f ca="1"/>
        <v>#N/A</v>
      </c>
      <c r="RUV538" s="22" t="e">
        <f ca="1"/>
        <v>#N/A</v>
      </c>
      <c r="RUW538" s="22" t="e">
        <f ca="1"/>
        <v>#N/A</v>
      </c>
      <c r="RUX538" s="22" t="e">
        <f ca="1"/>
        <v>#N/A</v>
      </c>
      <c r="RUY538" s="22" t="e">
        <f ca="1"/>
        <v>#N/A</v>
      </c>
      <c r="RUZ538" s="22" t="e">
        <f ca="1"/>
        <v>#N/A</v>
      </c>
      <c r="RVA538" s="22" t="e">
        <f ca="1"/>
        <v>#N/A</v>
      </c>
      <c r="RVB538" s="22" t="e">
        <f ca="1"/>
        <v>#N/A</v>
      </c>
      <c r="RVC538" s="22" t="e">
        <f ca="1"/>
        <v>#N/A</v>
      </c>
      <c r="RVD538" s="22" t="e">
        <f ca="1"/>
        <v>#N/A</v>
      </c>
      <c r="RVE538" s="22" t="e">
        <f ca="1"/>
        <v>#N/A</v>
      </c>
      <c r="RVF538" s="22" t="e">
        <f ca="1"/>
        <v>#N/A</v>
      </c>
      <c r="RVG538" s="22" t="e">
        <f ca="1"/>
        <v>#N/A</v>
      </c>
      <c r="RVH538" s="22" t="e">
        <f ca="1"/>
        <v>#N/A</v>
      </c>
      <c r="RVI538" s="22" t="e">
        <f ca="1"/>
        <v>#N/A</v>
      </c>
      <c r="RVJ538" s="22" t="e">
        <f ca="1"/>
        <v>#N/A</v>
      </c>
      <c r="RVK538" s="22" t="e">
        <f ca="1"/>
        <v>#N/A</v>
      </c>
      <c r="RVL538" s="22" t="e">
        <f ca="1"/>
        <v>#N/A</v>
      </c>
      <c r="RVM538" s="22" t="e">
        <f ca="1"/>
        <v>#N/A</v>
      </c>
      <c r="RVN538" s="22" t="e">
        <f ca="1"/>
        <v>#N/A</v>
      </c>
      <c r="RVO538" s="22" t="e">
        <f ca="1"/>
        <v>#N/A</v>
      </c>
      <c r="RVP538" s="22" t="e">
        <f ca="1"/>
        <v>#N/A</v>
      </c>
      <c r="RVQ538" s="22" t="e">
        <f ca="1"/>
        <v>#N/A</v>
      </c>
      <c r="RVR538" s="22" t="e">
        <f ca="1"/>
        <v>#N/A</v>
      </c>
      <c r="RVS538" s="22" t="e">
        <f ca="1"/>
        <v>#N/A</v>
      </c>
      <c r="RVT538" s="22" t="e">
        <f ca="1"/>
        <v>#N/A</v>
      </c>
      <c r="RVU538" s="22" t="e">
        <f ca="1"/>
        <v>#N/A</v>
      </c>
      <c r="RVV538" s="22" t="e">
        <f ca="1"/>
        <v>#N/A</v>
      </c>
      <c r="RVW538" s="22" t="e">
        <f ca="1"/>
        <v>#N/A</v>
      </c>
      <c r="RVX538" s="22" t="e">
        <f ca="1"/>
        <v>#N/A</v>
      </c>
      <c r="RVY538" s="22" t="e">
        <f ca="1"/>
        <v>#N/A</v>
      </c>
      <c r="RVZ538" s="22" t="e">
        <f ca="1"/>
        <v>#N/A</v>
      </c>
      <c r="RWA538" s="22" t="e">
        <f ca="1"/>
        <v>#N/A</v>
      </c>
      <c r="RWB538" s="22" t="e">
        <f ca="1"/>
        <v>#N/A</v>
      </c>
      <c r="RWC538" s="22" t="e">
        <f ca="1"/>
        <v>#N/A</v>
      </c>
      <c r="RWD538" s="22" t="e">
        <f ca="1"/>
        <v>#N/A</v>
      </c>
      <c r="RWE538" s="22" t="e">
        <f ca="1"/>
        <v>#N/A</v>
      </c>
      <c r="RWF538" s="22" t="e">
        <f ca="1"/>
        <v>#N/A</v>
      </c>
      <c r="RWG538" s="22" t="e">
        <f ca="1"/>
        <v>#N/A</v>
      </c>
      <c r="RWH538" s="22" t="e">
        <f ca="1"/>
        <v>#N/A</v>
      </c>
      <c r="RWI538" s="22" t="e">
        <f ca="1"/>
        <v>#N/A</v>
      </c>
      <c r="RWJ538" s="22" t="e">
        <f ca="1"/>
        <v>#N/A</v>
      </c>
      <c r="RWK538" s="22" t="e">
        <f ca="1"/>
        <v>#N/A</v>
      </c>
      <c r="RWL538" s="22" t="e">
        <f ca="1"/>
        <v>#N/A</v>
      </c>
      <c r="RWM538" s="22" t="e">
        <f ca="1"/>
        <v>#N/A</v>
      </c>
      <c r="RWN538" s="22" t="e">
        <f ca="1"/>
        <v>#N/A</v>
      </c>
      <c r="RWO538" s="22" t="e">
        <f ca="1"/>
        <v>#N/A</v>
      </c>
      <c r="RWP538" s="22" t="e">
        <f ca="1"/>
        <v>#N/A</v>
      </c>
      <c r="RWQ538" s="22" t="e">
        <f ca="1"/>
        <v>#N/A</v>
      </c>
      <c r="RWR538" s="22" t="e">
        <f ca="1"/>
        <v>#N/A</v>
      </c>
      <c r="RWS538" s="22" t="e">
        <f ca="1"/>
        <v>#N/A</v>
      </c>
      <c r="RWT538" s="22" t="e">
        <f ca="1"/>
        <v>#N/A</v>
      </c>
      <c r="RWU538" s="22" t="e">
        <f ca="1"/>
        <v>#N/A</v>
      </c>
      <c r="RWV538" s="22" t="e">
        <f ca="1"/>
        <v>#N/A</v>
      </c>
      <c r="RWW538" s="22" t="e">
        <f ca="1"/>
        <v>#N/A</v>
      </c>
      <c r="RWX538" s="22" t="e">
        <f ca="1"/>
        <v>#N/A</v>
      </c>
      <c r="RWY538" s="22" t="e">
        <f ca="1"/>
        <v>#N/A</v>
      </c>
      <c r="RWZ538" s="22" t="e">
        <f ca="1"/>
        <v>#N/A</v>
      </c>
      <c r="RXA538" s="22" t="e">
        <f ca="1"/>
        <v>#N/A</v>
      </c>
      <c r="RXB538" s="22" t="e">
        <f ca="1"/>
        <v>#N/A</v>
      </c>
      <c r="RXC538" s="22" t="e">
        <f ca="1"/>
        <v>#N/A</v>
      </c>
      <c r="RXD538" s="22" t="e">
        <f ca="1"/>
        <v>#N/A</v>
      </c>
      <c r="RXE538" s="22" t="e">
        <f ca="1"/>
        <v>#N/A</v>
      </c>
      <c r="RXF538" s="22" t="e">
        <f ca="1"/>
        <v>#N/A</v>
      </c>
      <c r="RXG538" s="22" t="e">
        <f ca="1"/>
        <v>#N/A</v>
      </c>
      <c r="RXH538" s="22" t="e">
        <f ca="1"/>
        <v>#N/A</v>
      </c>
      <c r="RXI538" s="22" t="e">
        <f ca="1"/>
        <v>#N/A</v>
      </c>
      <c r="RXJ538" s="22" t="e">
        <f ca="1"/>
        <v>#N/A</v>
      </c>
      <c r="RXK538" s="22" t="e">
        <f ca="1"/>
        <v>#N/A</v>
      </c>
      <c r="RXL538" s="22" t="e">
        <f ca="1"/>
        <v>#N/A</v>
      </c>
      <c r="RXM538" s="22" t="e">
        <f ca="1"/>
        <v>#N/A</v>
      </c>
      <c r="RXN538" s="22" t="e">
        <f ca="1"/>
        <v>#N/A</v>
      </c>
      <c r="RXO538" s="22" t="e">
        <f ca="1"/>
        <v>#N/A</v>
      </c>
      <c r="RXP538" s="22" t="e">
        <f ca="1"/>
        <v>#N/A</v>
      </c>
      <c r="RXQ538" s="22" t="e">
        <f ca="1"/>
        <v>#N/A</v>
      </c>
      <c r="RXR538" s="22" t="e">
        <f ca="1"/>
        <v>#N/A</v>
      </c>
      <c r="RXS538" s="22" t="e">
        <f ca="1"/>
        <v>#N/A</v>
      </c>
      <c r="RXT538" s="22" t="e">
        <f ca="1"/>
        <v>#N/A</v>
      </c>
      <c r="RXU538" s="22" t="e">
        <f ca="1"/>
        <v>#N/A</v>
      </c>
      <c r="RXV538" s="22" t="e">
        <f ca="1"/>
        <v>#N/A</v>
      </c>
      <c r="RXW538" s="22" t="e">
        <f ca="1"/>
        <v>#N/A</v>
      </c>
      <c r="RXX538" s="22" t="e">
        <f ca="1"/>
        <v>#N/A</v>
      </c>
      <c r="RXY538" s="22" t="e">
        <f ca="1"/>
        <v>#N/A</v>
      </c>
      <c r="RXZ538" s="22" t="e">
        <f ca="1"/>
        <v>#N/A</v>
      </c>
      <c r="RYA538" s="22" t="e">
        <f ca="1"/>
        <v>#N/A</v>
      </c>
      <c r="RYB538" s="22" t="e">
        <f ca="1"/>
        <v>#N/A</v>
      </c>
      <c r="RYC538" s="22" t="e">
        <f ca="1"/>
        <v>#N/A</v>
      </c>
      <c r="RYD538" s="22" t="e">
        <f ca="1"/>
        <v>#N/A</v>
      </c>
      <c r="RYE538" s="22" t="e">
        <f ca="1"/>
        <v>#N/A</v>
      </c>
      <c r="RYF538" s="22" t="e">
        <f ca="1"/>
        <v>#N/A</v>
      </c>
      <c r="RYG538" s="22" t="e">
        <f ca="1"/>
        <v>#N/A</v>
      </c>
      <c r="RYH538" s="22" t="e">
        <f ca="1"/>
        <v>#N/A</v>
      </c>
      <c r="RYI538" s="22" t="e">
        <f ca="1"/>
        <v>#N/A</v>
      </c>
      <c r="RYJ538" s="22" t="e">
        <f ca="1"/>
        <v>#N/A</v>
      </c>
      <c r="RYK538" s="22" t="e">
        <f ca="1"/>
        <v>#N/A</v>
      </c>
      <c r="RYL538" s="22" t="e">
        <f ca="1"/>
        <v>#N/A</v>
      </c>
      <c r="RYM538" s="22" t="e">
        <f ca="1"/>
        <v>#N/A</v>
      </c>
      <c r="RYN538" s="22" t="e">
        <f ca="1"/>
        <v>#N/A</v>
      </c>
      <c r="RYO538" s="22" t="e">
        <f ca="1"/>
        <v>#N/A</v>
      </c>
      <c r="RYP538" s="22" t="e">
        <f ca="1"/>
        <v>#N/A</v>
      </c>
      <c r="RYQ538" s="22" t="e">
        <f ca="1"/>
        <v>#N/A</v>
      </c>
      <c r="RYR538" s="22" t="e">
        <f ca="1"/>
        <v>#N/A</v>
      </c>
      <c r="RYS538" s="22" t="e">
        <f ca="1"/>
        <v>#N/A</v>
      </c>
      <c r="RYT538" s="22" t="e">
        <f ca="1"/>
        <v>#N/A</v>
      </c>
      <c r="RYU538" s="22" t="e">
        <f ca="1"/>
        <v>#N/A</v>
      </c>
      <c r="RYV538" s="22" t="e">
        <f ca="1"/>
        <v>#N/A</v>
      </c>
      <c r="RYW538" s="22" t="e">
        <f ca="1"/>
        <v>#N/A</v>
      </c>
      <c r="RYX538" s="22" t="e">
        <f ca="1"/>
        <v>#N/A</v>
      </c>
      <c r="RYY538" s="22" t="e">
        <f ca="1"/>
        <v>#N/A</v>
      </c>
      <c r="RYZ538" s="22" t="e">
        <f ca="1"/>
        <v>#N/A</v>
      </c>
      <c r="RZA538" s="22" t="e">
        <f ca="1"/>
        <v>#N/A</v>
      </c>
      <c r="RZB538" s="22" t="e">
        <f ca="1"/>
        <v>#N/A</v>
      </c>
      <c r="RZC538" s="22" t="e">
        <f ca="1"/>
        <v>#N/A</v>
      </c>
      <c r="RZD538" s="22" t="e">
        <f ca="1"/>
        <v>#N/A</v>
      </c>
      <c r="RZE538" s="22" t="e">
        <f ca="1"/>
        <v>#N/A</v>
      </c>
      <c r="RZF538" s="22" t="e">
        <f ca="1"/>
        <v>#N/A</v>
      </c>
      <c r="RZG538" s="22" t="e">
        <f ca="1"/>
        <v>#N/A</v>
      </c>
      <c r="RZH538" s="22" t="e">
        <f ca="1"/>
        <v>#N/A</v>
      </c>
      <c r="RZI538" s="22" t="e">
        <f ca="1"/>
        <v>#N/A</v>
      </c>
      <c r="RZJ538" s="22" t="e">
        <f ca="1"/>
        <v>#N/A</v>
      </c>
      <c r="RZK538" s="22" t="e">
        <f ca="1"/>
        <v>#N/A</v>
      </c>
      <c r="RZL538" s="22" t="e">
        <f ca="1"/>
        <v>#N/A</v>
      </c>
      <c r="RZM538" s="22" t="e">
        <f ca="1"/>
        <v>#N/A</v>
      </c>
      <c r="RZN538" s="22" t="e">
        <f ca="1"/>
        <v>#N/A</v>
      </c>
      <c r="RZO538" s="22" t="e">
        <f ca="1"/>
        <v>#N/A</v>
      </c>
      <c r="RZP538" s="22" t="e">
        <f ca="1"/>
        <v>#N/A</v>
      </c>
      <c r="RZQ538" s="22" t="e">
        <f ca="1"/>
        <v>#N/A</v>
      </c>
      <c r="RZR538" s="22" t="e">
        <f ca="1"/>
        <v>#N/A</v>
      </c>
      <c r="RZS538" s="22" t="e">
        <f ca="1"/>
        <v>#N/A</v>
      </c>
      <c r="RZT538" s="22" t="e">
        <f ca="1"/>
        <v>#N/A</v>
      </c>
      <c r="RZU538" s="22" t="e">
        <f ca="1"/>
        <v>#N/A</v>
      </c>
      <c r="RZV538" s="22" t="e">
        <f ca="1"/>
        <v>#N/A</v>
      </c>
      <c r="RZW538" s="22" t="e">
        <f ca="1"/>
        <v>#N/A</v>
      </c>
      <c r="RZX538" s="22" t="e">
        <f ca="1"/>
        <v>#N/A</v>
      </c>
      <c r="RZY538" s="22" t="e">
        <f ca="1"/>
        <v>#N/A</v>
      </c>
      <c r="RZZ538" s="22" t="e">
        <f ca="1"/>
        <v>#N/A</v>
      </c>
      <c r="SAA538" s="22" t="e">
        <f ca="1"/>
        <v>#N/A</v>
      </c>
      <c r="SAB538" s="22" t="e">
        <f ca="1"/>
        <v>#N/A</v>
      </c>
      <c r="SAC538" s="22" t="e">
        <f ca="1"/>
        <v>#N/A</v>
      </c>
      <c r="SAD538" s="22" t="e">
        <f ca="1"/>
        <v>#N/A</v>
      </c>
      <c r="SAE538" s="22" t="e">
        <f ca="1"/>
        <v>#N/A</v>
      </c>
      <c r="SAF538" s="22" t="e">
        <f ca="1"/>
        <v>#N/A</v>
      </c>
      <c r="SAG538" s="22" t="e">
        <f ca="1"/>
        <v>#N/A</v>
      </c>
      <c r="SAH538" s="22" t="e">
        <f ca="1"/>
        <v>#N/A</v>
      </c>
      <c r="SAI538" s="22" t="e">
        <f ca="1"/>
        <v>#N/A</v>
      </c>
      <c r="SAJ538" s="22" t="e">
        <f ca="1"/>
        <v>#N/A</v>
      </c>
      <c r="SAK538" s="22" t="e">
        <f ca="1"/>
        <v>#N/A</v>
      </c>
      <c r="SAL538" s="22" t="e">
        <f ca="1"/>
        <v>#N/A</v>
      </c>
      <c r="SAM538" s="22" t="e">
        <f ca="1"/>
        <v>#N/A</v>
      </c>
      <c r="SAN538" s="22" t="e">
        <f ca="1"/>
        <v>#N/A</v>
      </c>
      <c r="SAO538" s="22" t="e">
        <f ca="1"/>
        <v>#N/A</v>
      </c>
      <c r="SAP538" s="22" t="e">
        <f ca="1"/>
        <v>#N/A</v>
      </c>
      <c r="SAQ538" s="22" t="e">
        <f ca="1"/>
        <v>#N/A</v>
      </c>
      <c r="SAR538" s="22" t="e">
        <f ca="1"/>
        <v>#N/A</v>
      </c>
      <c r="SAS538" s="22" t="e">
        <f ca="1"/>
        <v>#N/A</v>
      </c>
      <c r="SAT538" s="22" t="e">
        <f ca="1"/>
        <v>#N/A</v>
      </c>
      <c r="SAU538" s="22" t="e">
        <f ca="1"/>
        <v>#N/A</v>
      </c>
      <c r="SAV538" s="22" t="e">
        <f ca="1"/>
        <v>#N/A</v>
      </c>
      <c r="SAW538" s="22" t="e">
        <f ca="1"/>
        <v>#N/A</v>
      </c>
      <c r="SAX538" s="22" t="e">
        <f ca="1"/>
        <v>#N/A</v>
      </c>
      <c r="SAY538" s="22" t="e">
        <f ca="1"/>
        <v>#N/A</v>
      </c>
      <c r="SAZ538" s="22" t="e">
        <f ca="1"/>
        <v>#N/A</v>
      </c>
      <c r="SBA538" s="22" t="e">
        <f ca="1"/>
        <v>#N/A</v>
      </c>
      <c r="SBB538" s="22" t="e">
        <f ca="1"/>
        <v>#N/A</v>
      </c>
      <c r="SBC538" s="22" t="e">
        <f ca="1"/>
        <v>#N/A</v>
      </c>
      <c r="SBD538" s="22" t="e">
        <f ca="1"/>
        <v>#N/A</v>
      </c>
      <c r="SBE538" s="22" t="e">
        <f ca="1"/>
        <v>#N/A</v>
      </c>
      <c r="SBF538" s="22" t="e">
        <f ca="1"/>
        <v>#N/A</v>
      </c>
      <c r="SBG538" s="22" t="e">
        <f ca="1"/>
        <v>#N/A</v>
      </c>
      <c r="SBH538" s="22" t="e">
        <f ca="1"/>
        <v>#N/A</v>
      </c>
      <c r="SBI538" s="22" t="e">
        <f ca="1"/>
        <v>#N/A</v>
      </c>
      <c r="SBJ538" s="22" t="e">
        <f ca="1"/>
        <v>#N/A</v>
      </c>
      <c r="SBK538" s="22" t="e">
        <f ca="1"/>
        <v>#N/A</v>
      </c>
      <c r="SBL538" s="22" t="e">
        <f ca="1"/>
        <v>#N/A</v>
      </c>
      <c r="SBM538" s="22" t="e">
        <f ca="1"/>
        <v>#N/A</v>
      </c>
      <c r="SBN538" s="22" t="e">
        <f ca="1"/>
        <v>#N/A</v>
      </c>
      <c r="SBO538" s="22" t="e">
        <f ca="1"/>
        <v>#N/A</v>
      </c>
      <c r="SBP538" s="22" t="e">
        <f ca="1"/>
        <v>#N/A</v>
      </c>
      <c r="SBQ538" s="22" t="e">
        <f ca="1"/>
        <v>#N/A</v>
      </c>
      <c r="SBR538" s="22" t="e">
        <f ca="1"/>
        <v>#N/A</v>
      </c>
      <c r="SBS538" s="22" t="e">
        <f ca="1"/>
        <v>#N/A</v>
      </c>
      <c r="SBT538" s="22" t="e">
        <f ca="1"/>
        <v>#N/A</v>
      </c>
      <c r="SBU538" s="22" t="e">
        <f ca="1"/>
        <v>#N/A</v>
      </c>
      <c r="SBV538" s="22" t="e">
        <f ca="1"/>
        <v>#N/A</v>
      </c>
      <c r="SBW538" s="22" t="e">
        <f ca="1"/>
        <v>#N/A</v>
      </c>
      <c r="SBX538" s="22" t="e">
        <f ca="1"/>
        <v>#N/A</v>
      </c>
      <c r="SBY538" s="22" t="e">
        <f ca="1"/>
        <v>#N/A</v>
      </c>
      <c r="SBZ538" s="22" t="e">
        <f ca="1"/>
        <v>#N/A</v>
      </c>
      <c r="SCA538" s="22" t="e">
        <f ca="1"/>
        <v>#N/A</v>
      </c>
      <c r="SCB538" s="22" t="e">
        <f ca="1"/>
        <v>#N/A</v>
      </c>
      <c r="SCC538" s="22" t="e">
        <f ca="1"/>
        <v>#N/A</v>
      </c>
      <c r="SCD538" s="22" t="e">
        <f ca="1"/>
        <v>#N/A</v>
      </c>
      <c r="SCE538" s="22" t="e">
        <f ca="1"/>
        <v>#N/A</v>
      </c>
      <c r="SCF538" s="22" t="e">
        <f ca="1"/>
        <v>#N/A</v>
      </c>
      <c r="SCG538" s="22" t="e">
        <f ca="1"/>
        <v>#N/A</v>
      </c>
      <c r="SCH538" s="22" t="e">
        <f ca="1"/>
        <v>#N/A</v>
      </c>
      <c r="SCI538" s="22" t="e">
        <f ca="1"/>
        <v>#N/A</v>
      </c>
      <c r="SCJ538" s="22" t="e">
        <f ca="1"/>
        <v>#N/A</v>
      </c>
      <c r="SCK538" s="22" t="e">
        <f ca="1"/>
        <v>#N/A</v>
      </c>
      <c r="SCL538" s="22" t="e">
        <f ca="1"/>
        <v>#N/A</v>
      </c>
      <c r="SCM538" s="22" t="e">
        <f ca="1"/>
        <v>#N/A</v>
      </c>
      <c r="SCN538" s="22" t="e">
        <f ca="1"/>
        <v>#N/A</v>
      </c>
      <c r="SCO538" s="22" t="e">
        <f ca="1"/>
        <v>#N/A</v>
      </c>
      <c r="SCP538" s="22" t="e">
        <f ca="1"/>
        <v>#N/A</v>
      </c>
      <c r="SCQ538" s="22" t="e">
        <f ca="1"/>
        <v>#N/A</v>
      </c>
      <c r="SCR538" s="22" t="e">
        <f ca="1"/>
        <v>#N/A</v>
      </c>
      <c r="SCS538" s="22" t="e">
        <f ca="1"/>
        <v>#N/A</v>
      </c>
      <c r="SCT538" s="22" t="e">
        <f ca="1"/>
        <v>#N/A</v>
      </c>
      <c r="SCU538" s="22" t="e">
        <f ca="1"/>
        <v>#N/A</v>
      </c>
      <c r="SCV538" s="22" t="e">
        <f ca="1"/>
        <v>#N/A</v>
      </c>
      <c r="SCW538" s="22" t="e">
        <f ca="1"/>
        <v>#N/A</v>
      </c>
      <c r="SCX538" s="22" t="e">
        <f ca="1"/>
        <v>#N/A</v>
      </c>
      <c r="SCY538" s="22" t="e">
        <f ca="1"/>
        <v>#N/A</v>
      </c>
      <c r="SCZ538" s="22" t="e">
        <f ca="1"/>
        <v>#N/A</v>
      </c>
      <c r="SDA538" s="22" t="e">
        <f ca="1"/>
        <v>#N/A</v>
      </c>
      <c r="SDB538" s="22" t="e">
        <f ca="1"/>
        <v>#N/A</v>
      </c>
      <c r="SDC538" s="22" t="e">
        <f ca="1"/>
        <v>#N/A</v>
      </c>
      <c r="SDD538" s="22" t="e">
        <f ca="1"/>
        <v>#N/A</v>
      </c>
      <c r="SDE538" s="22" t="e">
        <f ca="1"/>
        <v>#N/A</v>
      </c>
      <c r="SDF538" s="22" t="e">
        <f ca="1"/>
        <v>#N/A</v>
      </c>
      <c r="SDG538" s="22" t="e">
        <f ca="1"/>
        <v>#N/A</v>
      </c>
      <c r="SDH538" s="22" t="e">
        <f ca="1"/>
        <v>#N/A</v>
      </c>
      <c r="SDI538" s="22" t="e">
        <f ca="1"/>
        <v>#N/A</v>
      </c>
      <c r="SDJ538" s="22" t="e">
        <f ca="1"/>
        <v>#N/A</v>
      </c>
      <c r="SDK538" s="22" t="e">
        <f ca="1"/>
        <v>#N/A</v>
      </c>
      <c r="SDL538" s="22" t="e">
        <f ca="1"/>
        <v>#N/A</v>
      </c>
      <c r="SDM538" s="22" t="e">
        <f ca="1"/>
        <v>#N/A</v>
      </c>
      <c r="SDN538" s="22" t="e">
        <f ca="1"/>
        <v>#N/A</v>
      </c>
      <c r="SDO538" s="22" t="e">
        <f ca="1"/>
        <v>#N/A</v>
      </c>
      <c r="SDP538" s="22" t="e">
        <f ca="1"/>
        <v>#N/A</v>
      </c>
      <c r="SDQ538" s="22" t="e">
        <f ca="1"/>
        <v>#N/A</v>
      </c>
      <c r="SDR538" s="22" t="e">
        <f ca="1"/>
        <v>#N/A</v>
      </c>
      <c r="SDS538" s="22" t="e">
        <f ca="1"/>
        <v>#N/A</v>
      </c>
      <c r="SDT538" s="22" t="e">
        <f ca="1"/>
        <v>#N/A</v>
      </c>
      <c r="SDU538" s="22" t="e">
        <f ca="1"/>
        <v>#N/A</v>
      </c>
      <c r="SDV538" s="22" t="e">
        <f ca="1"/>
        <v>#N/A</v>
      </c>
      <c r="SDW538" s="22" t="e">
        <f ca="1"/>
        <v>#N/A</v>
      </c>
      <c r="SDX538" s="22" t="e">
        <f ca="1"/>
        <v>#N/A</v>
      </c>
      <c r="SDY538" s="22" t="e">
        <f ca="1"/>
        <v>#N/A</v>
      </c>
      <c r="SDZ538" s="22" t="e">
        <f ca="1"/>
        <v>#N/A</v>
      </c>
      <c r="SEA538" s="22" t="e">
        <f ca="1"/>
        <v>#N/A</v>
      </c>
      <c r="SEB538" s="22" t="e">
        <f ca="1"/>
        <v>#N/A</v>
      </c>
      <c r="SEC538" s="22" t="e">
        <f ca="1"/>
        <v>#N/A</v>
      </c>
      <c r="SED538" s="22" t="e">
        <f ca="1"/>
        <v>#N/A</v>
      </c>
      <c r="SEE538" s="22" t="e">
        <f ca="1"/>
        <v>#N/A</v>
      </c>
      <c r="SEF538" s="22" t="e">
        <f ca="1"/>
        <v>#N/A</v>
      </c>
      <c r="SEG538" s="22" t="e">
        <f ca="1"/>
        <v>#N/A</v>
      </c>
      <c r="SEH538" s="22" t="e">
        <f ca="1"/>
        <v>#N/A</v>
      </c>
      <c r="SEI538" s="22" t="e">
        <f ca="1"/>
        <v>#N/A</v>
      </c>
      <c r="SEJ538" s="22" t="e">
        <f ca="1"/>
        <v>#N/A</v>
      </c>
      <c r="SEK538" s="22" t="e">
        <f ca="1"/>
        <v>#N/A</v>
      </c>
      <c r="SEL538" s="22" t="e">
        <f ca="1"/>
        <v>#N/A</v>
      </c>
      <c r="SEM538" s="22" t="e">
        <f ca="1"/>
        <v>#N/A</v>
      </c>
      <c r="SEN538" s="22" t="e">
        <f ca="1"/>
        <v>#N/A</v>
      </c>
      <c r="SEO538" s="22" t="e">
        <f ca="1"/>
        <v>#N/A</v>
      </c>
      <c r="SEP538" s="22" t="e">
        <f ca="1"/>
        <v>#N/A</v>
      </c>
      <c r="SEQ538" s="22" t="e">
        <f ca="1"/>
        <v>#N/A</v>
      </c>
      <c r="SER538" s="22" t="e">
        <f ca="1"/>
        <v>#N/A</v>
      </c>
      <c r="SES538" s="22" t="e">
        <f ca="1"/>
        <v>#N/A</v>
      </c>
      <c r="SET538" s="22" t="e">
        <f ca="1"/>
        <v>#N/A</v>
      </c>
      <c r="SEU538" s="22" t="e">
        <f ca="1"/>
        <v>#N/A</v>
      </c>
      <c r="SEV538" s="22" t="e">
        <f ca="1"/>
        <v>#N/A</v>
      </c>
      <c r="SEW538" s="22" t="e">
        <f ca="1"/>
        <v>#N/A</v>
      </c>
      <c r="SEX538" s="22" t="e">
        <f ca="1"/>
        <v>#N/A</v>
      </c>
      <c r="SEY538" s="22" t="e">
        <f ca="1"/>
        <v>#N/A</v>
      </c>
      <c r="SEZ538" s="22" t="e">
        <f ca="1"/>
        <v>#N/A</v>
      </c>
      <c r="SFA538" s="22" t="e">
        <f ca="1"/>
        <v>#N/A</v>
      </c>
      <c r="SFB538" s="22" t="e">
        <f ca="1"/>
        <v>#N/A</v>
      </c>
      <c r="SFC538" s="22" t="e">
        <f ca="1"/>
        <v>#N/A</v>
      </c>
      <c r="SFD538" s="22" t="e">
        <f ca="1"/>
        <v>#N/A</v>
      </c>
      <c r="SFE538" s="22" t="e">
        <f ca="1"/>
        <v>#N/A</v>
      </c>
      <c r="SFF538" s="22" t="e">
        <f ca="1"/>
        <v>#N/A</v>
      </c>
      <c r="SFG538" s="22" t="e">
        <f ca="1"/>
        <v>#N/A</v>
      </c>
      <c r="SFH538" s="22" t="e">
        <f ca="1"/>
        <v>#N/A</v>
      </c>
      <c r="SFI538" s="22" t="e">
        <f ca="1"/>
        <v>#N/A</v>
      </c>
      <c r="SFJ538" s="22" t="e">
        <f ca="1"/>
        <v>#N/A</v>
      </c>
      <c r="SFK538" s="22" t="e">
        <f ca="1"/>
        <v>#N/A</v>
      </c>
      <c r="SFL538" s="22" t="e">
        <f ca="1"/>
        <v>#N/A</v>
      </c>
      <c r="SFM538" s="22" t="e">
        <f ca="1"/>
        <v>#N/A</v>
      </c>
      <c r="SFN538" s="22" t="e">
        <f ca="1"/>
        <v>#N/A</v>
      </c>
      <c r="SFO538" s="22" t="e">
        <f ca="1"/>
        <v>#N/A</v>
      </c>
      <c r="SFP538" s="22" t="e">
        <f ca="1"/>
        <v>#N/A</v>
      </c>
      <c r="SFQ538" s="22" t="e">
        <f ca="1"/>
        <v>#N/A</v>
      </c>
      <c r="SFR538" s="22" t="e">
        <f ca="1"/>
        <v>#N/A</v>
      </c>
      <c r="SFS538" s="22" t="e">
        <f ca="1"/>
        <v>#N/A</v>
      </c>
      <c r="SFT538" s="22" t="e">
        <f ca="1"/>
        <v>#N/A</v>
      </c>
      <c r="SFU538" s="22" t="e">
        <f ca="1"/>
        <v>#N/A</v>
      </c>
      <c r="SFV538" s="22" t="e">
        <f ca="1"/>
        <v>#N/A</v>
      </c>
      <c r="SFW538" s="22" t="e">
        <f ca="1"/>
        <v>#N/A</v>
      </c>
      <c r="SFX538" s="22" t="e">
        <f ca="1"/>
        <v>#N/A</v>
      </c>
      <c r="SFY538" s="22" t="e">
        <f ca="1"/>
        <v>#N/A</v>
      </c>
      <c r="SFZ538" s="22" t="e">
        <f ca="1"/>
        <v>#N/A</v>
      </c>
      <c r="SGA538" s="22" t="e">
        <f ca="1"/>
        <v>#N/A</v>
      </c>
      <c r="SGB538" s="22" t="e">
        <f ca="1"/>
        <v>#N/A</v>
      </c>
      <c r="SGC538" s="22" t="e">
        <f ca="1"/>
        <v>#N/A</v>
      </c>
      <c r="SGD538" s="22" t="e">
        <f ca="1"/>
        <v>#N/A</v>
      </c>
      <c r="SGE538" s="22" t="e">
        <f ca="1"/>
        <v>#N/A</v>
      </c>
      <c r="SGF538" s="22" t="e">
        <f ca="1"/>
        <v>#N/A</v>
      </c>
      <c r="SGG538" s="22" t="e">
        <f ca="1"/>
        <v>#N/A</v>
      </c>
      <c r="SGH538" s="22" t="e">
        <f ca="1"/>
        <v>#N/A</v>
      </c>
      <c r="SGI538" s="22" t="e">
        <f ca="1"/>
        <v>#N/A</v>
      </c>
      <c r="SGJ538" s="22" t="e">
        <f ca="1"/>
        <v>#N/A</v>
      </c>
      <c r="SGK538" s="22" t="e">
        <f ca="1"/>
        <v>#N/A</v>
      </c>
      <c r="SGL538" s="22" t="e">
        <f ca="1"/>
        <v>#N/A</v>
      </c>
      <c r="SGM538" s="22" t="e">
        <f ca="1"/>
        <v>#N/A</v>
      </c>
      <c r="SGN538" s="22" t="e">
        <f ca="1"/>
        <v>#N/A</v>
      </c>
      <c r="SGO538" s="22" t="e">
        <f ca="1"/>
        <v>#N/A</v>
      </c>
      <c r="SGP538" s="22" t="e">
        <f ca="1"/>
        <v>#N/A</v>
      </c>
      <c r="SGQ538" s="22" t="e">
        <f ca="1"/>
        <v>#N/A</v>
      </c>
      <c r="SGR538" s="22" t="e">
        <f ca="1"/>
        <v>#N/A</v>
      </c>
      <c r="SGS538" s="22" t="e">
        <f ca="1"/>
        <v>#N/A</v>
      </c>
      <c r="SGT538" s="22" t="e">
        <f ca="1"/>
        <v>#N/A</v>
      </c>
      <c r="SGU538" s="22" t="e">
        <f ca="1"/>
        <v>#N/A</v>
      </c>
      <c r="SGV538" s="22" t="e">
        <f ca="1"/>
        <v>#N/A</v>
      </c>
      <c r="SGW538" s="22" t="e">
        <f ca="1"/>
        <v>#N/A</v>
      </c>
      <c r="SGX538" s="22" t="e">
        <f ca="1"/>
        <v>#N/A</v>
      </c>
      <c r="SGY538" s="22" t="e">
        <f ca="1"/>
        <v>#N/A</v>
      </c>
      <c r="SGZ538" s="22" t="e">
        <f ca="1"/>
        <v>#N/A</v>
      </c>
      <c r="SHA538" s="22" t="e">
        <f ca="1"/>
        <v>#N/A</v>
      </c>
      <c r="SHB538" s="22" t="e">
        <f ca="1"/>
        <v>#N/A</v>
      </c>
      <c r="SHC538" s="22" t="e">
        <f ca="1"/>
        <v>#N/A</v>
      </c>
      <c r="SHD538" s="22" t="e">
        <f ca="1"/>
        <v>#N/A</v>
      </c>
      <c r="SHE538" s="22" t="e">
        <f ca="1"/>
        <v>#N/A</v>
      </c>
      <c r="SHF538" s="22" t="e">
        <f ca="1"/>
        <v>#N/A</v>
      </c>
      <c r="SHG538" s="22" t="e">
        <f ca="1"/>
        <v>#N/A</v>
      </c>
      <c r="SHH538" s="22" t="e">
        <f ca="1"/>
        <v>#N/A</v>
      </c>
      <c r="SHI538" s="22" t="e">
        <f ca="1"/>
        <v>#N/A</v>
      </c>
      <c r="SHJ538" s="22" t="e">
        <f ca="1"/>
        <v>#N/A</v>
      </c>
      <c r="SHK538" s="22" t="e">
        <f ca="1"/>
        <v>#N/A</v>
      </c>
      <c r="SHL538" s="22" t="e">
        <f ca="1"/>
        <v>#N/A</v>
      </c>
      <c r="SHM538" s="22" t="e">
        <f ca="1"/>
        <v>#N/A</v>
      </c>
      <c r="SHN538" s="22" t="e">
        <f ca="1"/>
        <v>#N/A</v>
      </c>
      <c r="SHO538" s="22" t="e">
        <f ca="1"/>
        <v>#N/A</v>
      </c>
      <c r="SHP538" s="22" t="e">
        <f ca="1"/>
        <v>#N/A</v>
      </c>
      <c r="SHQ538" s="22" t="e">
        <f ca="1"/>
        <v>#N/A</v>
      </c>
      <c r="SHR538" s="22" t="e">
        <f ca="1"/>
        <v>#N/A</v>
      </c>
      <c r="SHS538" s="22" t="e">
        <f ca="1"/>
        <v>#N/A</v>
      </c>
      <c r="SHT538" s="22" t="e">
        <f ca="1"/>
        <v>#N/A</v>
      </c>
      <c r="SHU538" s="22" t="e">
        <f ca="1"/>
        <v>#N/A</v>
      </c>
      <c r="SHV538" s="22" t="e">
        <f ca="1"/>
        <v>#N/A</v>
      </c>
      <c r="SHW538" s="22" t="e">
        <f ca="1"/>
        <v>#N/A</v>
      </c>
      <c r="SHX538" s="22" t="e">
        <f ca="1"/>
        <v>#N/A</v>
      </c>
      <c r="SHY538" s="22" t="e">
        <f ca="1"/>
        <v>#N/A</v>
      </c>
      <c r="SHZ538" s="22" t="e">
        <f ca="1"/>
        <v>#N/A</v>
      </c>
      <c r="SIA538" s="22" t="e">
        <f ca="1"/>
        <v>#N/A</v>
      </c>
      <c r="SIB538" s="22" t="e">
        <f ca="1"/>
        <v>#N/A</v>
      </c>
      <c r="SIC538" s="22" t="e">
        <f ca="1"/>
        <v>#N/A</v>
      </c>
      <c r="SID538" s="22" t="e">
        <f ca="1"/>
        <v>#N/A</v>
      </c>
      <c r="SIE538" s="22" t="e">
        <f ca="1"/>
        <v>#N/A</v>
      </c>
      <c r="SIF538" s="22" t="e">
        <f ca="1"/>
        <v>#N/A</v>
      </c>
      <c r="SIG538" s="22" t="e">
        <f ca="1"/>
        <v>#N/A</v>
      </c>
      <c r="SIH538" s="22" t="e">
        <f ca="1"/>
        <v>#N/A</v>
      </c>
      <c r="SII538" s="22" t="e">
        <f ca="1"/>
        <v>#N/A</v>
      </c>
      <c r="SIJ538" s="22" t="e">
        <f ca="1"/>
        <v>#N/A</v>
      </c>
      <c r="SIK538" s="22" t="e">
        <f ca="1"/>
        <v>#N/A</v>
      </c>
      <c r="SIL538" s="22" t="e">
        <f ca="1"/>
        <v>#N/A</v>
      </c>
      <c r="SIM538" s="22" t="e">
        <f ca="1"/>
        <v>#N/A</v>
      </c>
      <c r="SIN538" s="22" t="e">
        <f ca="1"/>
        <v>#N/A</v>
      </c>
      <c r="SIO538" s="22" t="e">
        <f ca="1"/>
        <v>#N/A</v>
      </c>
      <c r="SIP538" s="22" t="e">
        <f ca="1"/>
        <v>#N/A</v>
      </c>
      <c r="SIQ538" s="22" t="e">
        <f ca="1"/>
        <v>#N/A</v>
      </c>
      <c r="SIR538" s="22" t="e">
        <f ca="1"/>
        <v>#N/A</v>
      </c>
      <c r="SIS538" s="22" t="e">
        <f ca="1"/>
        <v>#N/A</v>
      </c>
      <c r="SIT538" s="22" t="e">
        <f ca="1"/>
        <v>#N/A</v>
      </c>
      <c r="SIU538" s="22" t="e">
        <f ca="1"/>
        <v>#N/A</v>
      </c>
      <c r="SIV538" s="22" t="e">
        <f ca="1"/>
        <v>#N/A</v>
      </c>
      <c r="SIW538" s="22" t="e">
        <f ca="1"/>
        <v>#N/A</v>
      </c>
      <c r="SIX538" s="22" t="e">
        <f ca="1"/>
        <v>#N/A</v>
      </c>
      <c r="SIY538" s="22" t="e">
        <f ca="1"/>
        <v>#N/A</v>
      </c>
      <c r="SIZ538" s="22" t="e">
        <f ca="1"/>
        <v>#N/A</v>
      </c>
      <c r="SJA538" s="22" t="e">
        <f ca="1"/>
        <v>#N/A</v>
      </c>
      <c r="SJB538" s="22" t="e">
        <f ca="1"/>
        <v>#N/A</v>
      </c>
      <c r="SJC538" s="22" t="e">
        <f ca="1"/>
        <v>#N/A</v>
      </c>
      <c r="SJD538" s="22" t="e">
        <f ca="1"/>
        <v>#N/A</v>
      </c>
      <c r="SJE538" s="22" t="e">
        <f ca="1"/>
        <v>#N/A</v>
      </c>
      <c r="SJF538" s="22" t="e">
        <f ca="1"/>
        <v>#N/A</v>
      </c>
      <c r="SJG538" s="22" t="e">
        <f ca="1"/>
        <v>#N/A</v>
      </c>
      <c r="SJH538" s="22" t="e">
        <f ca="1"/>
        <v>#N/A</v>
      </c>
      <c r="SJI538" s="22" t="e">
        <f ca="1"/>
        <v>#N/A</v>
      </c>
      <c r="SJJ538" s="22" t="e">
        <f ca="1"/>
        <v>#N/A</v>
      </c>
      <c r="SJK538" s="22" t="e">
        <f ca="1"/>
        <v>#N/A</v>
      </c>
      <c r="SJL538" s="22" t="e">
        <f ca="1"/>
        <v>#N/A</v>
      </c>
      <c r="SJM538" s="22" t="e">
        <f ca="1"/>
        <v>#N/A</v>
      </c>
      <c r="SJN538" s="22" t="e">
        <f ca="1"/>
        <v>#N/A</v>
      </c>
      <c r="SJO538" s="22" t="e">
        <f ca="1"/>
        <v>#N/A</v>
      </c>
      <c r="SJP538" s="22" t="e">
        <f ca="1"/>
        <v>#N/A</v>
      </c>
      <c r="SJQ538" s="22" t="e">
        <f ca="1"/>
        <v>#N/A</v>
      </c>
      <c r="SJR538" s="22" t="e">
        <f ca="1"/>
        <v>#N/A</v>
      </c>
      <c r="SJS538" s="22" t="e">
        <f ca="1"/>
        <v>#N/A</v>
      </c>
      <c r="SJT538" s="22" t="e">
        <f ca="1"/>
        <v>#N/A</v>
      </c>
      <c r="SJU538" s="22" t="e">
        <f ca="1"/>
        <v>#N/A</v>
      </c>
      <c r="SJV538" s="22" t="e">
        <f ca="1"/>
        <v>#N/A</v>
      </c>
      <c r="SJW538" s="22" t="e">
        <f ca="1"/>
        <v>#N/A</v>
      </c>
      <c r="SJX538" s="22" t="e">
        <f ca="1"/>
        <v>#N/A</v>
      </c>
      <c r="SJY538" s="22" t="e">
        <f ca="1"/>
        <v>#N/A</v>
      </c>
      <c r="SJZ538" s="22" t="e">
        <f ca="1"/>
        <v>#N/A</v>
      </c>
      <c r="SKA538" s="22" t="e">
        <f ca="1"/>
        <v>#N/A</v>
      </c>
      <c r="SKB538" s="22" t="e">
        <f ca="1"/>
        <v>#N/A</v>
      </c>
      <c r="SKC538" s="22" t="e">
        <f ca="1"/>
        <v>#N/A</v>
      </c>
      <c r="SKD538" s="22" t="e">
        <f ca="1"/>
        <v>#N/A</v>
      </c>
      <c r="SKE538" s="22" t="e">
        <f ca="1"/>
        <v>#N/A</v>
      </c>
      <c r="SKF538" s="22" t="e">
        <f ca="1"/>
        <v>#N/A</v>
      </c>
      <c r="SKG538" s="22" t="e">
        <f ca="1"/>
        <v>#N/A</v>
      </c>
      <c r="SKH538" s="22" t="e">
        <f ca="1"/>
        <v>#N/A</v>
      </c>
      <c r="SKI538" s="22" t="e">
        <f ca="1"/>
        <v>#N/A</v>
      </c>
      <c r="SKJ538" s="22" t="e">
        <f ca="1"/>
        <v>#N/A</v>
      </c>
      <c r="SKK538" s="22" t="e">
        <f ca="1"/>
        <v>#N/A</v>
      </c>
      <c r="SKL538" s="22" t="e">
        <f ca="1"/>
        <v>#N/A</v>
      </c>
      <c r="SKM538" s="22" t="e">
        <f ca="1"/>
        <v>#N/A</v>
      </c>
      <c r="SKN538" s="22" t="e">
        <f ca="1"/>
        <v>#N/A</v>
      </c>
      <c r="SKO538" s="22" t="e">
        <f ca="1"/>
        <v>#N/A</v>
      </c>
      <c r="SKP538" s="22" t="e">
        <f ca="1"/>
        <v>#N/A</v>
      </c>
      <c r="SKQ538" s="22" t="e">
        <f ca="1"/>
        <v>#N/A</v>
      </c>
      <c r="SKR538" s="22" t="e">
        <f ca="1"/>
        <v>#N/A</v>
      </c>
      <c r="SKS538" s="22" t="e">
        <f ca="1"/>
        <v>#N/A</v>
      </c>
      <c r="SKT538" s="22" t="e">
        <f ca="1"/>
        <v>#N/A</v>
      </c>
      <c r="SKU538" s="22" t="e">
        <f ca="1"/>
        <v>#N/A</v>
      </c>
      <c r="SKV538" s="22" t="e">
        <f ca="1"/>
        <v>#N/A</v>
      </c>
      <c r="SKW538" s="22" t="e">
        <f ca="1"/>
        <v>#N/A</v>
      </c>
      <c r="SKX538" s="22" t="e">
        <f ca="1"/>
        <v>#N/A</v>
      </c>
      <c r="SKY538" s="22" t="e">
        <f ca="1"/>
        <v>#N/A</v>
      </c>
      <c r="SKZ538" s="22" t="e">
        <f ca="1"/>
        <v>#N/A</v>
      </c>
      <c r="SLA538" s="22" t="e">
        <f ca="1"/>
        <v>#N/A</v>
      </c>
      <c r="SLB538" s="22" t="e">
        <f ca="1"/>
        <v>#N/A</v>
      </c>
      <c r="SLC538" s="22" t="e">
        <f ca="1"/>
        <v>#N/A</v>
      </c>
      <c r="SLD538" s="22" t="e">
        <f ca="1"/>
        <v>#N/A</v>
      </c>
      <c r="SLE538" s="22" t="e">
        <f ca="1"/>
        <v>#N/A</v>
      </c>
      <c r="SLF538" s="22" t="e">
        <f ca="1"/>
        <v>#N/A</v>
      </c>
      <c r="SLG538" s="22" t="e">
        <f ca="1"/>
        <v>#N/A</v>
      </c>
      <c r="SLH538" s="22" t="e">
        <f ca="1"/>
        <v>#N/A</v>
      </c>
      <c r="SLI538" s="22" t="e">
        <f ca="1"/>
        <v>#N/A</v>
      </c>
      <c r="SLJ538" s="22" t="e">
        <f ca="1"/>
        <v>#N/A</v>
      </c>
      <c r="SLK538" s="22" t="e">
        <f ca="1"/>
        <v>#N/A</v>
      </c>
      <c r="SLL538" s="22" t="e">
        <f ca="1"/>
        <v>#N/A</v>
      </c>
      <c r="SLM538" s="22" t="e">
        <f ca="1"/>
        <v>#N/A</v>
      </c>
      <c r="SLN538" s="22" t="e">
        <f ca="1"/>
        <v>#N/A</v>
      </c>
      <c r="SLO538" s="22" t="e">
        <f ca="1"/>
        <v>#N/A</v>
      </c>
      <c r="SLP538" s="22" t="e">
        <f ca="1"/>
        <v>#N/A</v>
      </c>
      <c r="SLQ538" s="22" t="e">
        <f ca="1"/>
        <v>#N/A</v>
      </c>
      <c r="SLR538" s="22" t="e">
        <f ca="1"/>
        <v>#N/A</v>
      </c>
      <c r="SLS538" s="22" t="e">
        <f ca="1"/>
        <v>#N/A</v>
      </c>
      <c r="SLT538" s="22" t="e">
        <f ca="1"/>
        <v>#N/A</v>
      </c>
      <c r="SLU538" s="22" t="e">
        <f ca="1"/>
        <v>#N/A</v>
      </c>
      <c r="SLV538" s="22" t="e">
        <f ca="1"/>
        <v>#N/A</v>
      </c>
      <c r="SLW538" s="22" t="e">
        <f ca="1"/>
        <v>#N/A</v>
      </c>
      <c r="SLX538" s="22" t="e">
        <f ca="1"/>
        <v>#N/A</v>
      </c>
      <c r="SLY538" s="22" t="e">
        <f ca="1"/>
        <v>#N/A</v>
      </c>
      <c r="SLZ538" s="22" t="e">
        <f ca="1"/>
        <v>#N/A</v>
      </c>
      <c r="SMA538" s="22" t="e">
        <f ca="1"/>
        <v>#N/A</v>
      </c>
      <c r="SMB538" s="22" t="e">
        <f ca="1"/>
        <v>#N/A</v>
      </c>
      <c r="SMC538" s="22" t="e">
        <f ca="1"/>
        <v>#N/A</v>
      </c>
      <c r="SMD538" s="22" t="e">
        <f ca="1"/>
        <v>#N/A</v>
      </c>
      <c r="SME538" s="22" t="e">
        <f ca="1"/>
        <v>#N/A</v>
      </c>
      <c r="SMF538" s="22" t="e">
        <f ca="1"/>
        <v>#N/A</v>
      </c>
      <c r="SMG538" s="22" t="e">
        <f ca="1"/>
        <v>#N/A</v>
      </c>
      <c r="SMH538" s="22" t="e">
        <f ca="1"/>
        <v>#N/A</v>
      </c>
      <c r="SMI538" s="22" t="e">
        <f ca="1"/>
        <v>#N/A</v>
      </c>
      <c r="SMJ538" s="22" t="e">
        <f ca="1"/>
        <v>#N/A</v>
      </c>
      <c r="SMK538" s="22" t="e">
        <f ca="1"/>
        <v>#N/A</v>
      </c>
      <c r="SML538" s="22" t="e">
        <f ca="1"/>
        <v>#N/A</v>
      </c>
      <c r="SMM538" s="22" t="e">
        <f ca="1"/>
        <v>#N/A</v>
      </c>
      <c r="SMN538" s="22" t="e">
        <f ca="1"/>
        <v>#N/A</v>
      </c>
      <c r="SMO538" s="22" t="e">
        <f ca="1"/>
        <v>#N/A</v>
      </c>
      <c r="SMP538" s="22" t="e">
        <f ca="1"/>
        <v>#N/A</v>
      </c>
      <c r="SMQ538" s="22" t="e">
        <f ca="1"/>
        <v>#N/A</v>
      </c>
      <c r="SMR538" s="22" t="e">
        <f ca="1"/>
        <v>#N/A</v>
      </c>
      <c r="SMS538" s="22" t="e">
        <f ca="1"/>
        <v>#N/A</v>
      </c>
      <c r="SMT538" s="22" t="e">
        <f ca="1"/>
        <v>#N/A</v>
      </c>
      <c r="SMU538" s="22" t="e">
        <f ca="1"/>
        <v>#N/A</v>
      </c>
      <c r="SMV538" s="22" t="e">
        <f ca="1"/>
        <v>#N/A</v>
      </c>
      <c r="SMW538" s="22" t="e">
        <f ca="1"/>
        <v>#N/A</v>
      </c>
      <c r="SMX538" s="22" t="e">
        <f ca="1"/>
        <v>#N/A</v>
      </c>
      <c r="SMY538" s="22" t="e">
        <f ca="1"/>
        <v>#N/A</v>
      </c>
      <c r="SMZ538" s="22" t="e">
        <f ca="1"/>
        <v>#N/A</v>
      </c>
      <c r="SNA538" s="22" t="e">
        <f ca="1"/>
        <v>#N/A</v>
      </c>
      <c r="SNB538" s="22" t="e">
        <f ca="1"/>
        <v>#N/A</v>
      </c>
      <c r="SNC538" s="22" t="e">
        <f ca="1"/>
        <v>#N/A</v>
      </c>
      <c r="SND538" s="22" t="e">
        <f ca="1"/>
        <v>#N/A</v>
      </c>
      <c r="SNE538" s="22" t="e">
        <f ca="1"/>
        <v>#N/A</v>
      </c>
      <c r="SNF538" s="22" t="e">
        <f ca="1"/>
        <v>#N/A</v>
      </c>
      <c r="SNG538" s="22" t="e">
        <f ca="1"/>
        <v>#N/A</v>
      </c>
      <c r="SNH538" s="22" t="e">
        <f ca="1"/>
        <v>#N/A</v>
      </c>
      <c r="SNI538" s="22" t="e">
        <f ca="1"/>
        <v>#N/A</v>
      </c>
      <c r="SNJ538" s="22" t="e">
        <f ca="1"/>
        <v>#N/A</v>
      </c>
      <c r="SNK538" s="22" t="e">
        <f ca="1"/>
        <v>#N/A</v>
      </c>
      <c r="SNL538" s="22" t="e">
        <f ca="1"/>
        <v>#N/A</v>
      </c>
      <c r="SNM538" s="22" t="e">
        <f ca="1"/>
        <v>#N/A</v>
      </c>
      <c r="SNN538" s="22" t="e">
        <f ca="1"/>
        <v>#N/A</v>
      </c>
      <c r="SNO538" s="22" t="e">
        <f ca="1"/>
        <v>#N/A</v>
      </c>
      <c r="SNP538" s="22" t="e">
        <f ca="1"/>
        <v>#N/A</v>
      </c>
      <c r="SNQ538" s="22" t="e">
        <f ca="1"/>
        <v>#N/A</v>
      </c>
      <c r="SNR538" s="22" t="e">
        <f ca="1"/>
        <v>#N/A</v>
      </c>
      <c r="SNS538" s="22" t="e">
        <f ca="1"/>
        <v>#N/A</v>
      </c>
      <c r="SNT538" s="22" t="e">
        <f ca="1"/>
        <v>#N/A</v>
      </c>
      <c r="SNU538" s="22" t="e">
        <f ca="1"/>
        <v>#N/A</v>
      </c>
      <c r="SNV538" s="22" t="e">
        <f ca="1"/>
        <v>#N/A</v>
      </c>
      <c r="SNW538" s="22" t="e">
        <f ca="1"/>
        <v>#N/A</v>
      </c>
      <c r="SNX538" s="22" t="e">
        <f ca="1"/>
        <v>#N/A</v>
      </c>
      <c r="SNY538" s="22" t="e">
        <f ca="1"/>
        <v>#N/A</v>
      </c>
      <c r="SNZ538" s="22" t="e">
        <f ca="1"/>
        <v>#N/A</v>
      </c>
      <c r="SOA538" s="22" t="e">
        <f ca="1"/>
        <v>#N/A</v>
      </c>
      <c r="SOB538" s="22" t="e">
        <f ca="1"/>
        <v>#N/A</v>
      </c>
      <c r="SOC538" s="22" t="e">
        <f ca="1"/>
        <v>#N/A</v>
      </c>
      <c r="SOD538" s="22" t="e">
        <f ca="1"/>
        <v>#N/A</v>
      </c>
      <c r="SOE538" s="22" t="e">
        <f ca="1"/>
        <v>#N/A</v>
      </c>
      <c r="SOF538" s="22" t="e">
        <f ca="1"/>
        <v>#N/A</v>
      </c>
      <c r="SOG538" s="22" t="e">
        <f ca="1"/>
        <v>#N/A</v>
      </c>
      <c r="SOH538" s="22" t="e">
        <f ca="1"/>
        <v>#N/A</v>
      </c>
      <c r="SOI538" s="22" t="e">
        <f ca="1"/>
        <v>#N/A</v>
      </c>
      <c r="SOJ538" s="22" t="e">
        <f ca="1"/>
        <v>#N/A</v>
      </c>
      <c r="SOK538" s="22" t="e">
        <f ca="1"/>
        <v>#N/A</v>
      </c>
      <c r="SOL538" s="22" t="e">
        <f ca="1"/>
        <v>#N/A</v>
      </c>
      <c r="SOM538" s="22" t="e">
        <f ca="1"/>
        <v>#N/A</v>
      </c>
      <c r="SON538" s="22" t="e">
        <f ca="1"/>
        <v>#N/A</v>
      </c>
      <c r="SOO538" s="22" t="e">
        <f ca="1"/>
        <v>#N/A</v>
      </c>
      <c r="SOP538" s="22" t="e">
        <f ca="1"/>
        <v>#N/A</v>
      </c>
      <c r="SOQ538" s="22" t="e">
        <f ca="1"/>
        <v>#N/A</v>
      </c>
      <c r="SOR538" s="22" t="e">
        <f ca="1"/>
        <v>#N/A</v>
      </c>
      <c r="SOS538" s="22" t="e">
        <f ca="1"/>
        <v>#N/A</v>
      </c>
      <c r="SOT538" s="22" t="e">
        <f ca="1"/>
        <v>#N/A</v>
      </c>
      <c r="SOU538" s="22" t="e">
        <f ca="1"/>
        <v>#N/A</v>
      </c>
      <c r="SOV538" s="22" t="e">
        <f ca="1"/>
        <v>#N/A</v>
      </c>
      <c r="SOW538" s="22" t="e">
        <f ca="1"/>
        <v>#N/A</v>
      </c>
      <c r="SOX538" s="22" t="e">
        <f ca="1"/>
        <v>#N/A</v>
      </c>
      <c r="SOY538" s="22" t="e">
        <f ca="1"/>
        <v>#N/A</v>
      </c>
      <c r="SOZ538" s="22" t="e">
        <f ca="1"/>
        <v>#N/A</v>
      </c>
      <c r="SPA538" s="22" t="e">
        <f ca="1"/>
        <v>#N/A</v>
      </c>
      <c r="SPB538" s="22" t="e">
        <f ca="1"/>
        <v>#N/A</v>
      </c>
      <c r="SPC538" s="22" t="e">
        <f ca="1"/>
        <v>#N/A</v>
      </c>
      <c r="SPD538" s="22" t="e">
        <f ca="1"/>
        <v>#N/A</v>
      </c>
      <c r="SPE538" s="22" t="e">
        <f ca="1"/>
        <v>#N/A</v>
      </c>
      <c r="SPF538" s="22" t="e">
        <f ca="1"/>
        <v>#N/A</v>
      </c>
      <c r="SPG538" s="22" t="e">
        <f ca="1"/>
        <v>#N/A</v>
      </c>
      <c r="SPH538" s="22" t="e">
        <f ca="1"/>
        <v>#N/A</v>
      </c>
      <c r="SPI538" s="22" t="e">
        <f ca="1"/>
        <v>#N/A</v>
      </c>
      <c r="SPJ538" s="22" t="e">
        <f ca="1"/>
        <v>#N/A</v>
      </c>
      <c r="SPK538" s="22" t="e">
        <f ca="1"/>
        <v>#N/A</v>
      </c>
      <c r="SPL538" s="22" t="e">
        <f ca="1"/>
        <v>#N/A</v>
      </c>
      <c r="SPM538" s="22" t="e">
        <f ca="1"/>
        <v>#N/A</v>
      </c>
      <c r="SPN538" s="22" t="e">
        <f ca="1"/>
        <v>#N/A</v>
      </c>
      <c r="SPO538" s="22" t="e">
        <f ca="1"/>
        <v>#N/A</v>
      </c>
      <c r="SPP538" s="22" t="e">
        <f ca="1"/>
        <v>#N/A</v>
      </c>
      <c r="SPQ538" s="22" t="e">
        <f ca="1"/>
        <v>#N/A</v>
      </c>
      <c r="SPR538" s="22" t="e">
        <f ca="1"/>
        <v>#N/A</v>
      </c>
      <c r="SPS538" s="22" t="e">
        <f ca="1"/>
        <v>#N/A</v>
      </c>
      <c r="SPT538" s="22" t="e">
        <f ca="1"/>
        <v>#N/A</v>
      </c>
      <c r="SPU538" s="22" t="e">
        <f ca="1"/>
        <v>#N/A</v>
      </c>
      <c r="SPV538" s="22" t="e">
        <f ca="1"/>
        <v>#N/A</v>
      </c>
      <c r="SPW538" s="22" t="e">
        <f ca="1"/>
        <v>#N/A</v>
      </c>
      <c r="SPX538" s="22" t="e">
        <f ca="1"/>
        <v>#N/A</v>
      </c>
      <c r="SPY538" s="22" t="e">
        <f ca="1"/>
        <v>#N/A</v>
      </c>
      <c r="SPZ538" s="22" t="e">
        <f ca="1"/>
        <v>#N/A</v>
      </c>
      <c r="SQA538" s="22" t="e">
        <f ca="1"/>
        <v>#N/A</v>
      </c>
      <c r="SQB538" s="22" t="e">
        <f ca="1"/>
        <v>#N/A</v>
      </c>
      <c r="SQC538" s="22" t="e">
        <f ca="1"/>
        <v>#N/A</v>
      </c>
      <c r="SQD538" s="22" t="e">
        <f ca="1"/>
        <v>#N/A</v>
      </c>
      <c r="SQE538" s="22" t="e">
        <f ca="1"/>
        <v>#N/A</v>
      </c>
      <c r="SQF538" s="22" t="e">
        <f ca="1"/>
        <v>#N/A</v>
      </c>
      <c r="SQG538" s="22" t="e">
        <f ca="1"/>
        <v>#N/A</v>
      </c>
      <c r="SQH538" s="22" t="e">
        <f ca="1"/>
        <v>#N/A</v>
      </c>
      <c r="SQI538" s="22" t="e">
        <f ca="1"/>
        <v>#N/A</v>
      </c>
      <c r="SQJ538" s="22" t="e">
        <f ca="1"/>
        <v>#N/A</v>
      </c>
      <c r="SQK538" s="22" t="e">
        <f ca="1"/>
        <v>#N/A</v>
      </c>
      <c r="SQL538" s="22" t="e">
        <f ca="1"/>
        <v>#N/A</v>
      </c>
      <c r="SQM538" s="22" t="e">
        <f ca="1"/>
        <v>#N/A</v>
      </c>
      <c r="SQN538" s="22" t="e">
        <f ca="1"/>
        <v>#N/A</v>
      </c>
      <c r="SQO538" s="22" t="e">
        <f ca="1"/>
        <v>#N/A</v>
      </c>
      <c r="SQP538" s="22" t="e">
        <f ca="1"/>
        <v>#N/A</v>
      </c>
      <c r="SQQ538" s="22" t="e">
        <f ca="1"/>
        <v>#N/A</v>
      </c>
      <c r="SQR538" s="22" t="e">
        <f ca="1"/>
        <v>#N/A</v>
      </c>
      <c r="SQS538" s="22" t="e">
        <f ca="1"/>
        <v>#N/A</v>
      </c>
      <c r="SQT538" s="22" t="e">
        <f ca="1"/>
        <v>#N/A</v>
      </c>
      <c r="SQU538" s="22" t="e">
        <f ca="1"/>
        <v>#N/A</v>
      </c>
      <c r="SQV538" s="22" t="e">
        <f ca="1"/>
        <v>#N/A</v>
      </c>
      <c r="SQW538" s="22" t="e">
        <f ca="1"/>
        <v>#N/A</v>
      </c>
      <c r="SQX538" s="22" t="e">
        <f ca="1"/>
        <v>#N/A</v>
      </c>
      <c r="SQY538" s="22" t="e">
        <f ca="1"/>
        <v>#N/A</v>
      </c>
      <c r="SQZ538" s="22" t="e">
        <f ca="1"/>
        <v>#N/A</v>
      </c>
      <c r="SRA538" s="22" t="e">
        <f ca="1"/>
        <v>#N/A</v>
      </c>
      <c r="SRB538" s="22" t="e">
        <f ca="1"/>
        <v>#N/A</v>
      </c>
      <c r="SRC538" s="22" t="e">
        <f ca="1"/>
        <v>#N/A</v>
      </c>
      <c r="SRD538" s="22" t="e">
        <f ca="1"/>
        <v>#N/A</v>
      </c>
      <c r="SRE538" s="22" t="e">
        <f ca="1"/>
        <v>#N/A</v>
      </c>
      <c r="SRF538" s="22" t="e">
        <f ca="1"/>
        <v>#N/A</v>
      </c>
      <c r="SRG538" s="22" t="e">
        <f ca="1"/>
        <v>#N/A</v>
      </c>
      <c r="SRH538" s="22" t="e">
        <f ca="1"/>
        <v>#N/A</v>
      </c>
      <c r="SRI538" s="22" t="e">
        <f ca="1"/>
        <v>#N/A</v>
      </c>
      <c r="SRJ538" s="22" t="e">
        <f ca="1"/>
        <v>#N/A</v>
      </c>
      <c r="SRK538" s="22" t="e">
        <f ca="1"/>
        <v>#N/A</v>
      </c>
      <c r="SRL538" s="22" t="e">
        <f ca="1"/>
        <v>#N/A</v>
      </c>
      <c r="SRM538" s="22" t="e">
        <f ca="1"/>
        <v>#N/A</v>
      </c>
      <c r="SRN538" s="22" t="e">
        <f ca="1"/>
        <v>#N/A</v>
      </c>
      <c r="SRO538" s="22" t="e">
        <f ca="1"/>
        <v>#N/A</v>
      </c>
      <c r="SRP538" s="22" t="e">
        <f ca="1"/>
        <v>#N/A</v>
      </c>
      <c r="SRQ538" s="22" t="e">
        <f ca="1"/>
        <v>#N/A</v>
      </c>
      <c r="SRR538" s="22" t="e">
        <f ca="1"/>
        <v>#N/A</v>
      </c>
      <c r="SRS538" s="22" t="e">
        <f ca="1"/>
        <v>#N/A</v>
      </c>
      <c r="SRT538" s="22" t="e">
        <f ca="1"/>
        <v>#N/A</v>
      </c>
      <c r="SRU538" s="22" t="e">
        <f ca="1"/>
        <v>#N/A</v>
      </c>
      <c r="SRV538" s="22" t="e">
        <f ca="1"/>
        <v>#N/A</v>
      </c>
      <c r="SRW538" s="22" t="e">
        <f ca="1"/>
        <v>#N/A</v>
      </c>
      <c r="SRX538" s="22" t="e">
        <f ca="1"/>
        <v>#N/A</v>
      </c>
      <c r="SRY538" s="22" t="e">
        <f ca="1"/>
        <v>#N/A</v>
      </c>
      <c r="SRZ538" s="22" t="e">
        <f ca="1"/>
        <v>#N/A</v>
      </c>
      <c r="SSA538" s="22" t="e">
        <f ca="1"/>
        <v>#N/A</v>
      </c>
      <c r="SSB538" s="22" t="e">
        <f ca="1"/>
        <v>#N/A</v>
      </c>
      <c r="SSC538" s="22" t="e">
        <f ca="1"/>
        <v>#N/A</v>
      </c>
      <c r="SSD538" s="22" t="e">
        <f ca="1"/>
        <v>#N/A</v>
      </c>
      <c r="SSE538" s="22" t="e">
        <f ca="1"/>
        <v>#N/A</v>
      </c>
      <c r="SSF538" s="22" t="e">
        <f ca="1"/>
        <v>#N/A</v>
      </c>
      <c r="SSG538" s="22" t="e">
        <f ca="1"/>
        <v>#N/A</v>
      </c>
      <c r="SSH538" s="22" t="e">
        <f ca="1"/>
        <v>#N/A</v>
      </c>
      <c r="SSI538" s="22" t="e">
        <f ca="1"/>
        <v>#N/A</v>
      </c>
      <c r="SSJ538" s="22" t="e">
        <f ca="1"/>
        <v>#N/A</v>
      </c>
      <c r="SSK538" s="22" t="e">
        <f ca="1"/>
        <v>#N/A</v>
      </c>
      <c r="SSL538" s="22" t="e">
        <f ca="1"/>
        <v>#N/A</v>
      </c>
      <c r="SSM538" s="22" t="e">
        <f ca="1"/>
        <v>#N/A</v>
      </c>
      <c r="SSN538" s="22" t="e">
        <f ca="1"/>
        <v>#N/A</v>
      </c>
      <c r="SSO538" s="22" t="e">
        <f ca="1"/>
        <v>#N/A</v>
      </c>
      <c r="SSP538" s="22" t="e">
        <f ca="1"/>
        <v>#N/A</v>
      </c>
      <c r="SSQ538" s="22" t="e">
        <f ca="1"/>
        <v>#N/A</v>
      </c>
      <c r="SSR538" s="22" t="e">
        <f ca="1"/>
        <v>#N/A</v>
      </c>
      <c r="SSS538" s="22" t="e">
        <f ca="1"/>
        <v>#N/A</v>
      </c>
      <c r="SST538" s="22" t="e">
        <f ca="1"/>
        <v>#N/A</v>
      </c>
      <c r="SSU538" s="22" t="e">
        <f ca="1"/>
        <v>#N/A</v>
      </c>
      <c r="SSV538" s="22" t="e">
        <f ca="1"/>
        <v>#N/A</v>
      </c>
      <c r="SSW538" s="22" t="e">
        <f ca="1"/>
        <v>#N/A</v>
      </c>
      <c r="SSX538" s="22" t="e">
        <f ca="1"/>
        <v>#N/A</v>
      </c>
      <c r="SSY538" s="22" t="e">
        <f ca="1"/>
        <v>#N/A</v>
      </c>
      <c r="SSZ538" s="22" t="e">
        <f ca="1"/>
        <v>#N/A</v>
      </c>
      <c r="STA538" s="22" t="e">
        <f ca="1"/>
        <v>#N/A</v>
      </c>
      <c r="STB538" s="22" t="e">
        <f ca="1"/>
        <v>#N/A</v>
      </c>
      <c r="STC538" s="22" t="e">
        <f ca="1"/>
        <v>#N/A</v>
      </c>
      <c r="STD538" s="22" t="e">
        <f ca="1"/>
        <v>#N/A</v>
      </c>
      <c r="STE538" s="22" t="e">
        <f ca="1"/>
        <v>#N/A</v>
      </c>
      <c r="STF538" s="22" t="e">
        <f ca="1"/>
        <v>#N/A</v>
      </c>
      <c r="STG538" s="22" t="e">
        <f ca="1"/>
        <v>#N/A</v>
      </c>
      <c r="STH538" s="22" t="e">
        <f ca="1"/>
        <v>#N/A</v>
      </c>
      <c r="STI538" s="22" t="e">
        <f ca="1"/>
        <v>#N/A</v>
      </c>
      <c r="STJ538" s="22" t="e">
        <f ca="1"/>
        <v>#N/A</v>
      </c>
      <c r="STK538" s="22" t="e">
        <f ca="1"/>
        <v>#N/A</v>
      </c>
      <c r="STL538" s="22" t="e">
        <f ca="1"/>
        <v>#N/A</v>
      </c>
      <c r="STM538" s="22" t="e">
        <f ca="1"/>
        <v>#N/A</v>
      </c>
      <c r="STN538" s="22" t="e">
        <f ca="1"/>
        <v>#N/A</v>
      </c>
      <c r="STO538" s="22" t="e">
        <f ca="1"/>
        <v>#N/A</v>
      </c>
      <c r="STP538" s="22" t="e">
        <f ca="1"/>
        <v>#N/A</v>
      </c>
      <c r="STQ538" s="22" t="e">
        <f ca="1"/>
        <v>#N/A</v>
      </c>
      <c r="STR538" s="22" t="e">
        <f ca="1"/>
        <v>#N/A</v>
      </c>
      <c r="STS538" s="22" t="e">
        <f ca="1"/>
        <v>#N/A</v>
      </c>
      <c r="STT538" s="22" t="e">
        <f ca="1"/>
        <v>#N/A</v>
      </c>
      <c r="STU538" s="22" t="e">
        <f ca="1"/>
        <v>#N/A</v>
      </c>
      <c r="STV538" s="22" t="e">
        <f ca="1"/>
        <v>#N/A</v>
      </c>
      <c r="STW538" s="22" t="e">
        <f ca="1"/>
        <v>#N/A</v>
      </c>
      <c r="STX538" s="22" t="e">
        <f ca="1"/>
        <v>#N/A</v>
      </c>
      <c r="STY538" s="22" t="e">
        <f ca="1"/>
        <v>#N/A</v>
      </c>
      <c r="STZ538" s="22" t="e">
        <f ca="1"/>
        <v>#N/A</v>
      </c>
      <c r="SUA538" s="22" t="e">
        <f ca="1"/>
        <v>#N/A</v>
      </c>
      <c r="SUB538" s="22" t="e">
        <f ca="1"/>
        <v>#N/A</v>
      </c>
      <c r="SUC538" s="22" t="e">
        <f ca="1"/>
        <v>#N/A</v>
      </c>
      <c r="SUD538" s="22" t="e">
        <f ca="1"/>
        <v>#N/A</v>
      </c>
      <c r="SUE538" s="22" t="e">
        <f ca="1"/>
        <v>#N/A</v>
      </c>
      <c r="SUF538" s="22" t="e">
        <f ca="1"/>
        <v>#N/A</v>
      </c>
      <c r="SUG538" s="22" t="e">
        <f ca="1"/>
        <v>#N/A</v>
      </c>
      <c r="SUH538" s="22" t="e">
        <f ca="1"/>
        <v>#N/A</v>
      </c>
      <c r="SUI538" s="22" t="e">
        <f ca="1"/>
        <v>#N/A</v>
      </c>
      <c r="SUJ538" s="22" t="e">
        <f ca="1"/>
        <v>#N/A</v>
      </c>
      <c r="SUK538" s="22" t="e">
        <f ca="1"/>
        <v>#N/A</v>
      </c>
      <c r="SUL538" s="22" t="e">
        <f ca="1"/>
        <v>#N/A</v>
      </c>
      <c r="SUM538" s="22" t="e">
        <f ca="1"/>
        <v>#N/A</v>
      </c>
      <c r="SUN538" s="22" t="e">
        <f ca="1"/>
        <v>#N/A</v>
      </c>
      <c r="SUO538" s="22" t="e">
        <f ca="1"/>
        <v>#N/A</v>
      </c>
      <c r="SUP538" s="22" t="e">
        <f ca="1"/>
        <v>#N/A</v>
      </c>
      <c r="SUQ538" s="22" t="e">
        <f ca="1"/>
        <v>#N/A</v>
      </c>
      <c r="SUR538" s="22" t="e">
        <f ca="1"/>
        <v>#N/A</v>
      </c>
      <c r="SUS538" s="22" t="e">
        <f ca="1"/>
        <v>#N/A</v>
      </c>
      <c r="SUT538" s="22" t="e">
        <f ca="1"/>
        <v>#N/A</v>
      </c>
      <c r="SUU538" s="22" t="e">
        <f ca="1"/>
        <v>#N/A</v>
      </c>
      <c r="SUV538" s="22" t="e">
        <f ca="1"/>
        <v>#N/A</v>
      </c>
      <c r="SUW538" s="22" t="e">
        <f ca="1"/>
        <v>#N/A</v>
      </c>
      <c r="SUX538" s="22" t="e">
        <f ca="1"/>
        <v>#N/A</v>
      </c>
      <c r="SUY538" s="22" t="e">
        <f ca="1"/>
        <v>#N/A</v>
      </c>
      <c r="SUZ538" s="22" t="e">
        <f ca="1"/>
        <v>#N/A</v>
      </c>
      <c r="SVA538" s="22" t="e">
        <f ca="1"/>
        <v>#N/A</v>
      </c>
      <c r="SVB538" s="22" t="e">
        <f ca="1"/>
        <v>#N/A</v>
      </c>
      <c r="SVC538" s="22" t="e">
        <f ca="1"/>
        <v>#N/A</v>
      </c>
      <c r="SVD538" s="22" t="e">
        <f ca="1"/>
        <v>#N/A</v>
      </c>
      <c r="SVE538" s="22" t="e">
        <f ca="1"/>
        <v>#N/A</v>
      </c>
      <c r="SVF538" s="22" t="e">
        <f ca="1"/>
        <v>#N/A</v>
      </c>
      <c r="SVG538" s="22" t="e">
        <f ca="1"/>
        <v>#N/A</v>
      </c>
      <c r="SVH538" s="22" t="e">
        <f ca="1"/>
        <v>#N/A</v>
      </c>
      <c r="SVI538" s="22" t="e">
        <f ca="1"/>
        <v>#N/A</v>
      </c>
      <c r="SVJ538" s="22" t="e">
        <f ca="1"/>
        <v>#N/A</v>
      </c>
      <c r="SVK538" s="22" t="e">
        <f ca="1"/>
        <v>#N/A</v>
      </c>
      <c r="SVL538" s="22" t="e">
        <f ca="1"/>
        <v>#N/A</v>
      </c>
      <c r="SVM538" s="22" t="e">
        <f ca="1"/>
        <v>#N/A</v>
      </c>
      <c r="SVN538" s="22" t="e">
        <f ca="1"/>
        <v>#N/A</v>
      </c>
      <c r="SVO538" s="22" t="e">
        <f ca="1"/>
        <v>#N/A</v>
      </c>
      <c r="SVP538" s="22" t="e">
        <f ca="1"/>
        <v>#N/A</v>
      </c>
      <c r="SVQ538" s="22" t="e">
        <f ca="1"/>
        <v>#N/A</v>
      </c>
      <c r="SVR538" s="22" t="e">
        <f ca="1"/>
        <v>#N/A</v>
      </c>
      <c r="SVS538" s="22" t="e">
        <f ca="1"/>
        <v>#N/A</v>
      </c>
      <c r="SVT538" s="22" t="e">
        <f ca="1"/>
        <v>#N/A</v>
      </c>
      <c r="SVU538" s="22" t="e">
        <f ca="1"/>
        <v>#N/A</v>
      </c>
      <c r="SVV538" s="22" t="e">
        <f ca="1"/>
        <v>#N/A</v>
      </c>
      <c r="SVW538" s="22" t="e">
        <f ca="1"/>
        <v>#N/A</v>
      </c>
      <c r="SVX538" s="22" t="e">
        <f ca="1"/>
        <v>#N/A</v>
      </c>
      <c r="SVY538" s="22" t="e">
        <f ca="1"/>
        <v>#N/A</v>
      </c>
      <c r="SVZ538" s="22" t="e">
        <f ca="1"/>
        <v>#N/A</v>
      </c>
      <c r="SWA538" s="22" t="e">
        <f ca="1"/>
        <v>#N/A</v>
      </c>
      <c r="SWB538" s="22" t="e">
        <f ca="1"/>
        <v>#N/A</v>
      </c>
      <c r="SWC538" s="22" t="e">
        <f ca="1"/>
        <v>#N/A</v>
      </c>
      <c r="SWD538" s="22" t="e">
        <f ca="1"/>
        <v>#N/A</v>
      </c>
      <c r="SWE538" s="22" t="e">
        <f ca="1"/>
        <v>#N/A</v>
      </c>
      <c r="SWF538" s="22" t="e">
        <f ca="1"/>
        <v>#N/A</v>
      </c>
      <c r="SWG538" s="22" t="e">
        <f ca="1"/>
        <v>#N/A</v>
      </c>
      <c r="SWH538" s="22" t="e">
        <f ca="1"/>
        <v>#N/A</v>
      </c>
      <c r="SWI538" s="22" t="e">
        <f ca="1"/>
        <v>#N/A</v>
      </c>
      <c r="SWJ538" s="22" t="e">
        <f ca="1"/>
        <v>#N/A</v>
      </c>
      <c r="SWK538" s="22" t="e">
        <f ca="1"/>
        <v>#N/A</v>
      </c>
      <c r="SWL538" s="22" t="e">
        <f ca="1"/>
        <v>#N/A</v>
      </c>
      <c r="SWM538" s="22" t="e">
        <f ca="1"/>
        <v>#N/A</v>
      </c>
      <c r="SWN538" s="22" t="e">
        <f ca="1"/>
        <v>#N/A</v>
      </c>
      <c r="SWO538" s="22" t="e">
        <f ca="1"/>
        <v>#N/A</v>
      </c>
      <c r="SWP538" s="22" t="e">
        <f ca="1"/>
        <v>#N/A</v>
      </c>
      <c r="SWQ538" s="22" t="e">
        <f ca="1"/>
        <v>#N/A</v>
      </c>
      <c r="SWR538" s="22" t="e">
        <f ca="1"/>
        <v>#N/A</v>
      </c>
      <c r="SWS538" s="22" t="e">
        <f ca="1"/>
        <v>#N/A</v>
      </c>
      <c r="SWT538" s="22" t="e">
        <f ca="1"/>
        <v>#N/A</v>
      </c>
      <c r="SWU538" s="22" t="e">
        <f ca="1"/>
        <v>#N/A</v>
      </c>
      <c r="SWV538" s="22" t="e">
        <f ca="1"/>
        <v>#N/A</v>
      </c>
      <c r="SWW538" s="22" t="e">
        <f ca="1"/>
        <v>#N/A</v>
      </c>
      <c r="SWX538" s="22" t="e">
        <f ca="1"/>
        <v>#N/A</v>
      </c>
      <c r="SWY538" s="22" t="e">
        <f ca="1"/>
        <v>#N/A</v>
      </c>
      <c r="SWZ538" s="22" t="e">
        <f ca="1"/>
        <v>#N/A</v>
      </c>
      <c r="SXA538" s="22" t="e">
        <f ca="1"/>
        <v>#N/A</v>
      </c>
      <c r="SXB538" s="22" t="e">
        <f ca="1"/>
        <v>#N/A</v>
      </c>
      <c r="SXC538" s="22" t="e">
        <f ca="1"/>
        <v>#N/A</v>
      </c>
      <c r="SXD538" s="22" t="e">
        <f ca="1"/>
        <v>#N/A</v>
      </c>
      <c r="SXE538" s="22" t="e">
        <f ca="1"/>
        <v>#N/A</v>
      </c>
      <c r="SXF538" s="22" t="e">
        <f ca="1"/>
        <v>#N/A</v>
      </c>
      <c r="SXG538" s="22" t="e">
        <f ca="1"/>
        <v>#N/A</v>
      </c>
      <c r="SXH538" s="22" t="e">
        <f ca="1"/>
        <v>#N/A</v>
      </c>
      <c r="SXI538" s="22" t="e">
        <f ca="1"/>
        <v>#N/A</v>
      </c>
      <c r="SXJ538" s="22" t="e">
        <f ca="1"/>
        <v>#N/A</v>
      </c>
      <c r="SXK538" s="22" t="e">
        <f ca="1"/>
        <v>#N/A</v>
      </c>
      <c r="SXL538" s="22" t="e">
        <f ca="1"/>
        <v>#N/A</v>
      </c>
      <c r="SXM538" s="22" t="e">
        <f ca="1"/>
        <v>#N/A</v>
      </c>
      <c r="SXN538" s="22" t="e">
        <f ca="1"/>
        <v>#N/A</v>
      </c>
      <c r="SXO538" s="22" t="e">
        <f ca="1"/>
        <v>#N/A</v>
      </c>
      <c r="SXP538" s="22" t="e">
        <f ca="1"/>
        <v>#N/A</v>
      </c>
      <c r="SXQ538" s="22" t="e">
        <f ca="1"/>
        <v>#N/A</v>
      </c>
      <c r="SXR538" s="22" t="e">
        <f ca="1"/>
        <v>#N/A</v>
      </c>
      <c r="SXS538" s="22" t="e">
        <f ca="1"/>
        <v>#N/A</v>
      </c>
      <c r="SXT538" s="22" t="e">
        <f ca="1"/>
        <v>#N/A</v>
      </c>
      <c r="SXU538" s="22" t="e">
        <f ca="1"/>
        <v>#N/A</v>
      </c>
      <c r="SXV538" s="22" t="e">
        <f ca="1"/>
        <v>#N/A</v>
      </c>
      <c r="SXW538" s="22" t="e">
        <f ca="1"/>
        <v>#N/A</v>
      </c>
      <c r="SXX538" s="22" t="e">
        <f ca="1"/>
        <v>#N/A</v>
      </c>
      <c r="SXY538" s="22" t="e">
        <f ca="1"/>
        <v>#N/A</v>
      </c>
      <c r="SXZ538" s="22" t="e">
        <f ca="1"/>
        <v>#N/A</v>
      </c>
      <c r="SYA538" s="22" t="e">
        <f ca="1"/>
        <v>#N/A</v>
      </c>
      <c r="SYB538" s="22" t="e">
        <f ca="1"/>
        <v>#N/A</v>
      </c>
      <c r="SYC538" s="22" t="e">
        <f ca="1"/>
        <v>#N/A</v>
      </c>
      <c r="SYD538" s="22" t="e">
        <f ca="1"/>
        <v>#N/A</v>
      </c>
      <c r="SYE538" s="22" t="e">
        <f ca="1"/>
        <v>#N/A</v>
      </c>
      <c r="SYF538" s="22" t="e">
        <f ca="1"/>
        <v>#N/A</v>
      </c>
      <c r="SYG538" s="22" t="e">
        <f ca="1"/>
        <v>#N/A</v>
      </c>
      <c r="SYH538" s="22" t="e">
        <f ca="1"/>
        <v>#N/A</v>
      </c>
      <c r="SYI538" s="22" t="e">
        <f ca="1"/>
        <v>#N/A</v>
      </c>
      <c r="SYJ538" s="22" t="e">
        <f ca="1"/>
        <v>#N/A</v>
      </c>
      <c r="SYK538" s="22" t="e">
        <f ca="1"/>
        <v>#N/A</v>
      </c>
      <c r="SYL538" s="22" t="e">
        <f ca="1"/>
        <v>#N/A</v>
      </c>
      <c r="SYM538" s="22" t="e">
        <f ca="1"/>
        <v>#N/A</v>
      </c>
      <c r="SYN538" s="22" t="e">
        <f ca="1"/>
        <v>#N/A</v>
      </c>
      <c r="SYO538" s="22" t="e">
        <f ca="1"/>
        <v>#N/A</v>
      </c>
      <c r="SYP538" s="22" t="e">
        <f ca="1"/>
        <v>#N/A</v>
      </c>
      <c r="SYQ538" s="22" t="e">
        <f ca="1"/>
        <v>#N/A</v>
      </c>
      <c r="SYR538" s="22" t="e">
        <f ca="1"/>
        <v>#N/A</v>
      </c>
      <c r="SYS538" s="22" t="e">
        <f ca="1"/>
        <v>#N/A</v>
      </c>
      <c r="SYT538" s="22" t="e">
        <f ca="1"/>
        <v>#N/A</v>
      </c>
      <c r="SYU538" s="22" t="e">
        <f ca="1"/>
        <v>#N/A</v>
      </c>
      <c r="SYV538" s="22" t="e">
        <f ca="1"/>
        <v>#N/A</v>
      </c>
      <c r="SYW538" s="22" t="e">
        <f ca="1"/>
        <v>#N/A</v>
      </c>
      <c r="SYX538" s="22" t="e">
        <f ca="1"/>
        <v>#N/A</v>
      </c>
      <c r="SYY538" s="22" t="e">
        <f ca="1"/>
        <v>#N/A</v>
      </c>
      <c r="SYZ538" s="22" t="e">
        <f ca="1"/>
        <v>#N/A</v>
      </c>
      <c r="SZA538" s="22" t="e">
        <f ca="1"/>
        <v>#N/A</v>
      </c>
      <c r="SZB538" s="22" t="e">
        <f ca="1"/>
        <v>#N/A</v>
      </c>
      <c r="SZC538" s="22" t="e">
        <f ca="1"/>
        <v>#N/A</v>
      </c>
      <c r="SZD538" s="22" t="e">
        <f ca="1"/>
        <v>#N/A</v>
      </c>
      <c r="SZE538" s="22" t="e">
        <f ca="1"/>
        <v>#N/A</v>
      </c>
      <c r="SZF538" s="22" t="e">
        <f ca="1"/>
        <v>#N/A</v>
      </c>
      <c r="SZG538" s="22" t="e">
        <f ca="1"/>
        <v>#N/A</v>
      </c>
      <c r="SZH538" s="22" t="e">
        <f ca="1"/>
        <v>#N/A</v>
      </c>
      <c r="SZI538" s="22" t="e">
        <f ca="1"/>
        <v>#N/A</v>
      </c>
      <c r="SZJ538" s="22" t="e">
        <f ca="1"/>
        <v>#N/A</v>
      </c>
      <c r="SZK538" s="22" t="e">
        <f ca="1"/>
        <v>#N/A</v>
      </c>
      <c r="SZL538" s="22" t="e">
        <f ca="1"/>
        <v>#N/A</v>
      </c>
      <c r="SZM538" s="22" t="e">
        <f ca="1"/>
        <v>#N/A</v>
      </c>
      <c r="SZN538" s="22" t="e">
        <f ca="1"/>
        <v>#N/A</v>
      </c>
      <c r="SZO538" s="22" t="e">
        <f ca="1"/>
        <v>#N/A</v>
      </c>
      <c r="SZP538" s="22" t="e">
        <f ca="1"/>
        <v>#N/A</v>
      </c>
      <c r="SZQ538" s="22" t="e">
        <f ca="1"/>
        <v>#N/A</v>
      </c>
      <c r="SZR538" s="22" t="e">
        <f ca="1"/>
        <v>#N/A</v>
      </c>
      <c r="SZS538" s="22" t="e">
        <f ca="1"/>
        <v>#N/A</v>
      </c>
      <c r="SZT538" s="22" t="e">
        <f ca="1"/>
        <v>#N/A</v>
      </c>
      <c r="SZU538" s="22" t="e">
        <f ca="1"/>
        <v>#N/A</v>
      </c>
      <c r="SZV538" s="22" t="e">
        <f ca="1"/>
        <v>#N/A</v>
      </c>
      <c r="SZW538" s="22" t="e">
        <f ca="1"/>
        <v>#N/A</v>
      </c>
      <c r="SZX538" s="22" t="e">
        <f ca="1"/>
        <v>#N/A</v>
      </c>
      <c r="SZY538" s="22" t="e">
        <f ca="1"/>
        <v>#N/A</v>
      </c>
      <c r="SZZ538" s="22" t="e">
        <f ca="1"/>
        <v>#N/A</v>
      </c>
      <c r="TAA538" s="22" t="e">
        <f ca="1"/>
        <v>#N/A</v>
      </c>
      <c r="TAB538" s="22" t="e">
        <f ca="1"/>
        <v>#N/A</v>
      </c>
      <c r="TAC538" s="22" t="e">
        <f ca="1"/>
        <v>#N/A</v>
      </c>
      <c r="TAD538" s="22" t="e">
        <f ca="1"/>
        <v>#N/A</v>
      </c>
      <c r="TAE538" s="22" t="e">
        <f ca="1"/>
        <v>#N/A</v>
      </c>
      <c r="TAF538" s="22" t="e">
        <f ca="1"/>
        <v>#N/A</v>
      </c>
      <c r="TAG538" s="22" t="e">
        <f ca="1"/>
        <v>#N/A</v>
      </c>
      <c r="TAH538" s="22" t="e">
        <f ca="1"/>
        <v>#N/A</v>
      </c>
      <c r="TAI538" s="22" t="e">
        <f ca="1"/>
        <v>#N/A</v>
      </c>
      <c r="TAJ538" s="22" t="e">
        <f ca="1"/>
        <v>#N/A</v>
      </c>
      <c r="TAK538" s="22" t="e">
        <f ca="1"/>
        <v>#N/A</v>
      </c>
      <c r="TAL538" s="22" t="e">
        <f ca="1"/>
        <v>#N/A</v>
      </c>
      <c r="TAM538" s="22" t="e">
        <f ca="1"/>
        <v>#N/A</v>
      </c>
      <c r="TAN538" s="22" t="e">
        <f ca="1"/>
        <v>#N/A</v>
      </c>
      <c r="TAO538" s="22" t="e">
        <f ca="1"/>
        <v>#N/A</v>
      </c>
      <c r="TAP538" s="22" t="e">
        <f ca="1"/>
        <v>#N/A</v>
      </c>
      <c r="TAQ538" s="22" t="e">
        <f ca="1"/>
        <v>#N/A</v>
      </c>
      <c r="TAR538" s="22" t="e">
        <f ca="1"/>
        <v>#N/A</v>
      </c>
      <c r="TAS538" s="22" t="e">
        <f ca="1"/>
        <v>#N/A</v>
      </c>
      <c r="TAT538" s="22" t="e">
        <f ca="1"/>
        <v>#N/A</v>
      </c>
      <c r="TAU538" s="22" t="e">
        <f ca="1"/>
        <v>#N/A</v>
      </c>
      <c r="TAV538" s="22" t="e">
        <f ca="1"/>
        <v>#N/A</v>
      </c>
      <c r="TAW538" s="22" t="e">
        <f ca="1"/>
        <v>#N/A</v>
      </c>
      <c r="TAX538" s="22" t="e">
        <f ca="1"/>
        <v>#N/A</v>
      </c>
      <c r="TAY538" s="22" t="e">
        <f ca="1"/>
        <v>#N/A</v>
      </c>
      <c r="TAZ538" s="22" t="e">
        <f ca="1"/>
        <v>#N/A</v>
      </c>
      <c r="TBA538" s="22" t="e">
        <f ca="1"/>
        <v>#N/A</v>
      </c>
      <c r="TBB538" s="22" t="e">
        <f ca="1"/>
        <v>#N/A</v>
      </c>
      <c r="TBC538" s="22" t="e">
        <f ca="1"/>
        <v>#N/A</v>
      </c>
      <c r="TBD538" s="22" t="e">
        <f ca="1"/>
        <v>#N/A</v>
      </c>
      <c r="TBE538" s="22" t="e">
        <f ca="1"/>
        <v>#N/A</v>
      </c>
      <c r="TBF538" s="22" t="e">
        <f ca="1"/>
        <v>#N/A</v>
      </c>
      <c r="TBG538" s="22" t="e">
        <f ca="1"/>
        <v>#N/A</v>
      </c>
      <c r="TBH538" s="22" t="e">
        <f ca="1"/>
        <v>#N/A</v>
      </c>
      <c r="TBI538" s="22" t="e">
        <f ca="1"/>
        <v>#N/A</v>
      </c>
      <c r="TBJ538" s="22" t="e">
        <f ca="1"/>
        <v>#N/A</v>
      </c>
      <c r="TBK538" s="22" t="e">
        <f ca="1"/>
        <v>#N/A</v>
      </c>
      <c r="TBL538" s="22" t="e">
        <f ca="1"/>
        <v>#N/A</v>
      </c>
      <c r="TBM538" s="22" t="e">
        <f ca="1"/>
        <v>#N/A</v>
      </c>
      <c r="TBN538" s="22" t="e">
        <f ca="1"/>
        <v>#N/A</v>
      </c>
      <c r="TBO538" s="22" t="e">
        <f ca="1"/>
        <v>#N/A</v>
      </c>
      <c r="TBP538" s="22" t="e">
        <f ca="1"/>
        <v>#N/A</v>
      </c>
      <c r="TBQ538" s="22" t="e">
        <f ca="1"/>
        <v>#N/A</v>
      </c>
      <c r="TBR538" s="22" t="e">
        <f ca="1"/>
        <v>#N/A</v>
      </c>
      <c r="TBS538" s="22" t="e">
        <f ca="1"/>
        <v>#N/A</v>
      </c>
      <c r="TBT538" s="22" t="e">
        <f ca="1"/>
        <v>#N/A</v>
      </c>
      <c r="TBU538" s="22" t="e">
        <f ca="1"/>
        <v>#N/A</v>
      </c>
      <c r="TBV538" s="22" t="e">
        <f ca="1"/>
        <v>#N/A</v>
      </c>
      <c r="TBW538" s="22" t="e">
        <f ca="1"/>
        <v>#N/A</v>
      </c>
      <c r="TBX538" s="22" t="e">
        <f ca="1"/>
        <v>#N/A</v>
      </c>
      <c r="TBY538" s="22" t="e">
        <f ca="1"/>
        <v>#N/A</v>
      </c>
      <c r="TBZ538" s="22" t="e">
        <f ca="1"/>
        <v>#N/A</v>
      </c>
      <c r="TCA538" s="22" t="e">
        <f ca="1"/>
        <v>#N/A</v>
      </c>
      <c r="TCB538" s="22" t="e">
        <f ca="1"/>
        <v>#N/A</v>
      </c>
      <c r="TCC538" s="22" t="e">
        <f ca="1"/>
        <v>#N/A</v>
      </c>
      <c r="TCD538" s="22" t="e">
        <f ca="1"/>
        <v>#N/A</v>
      </c>
      <c r="TCE538" s="22" t="e">
        <f ca="1"/>
        <v>#N/A</v>
      </c>
      <c r="TCF538" s="22" t="e">
        <f ca="1"/>
        <v>#N/A</v>
      </c>
      <c r="TCG538" s="22" t="e">
        <f ca="1"/>
        <v>#N/A</v>
      </c>
      <c r="TCH538" s="22" t="e">
        <f ca="1"/>
        <v>#N/A</v>
      </c>
      <c r="TCI538" s="22" t="e">
        <f ca="1"/>
        <v>#N/A</v>
      </c>
      <c r="TCJ538" s="22" t="e">
        <f ca="1"/>
        <v>#N/A</v>
      </c>
      <c r="TCK538" s="22" t="e">
        <f ca="1"/>
        <v>#N/A</v>
      </c>
      <c r="TCL538" s="22" t="e">
        <f ca="1"/>
        <v>#N/A</v>
      </c>
      <c r="TCM538" s="22" t="e">
        <f ca="1"/>
        <v>#N/A</v>
      </c>
      <c r="TCN538" s="22" t="e">
        <f ca="1"/>
        <v>#N/A</v>
      </c>
      <c r="TCO538" s="22" t="e">
        <f ca="1"/>
        <v>#N/A</v>
      </c>
      <c r="TCP538" s="22" t="e">
        <f ca="1"/>
        <v>#N/A</v>
      </c>
      <c r="TCQ538" s="22" t="e">
        <f ca="1"/>
        <v>#N/A</v>
      </c>
      <c r="TCR538" s="22" t="e">
        <f ca="1"/>
        <v>#N/A</v>
      </c>
      <c r="TCS538" s="22" t="e">
        <f ca="1"/>
        <v>#N/A</v>
      </c>
      <c r="TCT538" s="22" t="e">
        <f ca="1"/>
        <v>#N/A</v>
      </c>
      <c r="TCU538" s="22" t="e">
        <f ca="1"/>
        <v>#N/A</v>
      </c>
      <c r="TCV538" s="22" t="e">
        <f ca="1"/>
        <v>#N/A</v>
      </c>
      <c r="TCW538" s="22" t="e">
        <f ca="1"/>
        <v>#N/A</v>
      </c>
      <c r="TCX538" s="22" t="e">
        <f ca="1"/>
        <v>#N/A</v>
      </c>
      <c r="TCY538" s="22" t="e">
        <f ca="1"/>
        <v>#N/A</v>
      </c>
      <c r="TCZ538" s="22" t="e">
        <f ca="1"/>
        <v>#N/A</v>
      </c>
      <c r="TDA538" s="22" t="e">
        <f ca="1"/>
        <v>#N/A</v>
      </c>
      <c r="TDB538" s="22" t="e">
        <f ca="1"/>
        <v>#N/A</v>
      </c>
      <c r="TDC538" s="22" t="e">
        <f ca="1"/>
        <v>#N/A</v>
      </c>
      <c r="TDD538" s="22" t="e">
        <f ca="1"/>
        <v>#N/A</v>
      </c>
      <c r="TDE538" s="22" t="e">
        <f ca="1"/>
        <v>#N/A</v>
      </c>
      <c r="TDF538" s="22" t="e">
        <f ca="1"/>
        <v>#N/A</v>
      </c>
      <c r="TDG538" s="22" t="e">
        <f ca="1"/>
        <v>#N/A</v>
      </c>
      <c r="TDH538" s="22" t="e">
        <f ca="1"/>
        <v>#N/A</v>
      </c>
      <c r="TDI538" s="22" t="e">
        <f ca="1"/>
        <v>#N/A</v>
      </c>
      <c r="TDJ538" s="22" t="e">
        <f ca="1"/>
        <v>#N/A</v>
      </c>
      <c r="TDK538" s="22" t="e">
        <f ca="1"/>
        <v>#N/A</v>
      </c>
      <c r="TDL538" s="22" t="e">
        <f ca="1"/>
        <v>#N/A</v>
      </c>
      <c r="TDM538" s="22" t="e">
        <f ca="1"/>
        <v>#N/A</v>
      </c>
      <c r="TDN538" s="22" t="e">
        <f ca="1"/>
        <v>#N/A</v>
      </c>
      <c r="TDO538" s="22" t="e">
        <f ca="1"/>
        <v>#N/A</v>
      </c>
      <c r="TDP538" s="22" t="e">
        <f ca="1"/>
        <v>#N/A</v>
      </c>
      <c r="TDQ538" s="22" t="e">
        <f ca="1"/>
        <v>#N/A</v>
      </c>
      <c r="TDR538" s="22" t="e">
        <f ca="1"/>
        <v>#N/A</v>
      </c>
      <c r="TDS538" s="22" t="e">
        <f ca="1"/>
        <v>#N/A</v>
      </c>
      <c r="TDT538" s="22" t="e">
        <f ca="1"/>
        <v>#N/A</v>
      </c>
      <c r="TDU538" s="22" t="e">
        <f ca="1"/>
        <v>#N/A</v>
      </c>
      <c r="TDV538" s="22" t="e">
        <f ca="1"/>
        <v>#N/A</v>
      </c>
      <c r="TDW538" s="22" t="e">
        <f ca="1"/>
        <v>#N/A</v>
      </c>
      <c r="TDX538" s="22" t="e">
        <f ca="1"/>
        <v>#N/A</v>
      </c>
      <c r="TDY538" s="22" t="e">
        <f ca="1"/>
        <v>#N/A</v>
      </c>
      <c r="TDZ538" s="22" t="e">
        <f ca="1"/>
        <v>#N/A</v>
      </c>
      <c r="TEA538" s="22" t="e">
        <f ca="1"/>
        <v>#N/A</v>
      </c>
      <c r="TEB538" s="22" t="e">
        <f ca="1"/>
        <v>#N/A</v>
      </c>
      <c r="TEC538" s="22" t="e">
        <f ca="1"/>
        <v>#N/A</v>
      </c>
      <c r="TED538" s="22" t="e">
        <f ca="1"/>
        <v>#N/A</v>
      </c>
      <c r="TEE538" s="22" t="e">
        <f ca="1"/>
        <v>#N/A</v>
      </c>
      <c r="TEF538" s="22" t="e">
        <f ca="1"/>
        <v>#N/A</v>
      </c>
      <c r="TEG538" s="22" t="e">
        <f ca="1"/>
        <v>#N/A</v>
      </c>
      <c r="TEH538" s="22" t="e">
        <f ca="1"/>
        <v>#N/A</v>
      </c>
      <c r="TEI538" s="22" t="e">
        <f ca="1"/>
        <v>#N/A</v>
      </c>
      <c r="TEJ538" s="22" t="e">
        <f ca="1"/>
        <v>#N/A</v>
      </c>
      <c r="TEK538" s="22" t="e">
        <f ca="1"/>
        <v>#N/A</v>
      </c>
      <c r="TEL538" s="22" t="e">
        <f ca="1"/>
        <v>#N/A</v>
      </c>
      <c r="TEM538" s="22" t="e">
        <f ca="1"/>
        <v>#N/A</v>
      </c>
      <c r="TEN538" s="22" t="e">
        <f ca="1"/>
        <v>#N/A</v>
      </c>
      <c r="TEO538" s="22" t="e">
        <f ca="1"/>
        <v>#N/A</v>
      </c>
      <c r="TEP538" s="22" t="e">
        <f ca="1"/>
        <v>#N/A</v>
      </c>
      <c r="TEQ538" s="22" t="e">
        <f ca="1"/>
        <v>#N/A</v>
      </c>
      <c r="TER538" s="22" t="e">
        <f ca="1"/>
        <v>#N/A</v>
      </c>
      <c r="TES538" s="22" t="e">
        <f ca="1"/>
        <v>#N/A</v>
      </c>
      <c r="TET538" s="22" t="e">
        <f ca="1"/>
        <v>#N/A</v>
      </c>
      <c r="TEU538" s="22" t="e">
        <f ca="1"/>
        <v>#N/A</v>
      </c>
      <c r="TEV538" s="22" t="e">
        <f ca="1"/>
        <v>#N/A</v>
      </c>
      <c r="TEW538" s="22" t="e">
        <f ca="1"/>
        <v>#N/A</v>
      </c>
      <c r="TEX538" s="22" t="e">
        <f ca="1"/>
        <v>#N/A</v>
      </c>
      <c r="TEY538" s="22" t="e">
        <f ca="1"/>
        <v>#N/A</v>
      </c>
      <c r="TEZ538" s="22" t="e">
        <f ca="1"/>
        <v>#N/A</v>
      </c>
      <c r="TFA538" s="22" t="e">
        <f ca="1"/>
        <v>#N/A</v>
      </c>
      <c r="TFB538" s="22" t="e">
        <f ca="1"/>
        <v>#N/A</v>
      </c>
      <c r="TFC538" s="22" t="e">
        <f ca="1"/>
        <v>#N/A</v>
      </c>
      <c r="TFD538" s="22" t="e">
        <f ca="1"/>
        <v>#N/A</v>
      </c>
      <c r="TFE538" s="22" t="e">
        <f ca="1"/>
        <v>#N/A</v>
      </c>
      <c r="TFF538" s="22" t="e">
        <f ca="1"/>
        <v>#N/A</v>
      </c>
      <c r="TFG538" s="22" t="e">
        <f ca="1"/>
        <v>#N/A</v>
      </c>
      <c r="TFH538" s="22" t="e">
        <f ca="1"/>
        <v>#N/A</v>
      </c>
      <c r="TFI538" s="22" t="e">
        <f ca="1"/>
        <v>#N/A</v>
      </c>
      <c r="TFJ538" s="22" t="e">
        <f ca="1"/>
        <v>#N/A</v>
      </c>
      <c r="TFK538" s="22" t="e">
        <f ca="1"/>
        <v>#N/A</v>
      </c>
      <c r="TFL538" s="22" t="e">
        <f ca="1"/>
        <v>#N/A</v>
      </c>
      <c r="TFM538" s="22" t="e">
        <f ca="1"/>
        <v>#N/A</v>
      </c>
      <c r="TFN538" s="22" t="e">
        <f ca="1"/>
        <v>#N/A</v>
      </c>
      <c r="TFO538" s="22" t="e">
        <f ca="1"/>
        <v>#N/A</v>
      </c>
      <c r="TFP538" s="22" t="e">
        <f ca="1"/>
        <v>#N/A</v>
      </c>
      <c r="TFQ538" s="22" t="e">
        <f ca="1"/>
        <v>#N/A</v>
      </c>
      <c r="TFR538" s="22" t="e">
        <f ca="1"/>
        <v>#N/A</v>
      </c>
      <c r="TFS538" s="22" t="e">
        <f ca="1"/>
        <v>#N/A</v>
      </c>
      <c r="TFT538" s="22" t="e">
        <f ca="1"/>
        <v>#N/A</v>
      </c>
      <c r="TFU538" s="22" t="e">
        <f ca="1"/>
        <v>#N/A</v>
      </c>
      <c r="TFV538" s="22" t="e">
        <f ca="1"/>
        <v>#N/A</v>
      </c>
      <c r="TFW538" s="22" t="e">
        <f ca="1"/>
        <v>#N/A</v>
      </c>
      <c r="TFX538" s="22" t="e">
        <f ca="1"/>
        <v>#N/A</v>
      </c>
      <c r="TFY538" s="22" t="e">
        <f ca="1"/>
        <v>#N/A</v>
      </c>
      <c r="TFZ538" s="22" t="e">
        <f ca="1"/>
        <v>#N/A</v>
      </c>
      <c r="TGA538" s="22" t="e">
        <f ca="1"/>
        <v>#N/A</v>
      </c>
      <c r="TGB538" s="22" t="e">
        <f ca="1"/>
        <v>#N/A</v>
      </c>
      <c r="TGC538" s="22" t="e">
        <f ca="1"/>
        <v>#N/A</v>
      </c>
      <c r="TGD538" s="22" t="e">
        <f ca="1"/>
        <v>#N/A</v>
      </c>
      <c r="TGE538" s="22" t="e">
        <f ca="1"/>
        <v>#N/A</v>
      </c>
      <c r="TGF538" s="22" t="e">
        <f ca="1"/>
        <v>#N/A</v>
      </c>
      <c r="TGG538" s="22" t="e">
        <f ca="1"/>
        <v>#N/A</v>
      </c>
      <c r="TGH538" s="22" t="e">
        <f ca="1"/>
        <v>#N/A</v>
      </c>
      <c r="TGI538" s="22" t="e">
        <f ca="1"/>
        <v>#N/A</v>
      </c>
      <c r="TGJ538" s="22" t="e">
        <f ca="1"/>
        <v>#N/A</v>
      </c>
      <c r="TGK538" s="22" t="e">
        <f ca="1"/>
        <v>#N/A</v>
      </c>
      <c r="TGL538" s="22" t="e">
        <f ca="1"/>
        <v>#N/A</v>
      </c>
      <c r="TGM538" s="22" t="e">
        <f ca="1"/>
        <v>#N/A</v>
      </c>
      <c r="TGN538" s="22" t="e">
        <f ca="1"/>
        <v>#N/A</v>
      </c>
      <c r="TGO538" s="22" t="e">
        <f ca="1"/>
        <v>#N/A</v>
      </c>
      <c r="TGP538" s="22" t="e">
        <f ca="1"/>
        <v>#N/A</v>
      </c>
      <c r="TGQ538" s="22" t="e">
        <f ca="1"/>
        <v>#N/A</v>
      </c>
      <c r="TGR538" s="22" t="e">
        <f ca="1"/>
        <v>#N/A</v>
      </c>
      <c r="TGS538" s="22" t="e">
        <f ca="1"/>
        <v>#N/A</v>
      </c>
      <c r="TGT538" s="22" t="e">
        <f ca="1"/>
        <v>#N/A</v>
      </c>
      <c r="TGU538" s="22" t="e">
        <f ca="1"/>
        <v>#N/A</v>
      </c>
      <c r="TGV538" s="22" t="e">
        <f ca="1"/>
        <v>#N/A</v>
      </c>
      <c r="TGW538" s="22" t="e">
        <f ca="1"/>
        <v>#N/A</v>
      </c>
      <c r="TGX538" s="22" t="e">
        <f ca="1"/>
        <v>#N/A</v>
      </c>
      <c r="TGY538" s="22" t="e">
        <f ca="1"/>
        <v>#N/A</v>
      </c>
      <c r="TGZ538" s="22" t="e">
        <f ca="1"/>
        <v>#N/A</v>
      </c>
      <c r="THA538" s="22" t="e">
        <f ca="1"/>
        <v>#N/A</v>
      </c>
      <c r="THB538" s="22" t="e">
        <f ca="1"/>
        <v>#N/A</v>
      </c>
      <c r="THC538" s="22" t="e">
        <f ca="1"/>
        <v>#N/A</v>
      </c>
      <c r="THD538" s="22" t="e">
        <f ca="1"/>
        <v>#N/A</v>
      </c>
      <c r="THE538" s="22" t="e">
        <f ca="1"/>
        <v>#N/A</v>
      </c>
      <c r="THF538" s="22" t="e">
        <f ca="1"/>
        <v>#N/A</v>
      </c>
      <c r="THG538" s="22" t="e">
        <f ca="1"/>
        <v>#N/A</v>
      </c>
      <c r="THH538" s="22" t="e">
        <f ca="1"/>
        <v>#N/A</v>
      </c>
      <c r="THI538" s="22" t="e">
        <f ca="1"/>
        <v>#N/A</v>
      </c>
      <c r="THJ538" s="22" t="e">
        <f ca="1"/>
        <v>#N/A</v>
      </c>
      <c r="THK538" s="22" t="e">
        <f ca="1"/>
        <v>#N/A</v>
      </c>
      <c r="THL538" s="22" t="e">
        <f ca="1"/>
        <v>#N/A</v>
      </c>
      <c r="THM538" s="22" t="e">
        <f ca="1"/>
        <v>#N/A</v>
      </c>
      <c r="THN538" s="22" t="e">
        <f ca="1"/>
        <v>#N/A</v>
      </c>
      <c r="THO538" s="22" t="e">
        <f ca="1"/>
        <v>#N/A</v>
      </c>
      <c r="THP538" s="22" t="e">
        <f ca="1"/>
        <v>#N/A</v>
      </c>
      <c r="THQ538" s="22" t="e">
        <f ca="1"/>
        <v>#N/A</v>
      </c>
      <c r="THR538" s="22" t="e">
        <f ca="1"/>
        <v>#N/A</v>
      </c>
      <c r="THS538" s="22" t="e">
        <f ca="1"/>
        <v>#N/A</v>
      </c>
      <c r="THT538" s="22" t="e">
        <f ca="1"/>
        <v>#N/A</v>
      </c>
      <c r="THU538" s="22" t="e">
        <f ca="1"/>
        <v>#N/A</v>
      </c>
      <c r="THV538" s="22" t="e">
        <f ca="1"/>
        <v>#N/A</v>
      </c>
      <c r="THW538" s="22" t="e">
        <f ca="1"/>
        <v>#N/A</v>
      </c>
      <c r="THX538" s="22" t="e">
        <f ca="1"/>
        <v>#N/A</v>
      </c>
      <c r="THY538" s="22" t="e">
        <f ca="1"/>
        <v>#N/A</v>
      </c>
      <c r="THZ538" s="22" t="e">
        <f ca="1"/>
        <v>#N/A</v>
      </c>
      <c r="TIA538" s="22" t="e">
        <f ca="1"/>
        <v>#N/A</v>
      </c>
      <c r="TIB538" s="22" t="e">
        <f ca="1"/>
        <v>#N/A</v>
      </c>
      <c r="TIC538" s="22" t="e">
        <f ca="1"/>
        <v>#N/A</v>
      </c>
      <c r="TID538" s="22" t="e">
        <f ca="1"/>
        <v>#N/A</v>
      </c>
      <c r="TIE538" s="22" t="e">
        <f ca="1"/>
        <v>#N/A</v>
      </c>
      <c r="TIF538" s="22" t="e">
        <f ca="1"/>
        <v>#N/A</v>
      </c>
      <c r="TIG538" s="22" t="e">
        <f ca="1"/>
        <v>#N/A</v>
      </c>
      <c r="TIH538" s="22" t="e">
        <f ca="1"/>
        <v>#N/A</v>
      </c>
      <c r="TII538" s="22" t="e">
        <f ca="1"/>
        <v>#N/A</v>
      </c>
      <c r="TIJ538" s="22" t="e">
        <f ca="1"/>
        <v>#N/A</v>
      </c>
      <c r="TIK538" s="22" t="e">
        <f ca="1"/>
        <v>#N/A</v>
      </c>
      <c r="TIL538" s="22" t="e">
        <f ca="1"/>
        <v>#N/A</v>
      </c>
      <c r="TIM538" s="22" t="e">
        <f ca="1"/>
        <v>#N/A</v>
      </c>
      <c r="TIN538" s="22" t="e">
        <f ca="1"/>
        <v>#N/A</v>
      </c>
      <c r="TIO538" s="22" t="e">
        <f ca="1"/>
        <v>#N/A</v>
      </c>
      <c r="TIP538" s="22" t="e">
        <f ca="1"/>
        <v>#N/A</v>
      </c>
      <c r="TIQ538" s="22" t="e">
        <f ca="1"/>
        <v>#N/A</v>
      </c>
      <c r="TIR538" s="22" t="e">
        <f ca="1"/>
        <v>#N/A</v>
      </c>
      <c r="TIS538" s="22" t="e">
        <f ca="1"/>
        <v>#N/A</v>
      </c>
      <c r="TIT538" s="22" t="e">
        <f ca="1"/>
        <v>#N/A</v>
      </c>
      <c r="TIU538" s="22" t="e">
        <f ca="1"/>
        <v>#N/A</v>
      </c>
      <c r="TIV538" s="22" t="e">
        <f ca="1"/>
        <v>#N/A</v>
      </c>
      <c r="TIW538" s="22" t="e">
        <f ca="1"/>
        <v>#N/A</v>
      </c>
      <c r="TIX538" s="22" t="e">
        <f ca="1"/>
        <v>#N/A</v>
      </c>
      <c r="TIY538" s="22" t="e">
        <f ca="1"/>
        <v>#N/A</v>
      </c>
      <c r="TIZ538" s="22" t="e">
        <f ca="1"/>
        <v>#N/A</v>
      </c>
      <c r="TJA538" s="22" t="e">
        <f ca="1"/>
        <v>#N/A</v>
      </c>
      <c r="TJB538" s="22" t="e">
        <f ca="1"/>
        <v>#N/A</v>
      </c>
      <c r="TJC538" s="22" t="e">
        <f ca="1"/>
        <v>#N/A</v>
      </c>
      <c r="TJD538" s="22" t="e">
        <f ca="1"/>
        <v>#N/A</v>
      </c>
      <c r="TJE538" s="22" t="e">
        <f ca="1"/>
        <v>#N/A</v>
      </c>
      <c r="TJF538" s="22" t="e">
        <f ca="1"/>
        <v>#N/A</v>
      </c>
      <c r="TJG538" s="22" t="e">
        <f ca="1"/>
        <v>#N/A</v>
      </c>
      <c r="TJH538" s="22" t="e">
        <f ca="1"/>
        <v>#N/A</v>
      </c>
      <c r="TJI538" s="22" t="e">
        <f ca="1"/>
        <v>#N/A</v>
      </c>
      <c r="TJJ538" s="22" t="e">
        <f ca="1"/>
        <v>#N/A</v>
      </c>
      <c r="TJK538" s="22" t="e">
        <f ca="1"/>
        <v>#N/A</v>
      </c>
      <c r="TJL538" s="22" t="e">
        <f ca="1"/>
        <v>#N/A</v>
      </c>
      <c r="TJM538" s="22" t="e">
        <f ca="1"/>
        <v>#N/A</v>
      </c>
      <c r="TJN538" s="22" t="e">
        <f ca="1"/>
        <v>#N/A</v>
      </c>
      <c r="TJO538" s="22" t="e">
        <f ca="1"/>
        <v>#N/A</v>
      </c>
      <c r="TJP538" s="22" t="e">
        <f ca="1"/>
        <v>#N/A</v>
      </c>
      <c r="TJQ538" s="22" t="e">
        <f ca="1"/>
        <v>#N/A</v>
      </c>
      <c r="TJR538" s="22" t="e">
        <f ca="1"/>
        <v>#N/A</v>
      </c>
      <c r="TJS538" s="22" t="e">
        <f ca="1"/>
        <v>#N/A</v>
      </c>
      <c r="TJT538" s="22" t="e">
        <f ca="1"/>
        <v>#N/A</v>
      </c>
      <c r="TJU538" s="22" t="e">
        <f ca="1"/>
        <v>#N/A</v>
      </c>
      <c r="TJV538" s="22" t="e">
        <f ca="1"/>
        <v>#N/A</v>
      </c>
      <c r="TJW538" s="22" t="e">
        <f ca="1"/>
        <v>#N/A</v>
      </c>
      <c r="TJX538" s="22" t="e">
        <f ca="1"/>
        <v>#N/A</v>
      </c>
      <c r="TJY538" s="22" t="e">
        <f ca="1"/>
        <v>#N/A</v>
      </c>
      <c r="TJZ538" s="22" t="e">
        <f ca="1"/>
        <v>#N/A</v>
      </c>
      <c r="TKA538" s="22" t="e">
        <f ca="1"/>
        <v>#N/A</v>
      </c>
      <c r="TKB538" s="22" t="e">
        <f ca="1"/>
        <v>#N/A</v>
      </c>
      <c r="TKC538" s="22" t="e">
        <f ca="1"/>
        <v>#N/A</v>
      </c>
      <c r="TKD538" s="22" t="e">
        <f ca="1"/>
        <v>#N/A</v>
      </c>
      <c r="TKE538" s="22" t="e">
        <f ca="1"/>
        <v>#N/A</v>
      </c>
      <c r="TKF538" s="22" t="e">
        <f ca="1"/>
        <v>#N/A</v>
      </c>
      <c r="TKG538" s="22" t="e">
        <f ca="1"/>
        <v>#N/A</v>
      </c>
      <c r="TKH538" s="22" t="e">
        <f ca="1"/>
        <v>#N/A</v>
      </c>
      <c r="TKI538" s="22" t="e">
        <f ca="1"/>
        <v>#N/A</v>
      </c>
      <c r="TKJ538" s="22" t="e">
        <f ca="1"/>
        <v>#N/A</v>
      </c>
      <c r="TKK538" s="22" t="e">
        <f ca="1"/>
        <v>#N/A</v>
      </c>
      <c r="TKL538" s="22" t="e">
        <f ca="1"/>
        <v>#N/A</v>
      </c>
      <c r="TKM538" s="22" t="e">
        <f ca="1"/>
        <v>#N/A</v>
      </c>
      <c r="TKN538" s="22" t="e">
        <f ca="1"/>
        <v>#N/A</v>
      </c>
      <c r="TKO538" s="22" t="e">
        <f ca="1"/>
        <v>#N/A</v>
      </c>
      <c r="TKP538" s="22" t="e">
        <f ca="1"/>
        <v>#N/A</v>
      </c>
      <c r="TKQ538" s="22" t="e">
        <f ca="1"/>
        <v>#N/A</v>
      </c>
      <c r="TKR538" s="22" t="e">
        <f ca="1"/>
        <v>#N/A</v>
      </c>
      <c r="TKS538" s="22" t="e">
        <f ca="1"/>
        <v>#N/A</v>
      </c>
      <c r="TKT538" s="22" t="e">
        <f ca="1"/>
        <v>#N/A</v>
      </c>
      <c r="TKU538" s="22" t="e">
        <f ca="1"/>
        <v>#N/A</v>
      </c>
      <c r="TKV538" s="22" t="e">
        <f ca="1"/>
        <v>#N/A</v>
      </c>
      <c r="TKW538" s="22" t="e">
        <f ca="1"/>
        <v>#N/A</v>
      </c>
      <c r="TKX538" s="22" t="e">
        <f ca="1"/>
        <v>#N/A</v>
      </c>
      <c r="TKY538" s="22" t="e">
        <f ca="1"/>
        <v>#N/A</v>
      </c>
      <c r="TKZ538" s="22" t="e">
        <f ca="1"/>
        <v>#N/A</v>
      </c>
      <c r="TLA538" s="22" t="e">
        <f ca="1"/>
        <v>#N/A</v>
      </c>
      <c r="TLB538" s="22" t="e">
        <f ca="1"/>
        <v>#N/A</v>
      </c>
      <c r="TLC538" s="22" t="e">
        <f ca="1"/>
        <v>#N/A</v>
      </c>
      <c r="TLD538" s="22" t="e">
        <f ca="1"/>
        <v>#N/A</v>
      </c>
      <c r="TLE538" s="22" t="e">
        <f ca="1"/>
        <v>#N/A</v>
      </c>
      <c r="TLF538" s="22" t="e">
        <f ca="1"/>
        <v>#N/A</v>
      </c>
      <c r="TLG538" s="22" t="e">
        <f ca="1"/>
        <v>#N/A</v>
      </c>
      <c r="TLH538" s="22" t="e">
        <f ca="1"/>
        <v>#N/A</v>
      </c>
      <c r="TLI538" s="22" t="e">
        <f ca="1"/>
        <v>#N/A</v>
      </c>
      <c r="TLJ538" s="22" t="e">
        <f ca="1"/>
        <v>#N/A</v>
      </c>
      <c r="TLK538" s="22" t="e">
        <f ca="1"/>
        <v>#N/A</v>
      </c>
      <c r="TLL538" s="22" t="e">
        <f ca="1"/>
        <v>#N/A</v>
      </c>
      <c r="TLM538" s="22" t="e">
        <f ca="1"/>
        <v>#N/A</v>
      </c>
      <c r="TLN538" s="22" t="e">
        <f ca="1"/>
        <v>#N/A</v>
      </c>
      <c r="TLO538" s="22" t="e">
        <f ca="1"/>
        <v>#N/A</v>
      </c>
      <c r="TLP538" s="22" t="e">
        <f ca="1"/>
        <v>#N/A</v>
      </c>
      <c r="TLQ538" s="22" t="e">
        <f ca="1"/>
        <v>#N/A</v>
      </c>
      <c r="TLR538" s="22" t="e">
        <f ca="1"/>
        <v>#N/A</v>
      </c>
      <c r="TLS538" s="22" t="e">
        <f ca="1"/>
        <v>#N/A</v>
      </c>
      <c r="TLT538" s="22" t="e">
        <f ca="1"/>
        <v>#N/A</v>
      </c>
      <c r="TLU538" s="22" t="e">
        <f ca="1"/>
        <v>#N/A</v>
      </c>
      <c r="TLV538" s="22" t="e">
        <f ca="1"/>
        <v>#N/A</v>
      </c>
      <c r="TLW538" s="22" t="e">
        <f ca="1"/>
        <v>#N/A</v>
      </c>
      <c r="TLX538" s="22" t="e">
        <f ca="1"/>
        <v>#N/A</v>
      </c>
      <c r="TLY538" s="22" t="e">
        <f ca="1"/>
        <v>#N/A</v>
      </c>
      <c r="TLZ538" s="22" t="e">
        <f ca="1"/>
        <v>#N/A</v>
      </c>
      <c r="TMA538" s="22" t="e">
        <f ca="1"/>
        <v>#N/A</v>
      </c>
      <c r="TMB538" s="22" t="e">
        <f ca="1"/>
        <v>#N/A</v>
      </c>
      <c r="TMC538" s="22" t="e">
        <f ca="1"/>
        <v>#N/A</v>
      </c>
      <c r="TMD538" s="22" t="e">
        <f ca="1"/>
        <v>#N/A</v>
      </c>
      <c r="TME538" s="22" t="e">
        <f ca="1"/>
        <v>#N/A</v>
      </c>
      <c r="TMF538" s="22" t="e">
        <f ca="1"/>
        <v>#N/A</v>
      </c>
      <c r="TMG538" s="22" t="e">
        <f ca="1"/>
        <v>#N/A</v>
      </c>
      <c r="TMH538" s="22" t="e">
        <f ca="1"/>
        <v>#N/A</v>
      </c>
      <c r="TMI538" s="22" t="e">
        <f ca="1"/>
        <v>#N/A</v>
      </c>
      <c r="TMJ538" s="22" t="e">
        <f ca="1"/>
        <v>#N/A</v>
      </c>
      <c r="TMK538" s="22" t="e">
        <f ca="1"/>
        <v>#N/A</v>
      </c>
      <c r="TML538" s="22" t="e">
        <f ca="1"/>
        <v>#N/A</v>
      </c>
      <c r="TMM538" s="22" t="e">
        <f ca="1"/>
        <v>#N/A</v>
      </c>
      <c r="TMN538" s="22" t="e">
        <f ca="1"/>
        <v>#N/A</v>
      </c>
      <c r="TMO538" s="22" t="e">
        <f ca="1"/>
        <v>#N/A</v>
      </c>
      <c r="TMP538" s="22" t="e">
        <f ca="1"/>
        <v>#N/A</v>
      </c>
      <c r="TMQ538" s="22" t="e">
        <f ca="1"/>
        <v>#N/A</v>
      </c>
      <c r="TMR538" s="22" t="e">
        <f ca="1"/>
        <v>#N/A</v>
      </c>
      <c r="TMS538" s="22" t="e">
        <f ca="1"/>
        <v>#N/A</v>
      </c>
      <c r="TMT538" s="22" t="e">
        <f ca="1"/>
        <v>#N/A</v>
      </c>
      <c r="TMU538" s="22" t="e">
        <f ca="1"/>
        <v>#N/A</v>
      </c>
      <c r="TMV538" s="22" t="e">
        <f ca="1"/>
        <v>#N/A</v>
      </c>
      <c r="TMW538" s="22" t="e">
        <f ca="1"/>
        <v>#N/A</v>
      </c>
      <c r="TMX538" s="22" t="e">
        <f ca="1"/>
        <v>#N/A</v>
      </c>
      <c r="TMY538" s="22" t="e">
        <f ca="1"/>
        <v>#N/A</v>
      </c>
      <c r="TMZ538" s="22" t="e">
        <f ca="1"/>
        <v>#N/A</v>
      </c>
      <c r="TNA538" s="22" t="e">
        <f ca="1"/>
        <v>#N/A</v>
      </c>
      <c r="TNB538" s="22" t="e">
        <f ca="1"/>
        <v>#N/A</v>
      </c>
      <c r="TNC538" s="22" t="e">
        <f ca="1"/>
        <v>#N/A</v>
      </c>
      <c r="TND538" s="22" t="e">
        <f ca="1"/>
        <v>#N/A</v>
      </c>
      <c r="TNE538" s="22" t="e">
        <f ca="1"/>
        <v>#N/A</v>
      </c>
      <c r="TNF538" s="22" t="e">
        <f ca="1"/>
        <v>#N/A</v>
      </c>
      <c r="TNG538" s="22" t="e">
        <f ca="1"/>
        <v>#N/A</v>
      </c>
      <c r="TNH538" s="22" t="e">
        <f ca="1"/>
        <v>#N/A</v>
      </c>
      <c r="TNI538" s="22" t="e">
        <f ca="1"/>
        <v>#N/A</v>
      </c>
      <c r="TNJ538" s="22" t="e">
        <f ca="1"/>
        <v>#N/A</v>
      </c>
      <c r="TNK538" s="22" t="e">
        <f ca="1"/>
        <v>#N/A</v>
      </c>
      <c r="TNL538" s="22" t="e">
        <f ca="1"/>
        <v>#N/A</v>
      </c>
      <c r="TNM538" s="22" t="e">
        <f ca="1"/>
        <v>#N/A</v>
      </c>
      <c r="TNN538" s="22" t="e">
        <f ca="1"/>
        <v>#N/A</v>
      </c>
      <c r="TNO538" s="22" t="e">
        <f ca="1"/>
        <v>#N/A</v>
      </c>
      <c r="TNP538" s="22" t="e">
        <f ca="1"/>
        <v>#N/A</v>
      </c>
      <c r="TNQ538" s="22" t="e">
        <f ca="1"/>
        <v>#N/A</v>
      </c>
      <c r="TNR538" s="22" t="e">
        <f ca="1"/>
        <v>#N/A</v>
      </c>
      <c r="TNS538" s="22" t="e">
        <f ca="1"/>
        <v>#N/A</v>
      </c>
      <c r="TNT538" s="22" t="e">
        <f ca="1"/>
        <v>#N/A</v>
      </c>
      <c r="TNU538" s="22" t="e">
        <f ca="1"/>
        <v>#N/A</v>
      </c>
      <c r="TNV538" s="22" t="e">
        <f ca="1"/>
        <v>#N/A</v>
      </c>
      <c r="TNW538" s="22" t="e">
        <f ca="1"/>
        <v>#N/A</v>
      </c>
      <c r="TNX538" s="22" t="e">
        <f ca="1"/>
        <v>#N/A</v>
      </c>
      <c r="TNY538" s="22" t="e">
        <f ca="1"/>
        <v>#N/A</v>
      </c>
      <c r="TNZ538" s="22" t="e">
        <f ca="1"/>
        <v>#N/A</v>
      </c>
      <c r="TOA538" s="22" t="e">
        <f ca="1"/>
        <v>#N/A</v>
      </c>
      <c r="TOB538" s="22" t="e">
        <f ca="1"/>
        <v>#N/A</v>
      </c>
      <c r="TOC538" s="22" t="e">
        <f ca="1"/>
        <v>#N/A</v>
      </c>
      <c r="TOD538" s="22" t="e">
        <f ca="1"/>
        <v>#N/A</v>
      </c>
      <c r="TOE538" s="22" t="e">
        <f ca="1"/>
        <v>#N/A</v>
      </c>
      <c r="TOF538" s="22" t="e">
        <f ca="1"/>
        <v>#N/A</v>
      </c>
      <c r="TOG538" s="22" t="e">
        <f ca="1"/>
        <v>#N/A</v>
      </c>
      <c r="TOH538" s="22" t="e">
        <f ca="1"/>
        <v>#N/A</v>
      </c>
      <c r="TOI538" s="22" t="e">
        <f ca="1"/>
        <v>#N/A</v>
      </c>
      <c r="TOJ538" s="22" t="e">
        <f ca="1"/>
        <v>#N/A</v>
      </c>
      <c r="TOK538" s="22" t="e">
        <f ca="1"/>
        <v>#N/A</v>
      </c>
      <c r="TOL538" s="22" t="e">
        <f ca="1"/>
        <v>#N/A</v>
      </c>
      <c r="TOM538" s="22" t="e">
        <f ca="1"/>
        <v>#N/A</v>
      </c>
      <c r="TON538" s="22" t="e">
        <f ca="1"/>
        <v>#N/A</v>
      </c>
      <c r="TOO538" s="22" t="e">
        <f ca="1"/>
        <v>#N/A</v>
      </c>
      <c r="TOP538" s="22" t="e">
        <f ca="1"/>
        <v>#N/A</v>
      </c>
      <c r="TOQ538" s="22" t="e">
        <f ca="1"/>
        <v>#N/A</v>
      </c>
      <c r="TOR538" s="22" t="e">
        <f ca="1"/>
        <v>#N/A</v>
      </c>
      <c r="TOS538" s="22" t="e">
        <f ca="1"/>
        <v>#N/A</v>
      </c>
      <c r="TOT538" s="22" t="e">
        <f ca="1"/>
        <v>#N/A</v>
      </c>
      <c r="TOU538" s="22" t="e">
        <f ca="1"/>
        <v>#N/A</v>
      </c>
      <c r="TOV538" s="22" t="e">
        <f ca="1"/>
        <v>#N/A</v>
      </c>
      <c r="TOW538" s="22" t="e">
        <f ca="1"/>
        <v>#N/A</v>
      </c>
      <c r="TOX538" s="22" t="e">
        <f ca="1"/>
        <v>#N/A</v>
      </c>
      <c r="TOY538" s="22" t="e">
        <f ca="1"/>
        <v>#N/A</v>
      </c>
      <c r="TOZ538" s="22" t="e">
        <f ca="1"/>
        <v>#N/A</v>
      </c>
      <c r="TPA538" s="22" t="e">
        <f ca="1"/>
        <v>#N/A</v>
      </c>
      <c r="TPB538" s="22" t="e">
        <f ca="1"/>
        <v>#N/A</v>
      </c>
      <c r="TPC538" s="22" t="e">
        <f ca="1"/>
        <v>#N/A</v>
      </c>
      <c r="TPD538" s="22" t="e">
        <f ca="1"/>
        <v>#N/A</v>
      </c>
      <c r="TPE538" s="22" t="e">
        <f ca="1"/>
        <v>#N/A</v>
      </c>
      <c r="TPF538" s="22" t="e">
        <f ca="1"/>
        <v>#N/A</v>
      </c>
      <c r="TPG538" s="22" t="e">
        <f ca="1"/>
        <v>#N/A</v>
      </c>
      <c r="TPH538" s="22" t="e">
        <f ca="1"/>
        <v>#N/A</v>
      </c>
      <c r="TPI538" s="22" t="e">
        <f ca="1"/>
        <v>#N/A</v>
      </c>
      <c r="TPJ538" s="22" t="e">
        <f ca="1"/>
        <v>#N/A</v>
      </c>
      <c r="TPK538" s="22" t="e">
        <f ca="1"/>
        <v>#N/A</v>
      </c>
      <c r="TPL538" s="22" t="e">
        <f ca="1"/>
        <v>#N/A</v>
      </c>
      <c r="TPM538" s="22" t="e">
        <f ca="1"/>
        <v>#N/A</v>
      </c>
      <c r="TPN538" s="22" t="e">
        <f ca="1"/>
        <v>#N/A</v>
      </c>
      <c r="TPO538" s="22" t="e">
        <f ca="1"/>
        <v>#N/A</v>
      </c>
      <c r="TPP538" s="22" t="e">
        <f ca="1"/>
        <v>#N/A</v>
      </c>
      <c r="TPQ538" s="22" t="e">
        <f ca="1"/>
        <v>#N/A</v>
      </c>
      <c r="TPR538" s="22" t="e">
        <f ca="1"/>
        <v>#N/A</v>
      </c>
      <c r="TPS538" s="22" t="e">
        <f ca="1"/>
        <v>#N/A</v>
      </c>
      <c r="TPT538" s="22" t="e">
        <f ca="1"/>
        <v>#N/A</v>
      </c>
      <c r="TPU538" s="22" t="e">
        <f ca="1"/>
        <v>#N/A</v>
      </c>
      <c r="TPV538" s="22" t="e">
        <f ca="1"/>
        <v>#N/A</v>
      </c>
      <c r="TPW538" s="22" t="e">
        <f ca="1"/>
        <v>#N/A</v>
      </c>
      <c r="TPX538" s="22" t="e">
        <f ca="1"/>
        <v>#N/A</v>
      </c>
      <c r="TPY538" s="22" t="e">
        <f ca="1"/>
        <v>#N/A</v>
      </c>
      <c r="TPZ538" s="22" t="e">
        <f ca="1"/>
        <v>#N/A</v>
      </c>
      <c r="TQA538" s="22" t="e">
        <f ca="1"/>
        <v>#N/A</v>
      </c>
      <c r="TQB538" s="22" t="e">
        <f ca="1"/>
        <v>#N/A</v>
      </c>
      <c r="TQC538" s="22" t="e">
        <f ca="1"/>
        <v>#N/A</v>
      </c>
      <c r="TQD538" s="22" t="e">
        <f ca="1"/>
        <v>#N/A</v>
      </c>
      <c r="TQE538" s="22" t="e">
        <f ca="1"/>
        <v>#N/A</v>
      </c>
      <c r="TQF538" s="22" t="e">
        <f ca="1"/>
        <v>#N/A</v>
      </c>
      <c r="TQG538" s="22" t="e">
        <f ca="1"/>
        <v>#N/A</v>
      </c>
      <c r="TQH538" s="22" t="e">
        <f ca="1"/>
        <v>#N/A</v>
      </c>
      <c r="TQI538" s="22" t="e">
        <f ca="1"/>
        <v>#N/A</v>
      </c>
      <c r="TQJ538" s="22" t="e">
        <f ca="1"/>
        <v>#N/A</v>
      </c>
      <c r="TQK538" s="22" t="e">
        <f ca="1"/>
        <v>#N/A</v>
      </c>
      <c r="TQL538" s="22" t="e">
        <f ca="1"/>
        <v>#N/A</v>
      </c>
      <c r="TQM538" s="22" t="e">
        <f ca="1"/>
        <v>#N/A</v>
      </c>
      <c r="TQN538" s="22" t="e">
        <f ca="1"/>
        <v>#N/A</v>
      </c>
      <c r="TQO538" s="22" t="e">
        <f ca="1"/>
        <v>#N/A</v>
      </c>
      <c r="TQP538" s="22" t="e">
        <f ca="1"/>
        <v>#N/A</v>
      </c>
      <c r="TQQ538" s="22" t="e">
        <f ca="1"/>
        <v>#N/A</v>
      </c>
      <c r="TQR538" s="22" t="e">
        <f ca="1"/>
        <v>#N/A</v>
      </c>
      <c r="TQS538" s="22" t="e">
        <f ca="1"/>
        <v>#N/A</v>
      </c>
      <c r="TQT538" s="22" t="e">
        <f ca="1"/>
        <v>#N/A</v>
      </c>
      <c r="TQU538" s="22" t="e">
        <f ca="1"/>
        <v>#N/A</v>
      </c>
      <c r="TQV538" s="22" t="e">
        <f ca="1"/>
        <v>#N/A</v>
      </c>
      <c r="TQW538" s="22" t="e">
        <f ca="1"/>
        <v>#N/A</v>
      </c>
      <c r="TQX538" s="22" t="e">
        <f ca="1"/>
        <v>#N/A</v>
      </c>
      <c r="TQY538" s="22" t="e">
        <f ca="1"/>
        <v>#N/A</v>
      </c>
      <c r="TQZ538" s="22" t="e">
        <f ca="1"/>
        <v>#N/A</v>
      </c>
      <c r="TRA538" s="22" t="e">
        <f ca="1"/>
        <v>#N/A</v>
      </c>
      <c r="TRB538" s="22" t="e">
        <f ca="1"/>
        <v>#N/A</v>
      </c>
      <c r="TRC538" s="22" t="e">
        <f ca="1"/>
        <v>#N/A</v>
      </c>
      <c r="TRD538" s="22" t="e">
        <f ca="1"/>
        <v>#N/A</v>
      </c>
      <c r="TRE538" s="22" t="e">
        <f ca="1"/>
        <v>#N/A</v>
      </c>
      <c r="TRF538" s="22" t="e">
        <f ca="1"/>
        <v>#N/A</v>
      </c>
      <c r="TRG538" s="22" t="e">
        <f ca="1"/>
        <v>#N/A</v>
      </c>
      <c r="TRH538" s="22" t="e">
        <f ca="1"/>
        <v>#N/A</v>
      </c>
      <c r="TRI538" s="22" t="e">
        <f ca="1"/>
        <v>#N/A</v>
      </c>
      <c r="TRJ538" s="22" t="e">
        <f ca="1"/>
        <v>#N/A</v>
      </c>
      <c r="TRK538" s="22" t="e">
        <f ca="1"/>
        <v>#N/A</v>
      </c>
      <c r="TRL538" s="22" t="e">
        <f ca="1"/>
        <v>#N/A</v>
      </c>
      <c r="TRM538" s="22" t="e">
        <f ca="1"/>
        <v>#N/A</v>
      </c>
      <c r="TRN538" s="22" t="e">
        <f ca="1"/>
        <v>#N/A</v>
      </c>
      <c r="TRO538" s="22" t="e">
        <f ca="1"/>
        <v>#N/A</v>
      </c>
      <c r="TRP538" s="22" t="e">
        <f ca="1"/>
        <v>#N/A</v>
      </c>
      <c r="TRQ538" s="22" t="e">
        <f ca="1"/>
        <v>#N/A</v>
      </c>
      <c r="TRR538" s="22" t="e">
        <f ca="1"/>
        <v>#N/A</v>
      </c>
      <c r="TRS538" s="22" t="e">
        <f ca="1"/>
        <v>#N/A</v>
      </c>
      <c r="TRT538" s="22" t="e">
        <f ca="1"/>
        <v>#N/A</v>
      </c>
      <c r="TRU538" s="22" t="e">
        <f ca="1"/>
        <v>#N/A</v>
      </c>
      <c r="TRV538" s="22" t="e">
        <f ca="1"/>
        <v>#N/A</v>
      </c>
      <c r="TRW538" s="22" t="e">
        <f ca="1"/>
        <v>#N/A</v>
      </c>
      <c r="TRX538" s="22" t="e">
        <f ca="1"/>
        <v>#N/A</v>
      </c>
      <c r="TRY538" s="22" t="e">
        <f ca="1"/>
        <v>#N/A</v>
      </c>
      <c r="TRZ538" s="22" t="e">
        <f ca="1"/>
        <v>#N/A</v>
      </c>
      <c r="TSA538" s="22" t="e">
        <f ca="1"/>
        <v>#N/A</v>
      </c>
      <c r="TSB538" s="22" t="e">
        <f ca="1"/>
        <v>#N/A</v>
      </c>
      <c r="TSC538" s="22" t="e">
        <f ca="1"/>
        <v>#N/A</v>
      </c>
      <c r="TSD538" s="22" t="e">
        <f ca="1"/>
        <v>#N/A</v>
      </c>
      <c r="TSE538" s="22" t="e">
        <f ca="1"/>
        <v>#N/A</v>
      </c>
      <c r="TSF538" s="22" t="e">
        <f ca="1"/>
        <v>#N/A</v>
      </c>
      <c r="TSG538" s="22" t="e">
        <f ca="1"/>
        <v>#N/A</v>
      </c>
      <c r="TSH538" s="22" t="e">
        <f ca="1"/>
        <v>#N/A</v>
      </c>
      <c r="TSI538" s="22" t="e">
        <f ca="1"/>
        <v>#N/A</v>
      </c>
      <c r="TSJ538" s="22" t="e">
        <f ca="1"/>
        <v>#N/A</v>
      </c>
      <c r="TSK538" s="22" t="e">
        <f ca="1"/>
        <v>#N/A</v>
      </c>
      <c r="TSL538" s="22" t="e">
        <f ca="1"/>
        <v>#N/A</v>
      </c>
      <c r="TSM538" s="22" t="e">
        <f ca="1"/>
        <v>#N/A</v>
      </c>
      <c r="TSN538" s="22" t="e">
        <f ca="1"/>
        <v>#N/A</v>
      </c>
      <c r="TSO538" s="22" t="e">
        <f ca="1"/>
        <v>#N/A</v>
      </c>
      <c r="TSP538" s="22" t="e">
        <f ca="1"/>
        <v>#N/A</v>
      </c>
      <c r="TSQ538" s="22" t="e">
        <f ca="1"/>
        <v>#N/A</v>
      </c>
      <c r="TSR538" s="22" t="e">
        <f ca="1"/>
        <v>#N/A</v>
      </c>
      <c r="TSS538" s="22" t="e">
        <f ca="1"/>
        <v>#N/A</v>
      </c>
      <c r="TST538" s="22" t="e">
        <f ca="1"/>
        <v>#N/A</v>
      </c>
      <c r="TSU538" s="22" t="e">
        <f ca="1"/>
        <v>#N/A</v>
      </c>
      <c r="TSV538" s="22" t="e">
        <f ca="1"/>
        <v>#N/A</v>
      </c>
      <c r="TSW538" s="22" t="e">
        <f ca="1"/>
        <v>#N/A</v>
      </c>
      <c r="TSX538" s="22" t="e">
        <f ca="1"/>
        <v>#N/A</v>
      </c>
      <c r="TSY538" s="22" t="e">
        <f ca="1"/>
        <v>#N/A</v>
      </c>
      <c r="TSZ538" s="22" t="e">
        <f ca="1"/>
        <v>#N/A</v>
      </c>
      <c r="TTA538" s="22" t="e">
        <f ca="1"/>
        <v>#N/A</v>
      </c>
      <c r="TTB538" s="22" t="e">
        <f ca="1"/>
        <v>#N/A</v>
      </c>
      <c r="TTC538" s="22" t="e">
        <f ca="1"/>
        <v>#N/A</v>
      </c>
      <c r="TTD538" s="22" t="e">
        <f ca="1"/>
        <v>#N/A</v>
      </c>
      <c r="TTE538" s="22" t="e">
        <f ca="1"/>
        <v>#N/A</v>
      </c>
      <c r="TTF538" s="22" t="e">
        <f ca="1"/>
        <v>#N/A</v>
      </c>
      <c r="TTG538" s="22" t="e">
        <f ca="1"/>
        <v>#N/A</v>
      </c>
      <c r="TTH538" s="22" t="e">
        <f ca="1"/>
        <v>#N/A</v>
      </c>
      <c r="TTI538" s="22" t="e">
        <f ca="1"/>
        <v>#N/A</v>
      </c>
      <c r="TTJ538" s="22" t="e">
        <f ca="1"/>
        <v>#N/A</v>
      </c>
      <c r="TTK538" s="22" t="e">
        <f ca="1"/>
        <v>#N/A</v>
      </c>
      <c r="TTL538" s="22" t="e">
        <f ca="1"/>
        <v>#N/A</v>
      </c>
      <c r="TTM538" s="22" t="e">
        <f ca="1"/>
        <v>#N/A</v>
      </c>
      <c r="TTN538" s="22" t="e">
        <f ca="1"/>
        <v>#N/A</v>
      </c>
      <c r="TTO538" s="22" t="e">
        <f ca="1"/>
        <v>#N/A</v>
      </c>
      <c r="TTP538" s="22" t="e">
        <f ca="1"/>
        <v>#N/A</v>
      </c>
      <c r="TTQ538" s="22" t="e">
        <f ca="1"/>
        <v>#N/A</v>
      </c>
      <c r="TTR538" s="22" t="e">
        <f ca="1"/>
        <v>#N/A</v>
      </c>
      <c r="TTS538" s="22" t="e">
        <f ca="1"/>
        <v>#N/A</v>
      </c>
      <c r="TTT538" s="22" t="e">
        <f ca="1"/>
        <v>#N/A</v>
      </c>
      <c r="TTU538" s="22" t="e">
        <f ca="1"/>
        <v>#N/A</v>
      </c>
      <c r="TTV538" s="22" t="e">
        <f ca="1"/>
        <v>#N/A</v>
      </c>
      <c r="TTW538" s="22" t="e">
        <f ca="1"/>
        <v>#N/A</v>
      </c>
      <c r="TTX538" s="22" t="e">
        <f ca="1"/>
        <v>#N/A</v>
      </c>
      <c r="TTY538" s="22" t="e">
        <f ca="1"/>
        <v>#N/A</v>
      </c>
      <c r="TTZ538" s="22" t="e">
        <f ca="1"/>
        <v>#N/A</v>
      </c>
      <c r="TUA538" s="22" t="e">
        <f ca="1"/>
        <v>#N/A</v>
      </c>
      <c r="TUB538" s="22" t="e">
        <f ca="1"/>
        <v>#N/A</v>
      </c>
      <c r="TUC538" s="22" t="e">
        <f ca="1"/>
        <v>#N/A</v>
      </c>
      <c r="TUD538" s="22" t="e">
        <f ca="1"/>
        <v>#N/A</v>
      </c>
      <c r="TUE538" s="22" t="e">
        <f ca="1"/>
        <v>#N/A</v>
      </c>
      <c r="TUF538" s="22" t="e">
        <f ca="1"/>
        <v>#N/A</v>
      </c>
      <c r="TUG538" s="22" t="e">
        <f ca="1"/>
        <v>#N/A</v>
      </c>
      <c r="TUH538" s="22" t="e">
        <f ca="1"/>
        <v>#N/A</v>
      </c>
      <c r="TUI538" s="22" t="e">
        <f ca="1"/>
        <v>#N/A</v>
      </c>
      <c r="TUJ538" s="22" t="e">
        <f ca="1"/>
        <v>#N/A</v>
      </c>
      <c r="TUK538" s="22" t="e">
        <f ca="1"/>
        <v>#N/A</v>
      </c>
      <c r="TUL538" s="22" t="e">
        <f ca="1"/>
        <v>#N/A</v>
      </c>
      <c r="TUM538" s="22" t="e">
        <f ca="1"/>
        <v>#N/A</v>
      </c>
      <c r="TUN538" s="22" t="e">
        <f ca="1"/>
        <v>#N/A</v>
      </c>
      <c r="TUO538" s="22" t="e">
        <f ca="1"/>
        <v>#N/A</v>
      </c>
      <c r="TUP538" s="22" t="e">
        <f ca="1"/>
        <v>#N/A</v>
      </c>
      <c r="TUQ538" s="22" t="e">
        <f ca="1"/>
        <v>#N/A</v>
      </c>
      <c r="TUR538" s="22" t="e">
        <f ca="1"/>
        <v>#N/A</v>
      </c>
      <c r="TUS538" s="22" t="e">
        <f ca="1"/>
        <v>#N/A</v>
      </c>
      <c r="TUT538" s="22" t="e">
        <f ca="1"/>
        <v>#N/A</v>
      </c>
      <c r="TUU538" s="22" t="e">
        <f ca="1"/>
        <v>#N/A</v>
      </c>
      <c r="TUV538" s="22" t="e">
        <f ca="1"/>
        <v>#N/A</v>
      </c>
      <c r="TUW538" s="22" t="e">
        <f ca="1"/>
        <v>#N/A</v>
      </c>
      <c r="TUX538" s="22" t="e">
        <f ca="1"/>
        <v>#N/A</v>
      </c>
      <c r="TUY538" s="22" t="e">
        <f ca="1"/>
        <v>#N/A</v>
      </c>
      <c r="TUZ538" s="22" t="e">
        <f ca="1"/>
        <v>#N/A</v>
      </c>
      <c r="TVA538" s="22" t="e">
        <f ca="1"/>
        <v>#N/A</v>
      </c>
      <c r="TVB538" s="22" t="e">
        <f ca="1"/>
        <v>#N/A</v>
      </c>
      <c r="TVC538" s="22" t="e">
        <f ca="1"/>
        <v>#N/A</v>
      </c>
      <c r="TVD538" s="22" t="e">
        <f ca="1"/>
        <v>#N/A</v>
      </c>
      <c r="TVE538" s="22" t="e">
        <f ca="1"/>
        <v>#N/A</v>
      </c>
      <c r="TVF538" s="22" t="e">
        <f ca="1"/>
        <v>#N/A</v>
      </c>
      <c r="TVG538" s="22" t="e">
        <f ca="1"/>
        <v>#N/A</v>
      </c>
      <c r="TVH538" s="22" t="e">
        <f ca="1"/>
        <v>#N/A</v>
      </c>
      <c r="TVI538" s="22" t="e">
        <f ca="1"/>
        <v>#N/A</v>
      </c>
      <c r="TVJ538" s="22" t="e">
        <f ca="1"/>
        <v>#N/A</v>
      </c>
      <c r="TVK538" s="22" t="e">
        <f ca="1"/>
        <v>#N/A</v>
      </c>
      <c r="TVL538" s="22" t="e">
        <f ca="1"/>
        <v>#N/A</v>
      </c>
      <c r="TVM538" s="22" t="e">
        <f ca="1"/>
        <v>#N/A</v>
      </c>
      <c r="TVN538" s="22" t="e">
        <f ca="1"/>
        <v>#N/A</v>
      </c>
      <c r="TVO538" s="22" t="e">
        <f ca="1"/>
        <v>#N/A</v>
      </c>
      <c r="TVP538" s="22" t="e">
        <f ca="1"/>
        <v>#N/A</v>
      </c>
      <c r="TVQ538" s="22" t="e">
        <f ca="1"/>
        <v>#N/A</v>
      </c>
      <c r="TVR538" s="22" t="e">
        <f ca="1"/>
        <v>#N/A</v>
      </c>
      <c r="TVS538" s="22" t="e">
        <f ca="1"/>
        <v>#N/A</v>
      </c>
      <c r="TVT538" s="22" t="e">
        <f ca="1"/>
        <v>#N/A</v>
      </c>
      <c r="TVU538" s="22" t="e">
        <f ca="1"/>
        <v>#N/A</v>
      </c>
      <c r="TVV538" s="22" t="e">
        <f ca="1"/>
        <v>#N/A</v>
      </c>
      <c r="TVW538" s="22" t="e">
        <f ca="1"/>
        <v>#N/A</v>
      </c>
      <c r="TVX538" s="22" t="e">
        <f ca="1"/>
        <v>#N/A</v>
      </c>
      <c r="TVY538" s="22" t="e">
        <f ca="1"/>
        <v>#N/A</v>
      </c>
      <c r="TVZ538" s="22" t="e">
        <f ca="1"/>
        <v>#N/A</v>
      </c>
      <c r="TWA538" s="22" t="e">
        <f ca="1"/>
        <v>#N/A</v>
      </c>
      <c r="TWB538" s="22" t="e">
        <f ca="1"/>
        <v>#N/A</v>
      </c>
      <c r="TWC538" s="22" t="e">
        <f ca="1"/>
        <v>#N/A</v>
      </c>
      <c r="TWD538" s="22" t="e">
        <f ca="1"/>
        <v>#N/A</v>
      </c>
      <c r="TWE538" s="22" t="e">
        <f ca="1"/>
        <v>#N/A</v>
      </c>
      <c r="TWF538" s="22" t="e">
        <f ca="1"/>
        <v>#N/A</v>
      </c>
      <c r="TWG538" s="22" t="e">
        <f ca="1"/>
        <v>#N/A</v>
      </c>
      <c r="TWH538" s="22" t="e">
        <f ca="1"/>
        <v>#N/A</v>
      </c>
      <c r="TWI538" s="22" t="e">
        <f ca="1"/>
        <v>#N/A</v>
      </c>
      <c r="TWJ538" s="22" t="e">
        <f ca="1"/>
        <v>#N/A</v>
      </c>
      <c r="TWK538" s="22" t="e">
        <f ca="1"/>
        <v>#N/A</v>
      </c>
      <c r="TWL538" s="22" t="e">
        <f ca="1"/>
        <v>#N/A</v>
      </c>
      <c r="TWM538" s="22" t="e">
        <f ca="1"/>
        <v>#N/A</v>
      </c>
      <c r="TWN538" s="22" t="e">
        <f ca="1"/>
        <v>#N/A</v>
      </c>
      <c r="TWO538" s="22" t="e">
        <f ca="1"/>
        <v>#N/A</v>
      </c>
      <c r="TWP538" s="22" t="e">
        <f ca="1"/>
        <v>#N/A</v>
      </c>
      <c r="TWQ538" s="22" t="e">
        <f ca="1"/>
        <v>#N/A</v>
      </c>
      <c r="TWR538" s="22" t="e">
        <f ca="1"/>
        <v>#N/A</v>
      </c>
      <c r="TWS538" s="22" t="e">
        <f ca="1"/>
        <v>#N/A</v>
      </c>
      <c r="TWT538" s="22" t="e">
        <f ca="1"/>
        <v>#N/A</v>
      </c>
      <c r="TWU538" s="22" t="e">
        <f ca="1"/>
        <v>#N/A</v>
      </c>
      <c r="TWV538" s="22" t="e">
        <f ca="1"/>
        <v>#N/A</v>
      </c>
      <c r="TWW538" s="22" t="e">
        <f ca="1"/>
        <v>#N/A</v>
      </c>
      <c r="TWX538" s="22" t="e">
        <f ca="1"/>
        <v>#N/A</v>
      </c>
      <c r="TWY538" s="22" t="e">
        <f ca="1"/>
        <v>#N/A</v>
      </c>
      <c r="TWZ538" s="22" t="e">
        <f ca="1"/>
        <v>#N/A</v>
      </c>
      <c r="TXA538" s="22" t="e">
        <f ca="1"/>
        <v>#N/A</v>
      </c>
      <c r="TXB538" s="22" t="e">
        <f ca="1"/>
        <v>#N/A</v>
      </c>
      <c r="TXC538" s="22" t="e">
        <f ca="1"/>
        <v>#N/A</v>
      </c>
      <c r="TXD538" s="22" t="e">
        <f ca="1"/>
        <v>#N/A</v>
      </c>
      <c r="TXE538" s="22" t="e">
        <f ca="1"/>
        <v>#N/A</v>
      </c>
      <c r="TXF538" s="22" t="e">
        <f ca="1"/>
        <v>#N/A</v>
      </c>
      <c r="TXG538" s="22" t="e">
        <f ca="1"/>
        <v>#N/A</v>
      </c>
      <c r="TXH538" s="22" t="e">
        <f ca="1"/>
        <v>#N/A</v>
      </c>
      <c r="TXI538" s="22" t="e">
        <f ca="1"/>
        <v>#N/A</v>
      </c>
      <c r="TXJ538" s="22" t="e">
        <f ca="1"/>
        <v>#N/A</v>
      </c>
      <c r="TXK538" s="22" t="e">
        <f ca="1"/>
        <v>#N/A</v>
      </c>
      <c r="TXL538" s="22" t="e">
        <f ca="1"/>
        <v>#N/A</v>
      </c>
      <c r="TXM538" s="22" t="e">
        <f ca="1"/>
        <v>#N/A</v>
      </c>
      <c r="TXN538" s="22" t="e">
        <f ca="1"/>
        <v>#N/A</v>
      </c>
      <c r="TXO538" s="22" t="e">
        <f ca="1"/>
        <v>#N/A</v>
      </c>
      <c r="TXP538" s="22" t="e">
        <f ca="1"/>
        <v>#N/A</v>
      </c>
      <c r="TXQ538" s="22" t="e">
        <f ca="1"/>
        <v>#N/A</v>
      </c>
      <c r="TXR538" s="22" t="e">
        <f ca="1"/>
        <v>#N/A</v>
      </c>
      <c r="TXS538" s="22" t="e">
        <f ca="1"/>
        <v>#N/A</v>
      </c>
      <c r="TXT538" s="22" t="e">
        <f ca="1"/>
        <v>#N/A</v>
      </c>
      <c r="TXU538" s="22" t="e">
        <f ca="1"/>
        <v>#N/A</v>
      </c>
      <c r="TXV538" s="22" t="e">
        <f ca="1"/>
        <v>#N/A</v>
      </c>
      <c r="TXW538" s="22" t="e">
        <f ca="1"/>
        <v>#N/A</v>
      </c>
      <c r="TXX538" s="22" t="e">
        <f ca="1"/>
        <v>#N/A</v>
      </c>
      <c r="TXY538" s="22" t="e">
        <f ca="1"/>
        <v>#N/A</v>
      </c>
      <c r="TXZ538" s="22" t="e">
        <f ca="1"/>
        <v>#N/A</v>
      </c>
      <c r="TYA538" s="22" t="e">
        <f ca="1"/>
        <v>#N/A</v>
      </c>
      <c r="TYB538" s="22" t="e">
        <f ca="1"/>
        <v>#N/A</v>
      </c>
      <c r="TYC538" s="22" t="e">
        <f ca="1"/>
        <v>#N/A</v>
      </c>
      <c r="TYD538" s="22" t="e">
        <f ca="1"/>
        <v>#N/A</v>
      </c>
      <c r="TYE538" s="22" t="e">
        <f ca="1"/>
        <v>#N/A</v>
      </c>
      <c r="TYF538" s="22" t="e">
        <f ca="1"/>
        <v>#N/A</v>
      </c>
      <c r="TYG538" s="22" t="e">
        <f ca="1"/>
        <v>#N/A</v>
      </c>
      <c r="TYH538" s="22" t="e">
        <f ca="1"/>
        <v>#N/A</v>
      </c>
      <c r="TYI538" s="22" t="e">
        <f ca="1"/>
        <v>#N/A</v>
      </c>
      <c r="TYJ538" s="22" t="e">
        <f ca="1"/>
        <v>#N/A</v>
      </c>
      <c r="TYK538" s="22" t="e">
        <f ca="1"/>
        <v>#N/A</v>
      </c>
      <c r="TYL538" s="22" t="e">
        <f ca="1"/>
        <v>#N/A</v>
      </c>
      <c r="TYM538" s="22" t="e">
        <f ca="1"/>
        <v>#N/A</v>
      </c>
      <c r="TYN538" s="22" t="e">
        <f ca="1"/>
        <v>#N/A</v>
      </c>
      <c r="TYO538" s="22" t="e">
        <f ca="1"/>
        <v>#N/A</v>
      </c>
      <c r="TYP538" s="22" t="e">
        <f ca="1"/>
        <v>#N/A</v>
      </c>
      <c r="TYQ538" s="22" t="e">
        <f ca="1"/>
        <v>#N/A</v>
      </c>
      <c r="TYR538" s="22" t="e">
        <f ca="1"/>
        <v>#N/A</v>
      </c>
      <c r="TYS538" s="22" t="e">
        <f ca="1"/>
        <v>#N/A</v>
      </c>
      <c r="TYT538" s="22" t="e">
        <f ca="1"/>
        <v>#N/A</v>
      </c>
      <c r="TYU538" s="22" t="e">
        <f ca="1"/>
        <v>#N/A</v>
      </c>
      <c r="TYV538" s="22" t="e">
        <f ca="1"/>
        <v>#N/A</v>
      </c>
      <c r="TYW538" s="22" t="e">
        <f ca="1"/>
        <v>#N/A</v>
      </c>
      <c r="TYX538" s="22" t="e">
        <f ca="1"/>
        <v>#N/A</v>
      </c>
      <c r="TYY538" s="22" t="e">
        <f ca="1"/>
        <v>#N/A</v>
      </c>
      <c r="TYZ538" s="22" t="e">
        <f ca="1"/>
        <v>#N/A</v>
      </c>
      <c r="TZA538" s="22" t="e">
        <f ca="1"/>
        <v>#N/A</v>
      </c>
      <c r="TZB538" s="22" t="e">
        <f ca="1"/>
        <v>#N/A</v>
      </c>
      <c r="TZC538" s="22" t="e">
        <f ca="1"/>
        <v>#N/A</v>
      </c>
      <c r="TZD538" s="22" t="e">
        <f ca="1"/>
        <v>#N/A</v>
      </c>
      <c r="TZE538" s="22" t="e">
        <f ca="1"/>
        <v>#N/A</v>
      </c>
      <c r="TZF538" s="22" t="e">
        <f ca="1"/>
        <v>#N/A</v>
      </c>
      <c r="TZG538" s="22" t="e">
        <f ca="1"/>
        <v>#N/A</v>
      </c>
      <c r="TZH538" s="22" t="e">
        <f ca="1"/>
        <v>#N/A</v>
      </c>
      <c r="TZI538" s="22" t="e">
        <f ca="1"/>
        <v>#N/A</v>
      </c>
      <c r="TZJ538" s="22" t="e">
        <f ca="1"/>
        <v>#N/A</v>
      </c>
      <c r="TZK538" s="22" t="e">
        <f ca="1"/>
        <v>#N/A</v>
      </c>
      <c r="TZL538" s="22" t="e">
        <f ca="1"/>
        <v>#N/A</v>
      </c>
      <c r="TZM538" s="22" t="e">
        <f ca="1"/>
        <v>#N/A</v>
      </c>
      <c r="TZN538" s="22" t="e">
        <f ca="1"/>
        <v>#N/A</v>
      </c>
      <c r="TZO538" s="22" t="e">
        <f ca="1"/>
        <v>#N/A</v>
      </c>
      <c r="TZP538" s="22" t="e">
        <f ca="1"/>
        <v>#N/A</v>
      </c>
      <c r="TZQ538" s="22" t="e">
        <f ca="1"/>
        <v>#N/A</v>
      </c>
      <c r="TZR538" s="22" t="e">
        <f ca="1"/>
        <v>#N/A</v>
      </c>
      <c r="TZS538" s="22" t="e">
        <f ca="1"/>
        <v>#N/A</v>
      </c>
      <c r="TZT538" s="22" t="e">
        <f ca="1"/>
        <v>#N/A</v>
      </c>
      <c r="TZU538" s="22" t="e">
        <f ca="1"/>
        <v>#N/A</v>
      </c>
      <c r="TZV538" s="22" t="e">
        <f ca="1"/>
        <v>#N/A</v>
      </c>
      <c r="TZW538" s="22" t="e">
        <f ca="1"/>
        <v>#N/A</v>
      </c>
      <c r="TZX538" s="22" t="e">
        <f ca="1"/>
        <v>#N/A</v>
      </c>
      <c r="TZY538" s="22" t="e">
        <f ca="1"/>
        <v>#N/A</v>
      </c>
      <c r="TZZ538" s="22" t="e">
        <f ca="1"/>
        <v>#N/A</v>
      </c>
      <c r="UAA538" s="22" t="e">
        <f ca="1"/>
        <v>#N/A</v>
      </c>
      <c r="UAB538" s="22" t="e">
        <f ca="1"/>
        <v>#N/A</v>
      </c>
      <c r="UAC538" s="22" t="e">
        <f ca="1"/>
        <v>#N/A</v>
      </c>
      <c r="UAD538" s="22" t="e">
        <f ca="1"/>
        <v>#N/A</v>
      </c>
      <c r="UAE538" s="22" t="e">
        <f ca="1"/>
        <v>#N/A</v>
      </c>
      <c r="UAF538" s="22" t="e">
        <f ca="1"/>
        <v>#N/A</v>
      </c>
      <c r="UAG538" s="22" t="e">
        <f ca="1"/>
        <v>#N/A</v>
      </c>
      <c r="UAH538" s="22" t="e">
        <f ca="1"/>
        <v>#N/A</v>
      </c>
      <c r="UAI538" s="22" t="e">
        <f ca="1"/>
        <v>#N/A</v>
      </c>
      <c r="UAJ538" s="22" t="e">
        <f ca="1"/>
        <v>#N/A</v>
      </c>
      <c r="UAK538" s="22" t="e">
        <f ca="1"/>
        <v>#N/A</v>
      </c>
      <c r="UAL538" s="22" t="e">
        <f ca="1"/>
        <v>#N/A</v>
      </c>
      <c r="UAM538" s="22" t="e">
        <f ca="1"/>
        <v>#N/A</v>
      </c>
      <c r="UAN538" s="22" t="e">
        <f ca="1"/>
        <v>#N/A</v>
      </c>
      <c r="UAO538" s="22" t="e">
        <f ca="1"/>
        <v>#N/A</v>
      </c>
      <c r="UAP538" s="22" t="e">
        <f ca="1"/>
        <v>#N/A</v>
      </c>
      <c r="UAQ538" s="22" t="e">
        <f ca="1"/>
        <v>#N/A</v>
      </c>
      <c r="UAR538" s="22" t="e">
        <f ca="1"/>
        <v>#N/A</v>
      </c>
      <c r="UAS538" s="22" t="e">
        <f ca="1"/>
        <v>#N/A</v>
      </c>
      <c r="UAT538" s="22" t="e">
        <f ca="1"/>
        <v>#N/A</v>
      </c>
      <c r="UAU538" s="22" t="e">
        <f ca="1"/>
        <v>#N/A</v>
      </c>
      <c r="UAV538" s="22" t="e">
        <f ca="1"/>
        <v>#N/A</v>
      </c>
      <c r="UAW538" s="22" t="e">
        <f ca="1"/>
        <v>#N/A</v>
      </c>
      <c r="UAX538" s="22" t="e">
        <f ca="1"/>
        <v>#N/A</v>
      </c>
      <c r="UAY538" s="22" t="e">
        <f ca="1"/>
        <v>#N/A</v>
      </c>
      <c r="UAZ538" s="22" t="e">
        <f ca="1"/>
        <v>#N/A</v>
      </c>
      <c r="UBA538" s="22" t="e">
        <f ca="1"/>
        <v>#N/A</v>
      </c>
      <c r="UBB538" s="22" t="e">
        <f ca="1"/>
        <v>#N/A</v>
      </c>
      <c r="UBC538" s="22" t="e">
        <f ca="1"/>
        <v>#N/A</v>
      </c>
      <c r="UBD538" s="22" t="e">
        <f ca="1"/>
        <v>#N/A</v>
      </c>
      <c r="UBE538" s="22" t="e">
        <f ca="1"/>
        <v>#N/A</v>
      </c>
      <c r="UBF538" s="22" t="e">
        <f ca="1"/>
        <v>#N/A</v>
      </c>
      <c r="UBG538" s="22" t="e">
        <f ca="1"/>
        <v>#N/A</v>
      </c>
      <c r="UBH538" s="22" t="e">
        <f ca="1"/>
        <v>#N/A</v>
      </c>
      <c r="UBI538" s="22" t="e">
        <f ca="1"/>
        <v>#N/A</v>
      </c>
      <c r="UBJ538" s="22" t="e">
        <f ca="1"/>
        <v>#N/A</v>
      </c>
      <c r="UBK538" s="22" t="e">
        <f ca="1"/>
        <v>#N/A</v>
      </c>
      <c r="UBL538" s="22" t="e">
        <f ca="1"/>
        <v>#N/A</v>
      </c>
      <c r="UBM538" s="22" t="e">
        <f ca="1"/>
        <v>#N/A</v>
      </c>
      <c r="UBN538" s="22" t="e">
        <f ca="1"/>
        <v>#N/A</v>
      </c>
      <c r="UBO538" s="22" t="e">
        <f ca="1"/>
        <v>#N/A</v>
      </c>
      <c r="UBP538" s="22" t="e">
        <f ca="1"/>
        <v>#N/A</v>
      </c>
      <c r="UBQ538" s="22" t="e">
        <f ca="1"/>
        <v>#N/A</v>
      </c>
      <c r="UBR538" s="22" t="e">
        <f ca="1"/>
        <v>#N/A</v>
      </c>
      <c r="UBS538" s="22" t="e">
        <f ca="1"/>
        <v>#N/A</v>
      </c>
      <c r="UBT538" s="22" t="e">
        <f ca="1"/>
        <v>#N/A</v>
      </c>
      <c r="UBU538" s="22" t="e">
        <f ca="1"/>
        <v>#N/A</v>
      </c>
      <c r="UBV538" s="22" t="e">
        <f ca="1"/>
        <v>#N/A</v>
      </c>
      <c r="UBW538" s="22" t="e">
        <f ca="1"/>
        <v>#N/A</v>
      </c>
      <c r="UBX538" s="22" t="e">
        <f ca="1"/>
        <v>#N/A</v>
      </c>
      <c r="UBY538" s="22" t="e">
        <f ca="1"/>
        <v>#N/A</v>
      </c>
      <c r="UBZ538" s="22" t="e">
        <f ca="1"/>
        <v>#N/A</v>
      </c>
      <c r="UCA538" s="22" t="e">
        <f ca="1"/>
        <v>#N/A</v>
      </c>
      <c r="UCB538" s="22" t="e">
        <f ca="1"/>
        <v>#N/A</v>
      </c>
      <c r="UCC538" s="22" t="e">
        <f ca="1"/>
        <v>#N/A</v>
      </c>
      <c r="UCD538" s="22" t="e">
        <f ca="1"/>
        <v>#N/A</v>
      </c>
      <c r="UCE538" s="22" t="e">
        <f ca="1"/>
        <v>#N/A</v>
      </c>
      <c r="UCF538" s="22" t="e">
        <f ca="1"/>
        <v>#N/A</v>
      </c>
      <c r="UCG538" s="22" t="e">
        <f ca="1"/>
        <v>#N/A</v>
      </c>
      <c r="UCH538" s="22" t="e">
        <f ca="1"/>
        <v>#N/A</v>
      </c>
      <c r="UCI538" s="22" t="e">
        <f ca="1"/>
        <v>#N/A</v>
      </c>
      <c r="UCJ538" s="22" t="e">
        <f ca="1"/>
        <v>#N/A</v>
      </c>
      <c r="UCK538" s="22" t="e">
        <f ca="1"/>
        <v>#N/A</v>
      </c>
      <c r="UCL538" s="22" t="e">
        <f ca="1"/>
        <v>#N/A</v>
      </c>
      <c r="UCM538" s="22" t="e">
        <f ca="1"/>
        <v>#N/A</v>
      </c>
      <c r="UCN538" s="22" t="e">
        <f ca="1"/>
        <v>#N/A</v>
      </c>
      <c r="UCO538" s="22" t="e">
        <f ca="1"/>
        <v>#N/A</v>
      </c>
      <c r="UCP538" s="22" t="e">
        <f ca="1"/>
        <v>#N/A</v>
      </c>
      <c r="UCQ538" s="22" t="e">
        <f ca="1"/>
        <v>#N/A</v>
      </c>
      <c r="UCR538" s="22" t="e">
        <f ca="1"/>
        <v>#N/A</v>
      </c>
      <c r="UCS538" s="22" t="e">
        <f ca="1"/>
        <v>#N/A</v>
      </c>
      <c r="UCT538" s="22" t="e">
        <f ca="1"/>
        <v>#N/A</v>
      </c>
      <c r="UCU538" s="22" t="e">
        <f ca="1"/>
        <v>#N/A</v>
      </c>
      <c r="UCV538" s="22" t="e">
        <f ca="1"/>
        <v>#N/A</v>
      </c>
      <c r="UCW538" s="22" t="e">
        <f ca="1"/>
        <v>#N/A</v>
      </c>
      <c r="UCX538" s="22" t="e">
        <f ca="1"/>
        <v>#N/A</v>
      </c>
      <c r="UCY538" s="22" t="e">
        <f ca="1"/>
        <v>#N/A</v>
      </c>
      <c r="UCZ538" s="22" t="e">
        <f ca="1"/>
        <v>#N/A</v>
      </c>
      <c r="UDA538" s="22" t="e">
        <f ca="1"/>
        <v>#N/A</v>
      </c>
      <c r="UDB538" s="22" t="e">
        <f ca="1"/>
        <v>#N/A</v>
      </c>
      <c r="UDC538" s="22" t="e">
        <f ca="1"/>
        <v>#N/A</v>
      </c>
      <c r="UDD538" s="22" t="e">
        <f ca="1"/>
        <v>#N/A</v>
      </c>
      <c r="UDE538" s="22" t="e">
        <f ca="1"/>
        <v>#N/A</v>
      </c>
      <c r="UDF538" s="22" t="e">
        <f ca="1"/>
        <v>#N/A</v>
      </c>
      <c r="UDG538" s="22" t="e">
        <f ca="1"/>
        <v>#N/A</v>
      </c>
      <c r="UDH538" s="22" t="e">
        <f ca="1"/>
        <v>#N/A</v>
      </c>
      <c r="UDI538" s="22" t="e">
        <f ca="1"/>
        <v>#N/A</v>
      </c>
      <c r="UDJ538" s="22" t="e">
        <f ca="1"/>
        <v>#N/A</v>
      </c>
      <c r="UDK538" s="22" t="e">
        <f ca="1"/>
        <v>#N/A</v>
      </c>
      <c r="UDL538" s="22" t="e">
        <f ca="1"/>
        <v>#N/A</v>
      </c>
      <c r="UDM538" s="22" t="e">
        <f ca="1"/>
        <v>#N/A</v>
      </c>
      <c r="UDN538" s="22" t="e">
        <f ca="1"/>
        <v>#N/A</v>
      </c>
      <c r="UDO538" s="22" t="e">
        <f ca="1"/>
        <v>#N/A</v>
      </c>
      <c r="UDP538" s="22" t="e">
        <f ca="1"/>
        <v>#N/A</v>
      </c>
      <c r="UDQ538" s="22" t="e">
        <f ca="1"/>
        <v>#N/A</v>
      </c>
      <c r="UDR538" s="22" t="e">
        <f ca="1"/>
        <v>#N/A</v>
      </c>
      <c r="UDS538" s="22" t="e">
        <f ca="1"/>
        <v>#N/A</v>
      </c>
      <c r="UDT538" s="22" t="e">
        <f ca="1"/>
        <v>#N/A</v>
      </c>
      <c r="UDU538" s="22" t="e">
        <f ca="1"/>
        <v>#N/A</v>
      </c>
      <c r="UDV538" s="22" t="e">
        <f ca="1"/>
        <v>#N/A</v>
      </c>
      <c r="UDW538" s="22" t="e">
        <f ca="1"/>
        <v>#N/A</v>
      </c>
      <c r="UDX538" s="22" t="e">
        <f ca="1"/>
        <v>#N/A</v>
      </c>
      <c r="UDY538" s="22" t="e">
        <f ca="1"/>
        <v>#N/A</v>
      </c>
      <c r="UDZ538" s="22" t="e">
        <f ca="1"/>
        <v>#N/A</v>
      </c>
      <c r="UEA538" s="22" t="e">
        <f ca="1"/>
        <v>#N/A</v>
      </c>
      <c r="UEB538" s="22" t="e">
        <f ca="1"/>
        <v>#N/A</v>
      </c>
      <c r="UEC538" s="22" t="e">
        <f ca="1"/>
        <v>#N/A</v>
      </c>
      <c r="UED538" s="22" t="e">
        <f ca="1"/>
        <v>#N/A</v>
      </c>
      <c r="UEE538" s="22" t="e">
        <f ca="1"/>
        <v>#N/A</v>
      </c>
      <c r="UEF538" s="22" t="e">
        <f ca="1"/>
        <v>#N/A</v>
      </c>
      <c r="UEG538" s="22" t="e">
        <f ca="1"/>
        <v>#N/A</v>
      </c>
      <c r="UEH538" s="22" t="e">
        <f ca="1"/>
        <v>#N/A</v>
      </c>
      <c r="UEI538" s="22" t="e">
        <f ca="1"/>
        <v>#N/A</v>
      </c>
      <c r="UEJ538" s="22" t="e">
        <f ca="1"/>
        <v>#N/A</v>
      </c>
      <c r="UEK538" s="22" t="e">
        <f ca="1"/>
        <v>#N/A</v>
      </c>
      <c r="UEL538" s="22" t="e">
        <f ca="1"/>
        <v>#N/A</v>
      </c>
      <c r="UEM538" s="22" t="e">
        <f ca="1"/>
        <v>#N/A</v>
      </c>
      <c r="UEN538" s="22" t="e">
        <f ca="1"/>
        <v>#N/A</v>
      </c>
      <c r="UEO538" s="22" t="e">
        <f ca="1"/>
        <v>#N/A</v>
      </c>
      <c r="UEP538" s="22" t="e">
        <f ca="1"/>
        <v>#N/A</v>
      </c>
      <c r="UEQ538" s="22" t="e">
        <f ca="1"/>
        <v>#N/A</v>
      </c>
      <c r="UER538" s="22" t="e">
        <f ca="1"/>
        <v>#N/A</v>
      </c>
      <c r="UES538" s="22" t="e">
        <f ca="1"/>
        <v>#N/A</v>
      </c>
      <c r="UET538" s="22" t="e">
        <f ca="1"/>
        <v>#N/A</v>
      </c>
      <c r="UEU538" s="22" t="e">
        <f ca="1"/>
        <v>#N/A</v>
      </c>
      <c r="UEV538" s="22" t="e">
        <f ca="1"/>
        <v>#N/A</v>
      </c>
      <c r="UEW538" s="22" t="e">
        <f ca="1"/>
        <v>#N/A</v>
      </c>
      <c r="UEX538" s="22" t="e">
        <f ca="1"/>
        <v>#N/A</v>
      </c>
      <c r="UEY538" s="22" t="e">
        <f ca="1"/>
        <v>#N/A</v>
      </c>
      <c r="UEZ538" s="22" t="e">
        <f ca="1"/>
        <v>#N/A</v>
      </c>
      <c r="UFA538" s="22" t="e">
        <f ca="1"/>
        <v>#N/A</v>
      </c>
      <c r="UFB538" s="22" t="e">
        <f ca="1"/>
        <v>#N/A</v>
      </c>
      <c r="UFC538" s="22" t="e">
        <f ca="1"/>
        <v>#N/A</v>
      </c>
      <c r="UFD538" s="22" t="e">
        <f ca="1"/>
        <v>#N/A</v>
      </c>
      <c r="UFE538" s="22" t="e">
        <f ca="1"/>
        <v>#N/A</v>
      </c>
      <c r="UFF538" s="22" t="e">
        <f ca="1"/>
        <v>#N/A</v>
      </c>
      <c r="UFG538" s="22" t="e">
        <f ca="1"/>
        <v>#N/A</v>
      </c>
      <c r="UFH538" s="22" t="e">
        <f ca="1"/>
        <v>#N/A</v>
      </c>
      <c r="UFI538" s="22" t="e">
        <f ca="1"/>
        <v>#N/A</v>
      </c>
      <c r="UFJ538" s="22" t="e">
        <f ca="1"/>
        <v>#N/A</v>
      </c>
      <c r="UFK538" s="22" t="e">
        <f ca="1"/>
        <v>#N/A</v>
      </c>
      <c r="UFL538" s="22" t="e">
        <f ca="1"/>
        <v>#N/A</v>
      </c>
      <c r="UFM538" s="22" t="e">
        <f ca="1"/>
        <v>#N/A</v>
      </c>
      <c r="UFN538" s="22" t="e">
        <f ca="1"/>
        <v>#N/A</v>
      </c>
      <c r="UFO538" s="22" t="e">
        <f ca="1"/>
        <v>#N/A</v>
      </c>
      <c r="UFP538" s="22" t="e">
        <f ca="1"/>
        <v>#N/A</v>
      </c>
      <c r="UFQ538" s="22" t="e">
        <f ca="1"/>
        <v>#N/A</v>
      </c>
      <c r="UFR538" s="22" t="e">
        <f ca="1"/>
        <v>#N/A</v>
      </c>
      <c r="UFS538" s="22" t="e">
        <f ca="1"/>
        <v>#N/A</v>
      </c>
      <c r="UFT538" s="22" t="e">
        <f ca="1"/>
        <v>#N/A</v>
      </c>
      <c r="UFU538" s="22" t="e">
        <f ca="1"/>
        <v>#N/A</v>
      </c>
      <c r="UFV538" s="22" t="e">
        <f ca="1"/>
        <v>#N/A</v>
      </c>
      <c r="UFW538" s="22" t="e">
        <f ca="1"/>
        <v>#N/A</v>
      </c>
      <c r="UFX538" s="22" t="e">
        <f ca="1"/>
        <v>#N/A</v>
      </c>
      <c r="UFY538" s="22" t="e">
        <f ca="1"/>
        <v>#N/A</v>
      </c>
      <c r="UFZ538" s="22" t="e">
        <f ca="1"/>
        <v>#N/A</v>
      </c>
      <c r="UGA538" s="22" t="e">
        <f ca="1"/>
        <v>#N/A</v>
      </c>
      <c r="UGB538" s="22" t="e">
        <f ca="1"/>
        <v>#N/A</v>
      </c>
      <c r="UGC538" s="22" t="e">
        <f ca="1"/>
        <v>#N/A</v>
      </c>
      <c r="UGD538" s="22" t="e">
        <f ca="1"/>
        <v>#N/A</v>
      </c>
      <c r="UGE538" s="22" t="e">
        <f ca="1"/>
        <v>#N/A</v>
      </c>
      <c r="UGF538" s="22" t="e">
        <f ca="1"/>
        <v>#N/A</v>
      </c>
      <c r="UGG538" s="22" t="e">
        <f ca="1"/>
        <v>#N/A</v>
      </c>
      <c r="UGH538" s="22" t="e">
        <f ca="1"/>
        <v>#N/A</v>
      </c>
      <c r="UGI538" s="22" t="e">
        <f ca="1"/>
        <v>#N/A</v>
      </c>
      <c r="UGJ538" s="22" t="e">
        <f ca="1"/>
        <v>#N/A</v>
      </c>
      <c r="UGK538" s="22" t="e">
        <f ca="1"/>
        <v>#N/A</v>
      </c>
      <c r="UGL538" s="22" t="e">
        <f ca="1"/>
        <v>#N/A</v>
      </c>
      <c r="UGM538" s="22" t="e">
        <f ca="1"/>
        <v>#N/A</v>
      </c>
      <c r="UGN538" s="22" t="e">
        <f ca="1"/>
        <v>#N/A</v>
      </c>
      <c r="UGO538" s="22" t="e">
        <f ca="1"/>
        <v>#N/A</v>
      </c>
      <c r="UGP538" s="22" t="e">
        <f ca="1"/>
        <v>#N/A</v>
      </c>
      <c r="UGQ538" s="22" t="e">
        <f ca="1"/>
        <v>#N/A</v>
      </c>
      <c r="UGR538" s="22" t="e">
        <f ca="1"/>
        <v>#N/A</v>
      </c>
      <c r="UGS538" s="22" t="e">
        <f ca="1"/>
        <v>#N/A</v>
      </c>
      <c r="UGT538" s="22" t="e">
        <f ca="1"/>
        <v>#N/A</v>
      </c>
      <c r="UGU538" s="22" t="e">
        <f ca="1"/>
        <v>#N/A</v>
      </c>
      <c r="UGV538" s="22" t="e">
        <f ca="1"/>
        <v>#N/A</v>
      </c>
      <c r="UGW538" s="22" t="e">
        <f ca="1"/>
        <v>#N/A</v>
      </c>
      <c r="UGX538" s="22" t="e">
        <f ca="1"/>
        <v>#N/A</v>
      </c>
      <c r="UGY538" s="22" t="e">
        <f ca="1"/>
        <v>#N/A</v>
      </c>
      <c r="UGZ538" s="22" t="e">
        <f ca="1"/>
        <v>#N/A</v>
      </c>
      <c r="UHA538" s="22" t="e">
        <f ca="1"/>
        <v>#N/A</v>
      </c>
      <c r="UHB538" s="22" t="e">
        <f ca="1"/>
        <v>#N/A</v>
      </c>
      <c r="UHC538" s="22" t="e">
        <f ca="1"/>
        <v>#N/A</v>
      </c>
      <c r="UHD538" s="22" t="e">
        <f ca="1"/>
        <v>#N/A</v>
      </c>
      <c r="UHE538" s="22" t="e">
        <f ca="1"/>
        <v>#N/A</v>
      </c>
      <c r="UHF538" s="22" t="e">
        <f ca="1"/>
        <v>#N/A</v>
      </c>
      <c r="UHG538" s="22" t="e">
        <f ca="1"/>
        <v>#N/A</v>
      </c>
      <c r="UHH538" s="22" t="e">
        <f ca="1"/>
        <v>#N/A</v>
      </c>
      <c r="UHI538" s="22" t="e">
        <f ca="1"/>
        <v>#N/A</v>
      </c>
      <c r="UHJ538" s="22" t="e">
        <f ca="1"/>
        <v>#N/A</v>
      </c>
      <c r="UHK538" s="22" t="e">
        <f ca="1"/>
        <v>#N/A</v>
      </c>
      <c r="UHL538" s="22" t="e">
        <f ca="1"/>
        <v>#N/A</v>
      </c>
      <c r="UHM538" s="22" t="e">
        <f ca="1"/>
        <v>#N/A</v>
      </c>
      <c r="UHN538" s="22" t="e">
        <f ca="1"/>
        <v>#N/A</v>
      </c>
      <c r="UHO538" s="22" t="e">
        <f ca="1"/>
        <v>#N/A</v>
      </c>
      <c r="UHP538" s="22" t="e">
        <f ca="1"/>
        <v>#N/A</v>
      </c>
      <c r="UHQ538" s="22" t="e">
        <f ca="1"/>
        <v>#N/A</v>
      </c>
      <c r="UHR538" s="22" t="e">
        <f ca="1"/>
        <v>#N/A</v>
      </c>
      <c r="UHS538" s="22" t="e">
        <f ca="1"/>
        <v>#N/A</v>
      </c>
      <c r="UHT538" s="22" t="e">
        <f ca="1"/>
        <v>#N/A</v>
      </c>
      <c r="UHU538" s="22" t="e">
        <f ca="1"/>
        <v>#N/A</v>
      </c>
      <c r="UHV538" s="22" t="e">
        <f ca="1"/>
        <v>#N/A</v>
      </c>
      <c r="UHW538" s="22" t="e">
        <f ca="1"/>
        <v>#N/A</v>
      </c>
      <c r="UHX538" s="22" t="e">
        <f ca="1"/>
        <v>#N/A</v>
      </c>
      <c r="UHY538" s="22" t="e">
        <f ca="1"/>
        <v>#N/A</v>
      </c>
      <c r="UHZ538" s="22" t="e">
        <f ca="1"/>
        <v>#N/A</v>
      </c>
      <c r="UIA538" s="22" t="e">
        <f ca="1"/>
        <v>#N/A</v>
      </c>
      <c r="UIB538" s="22" t="e">
        <f ca="1"/>
        <v>#N/A</v>
      </c>
      <c r="UIC538" s="22" t="e">
        <f ca="1"/>
        <v>#N/A</v>
      </c>
      <c r="UID538" s="22" t="e">
        <f ca="1"/>
        <v>#N/A</v>
      </c>
      <c r="UIE538" s="22" t="e">
        <f ca="1"/>
        <v>#N/A</v>
      </c>
      <c r="UIF538" s="22" t="e">
        <f ca="1"/>
        <v>#N/A</v>
      </c>
      <c r="UIG538" s="22" t="e">
        <f ca="1"/>
        <v>#N/A</v>
      </c>
      <c r="UIH538" s="22" t="e">
        <f ca="1"/>
        <v>#N/A</v>
      </c>
      <c r="UII538" s="22" t="e">
        <f ca="1"/>
        <v>#N/A</v>
      </c>
      <c r="UIJ538" s="22" t="e">
        <f ca="1"/>
        <v>#N/A</v>
      </c>
      <c r="UIK538" s="22" t="e">
        <f ca="1"/>
        <v>#N/A</v>
      </c>
      <c r="UIL538" s="22" t="e">
        <f ca="1"/>
        <v>#N/A</v>
      </c>
      <c r="UIM538" s="22" t="e">
        <f ca="1"/>
        <v>#N/A</v>
      </c>
      <c r="UIN538" s="22" t="e">
        <f ca="1"/>
        <v>#N/A</v>
      </c>
      <c r="UIO538" s="22" t="e">
        <f ca="1"/>
        <v>#N/A</v>
      </c>
      <c r="UIP538" s="22" t="e">
        <f ca="1"/>
        <v>#N/A</v>
      </c>
      <c r="UIQ538" s="22" t="e">
        <f ca="1"/>
        <v>#N/A</v>
      </c>
      <c r="UIR538" s="22" t="e">
        <f ca="1"/>
        <v>#N/A</v>
      </c>
      <c r="UIS538" s="22" t="e">
        <f ca="1"/>
        <v>#N/A</v>
      </c>
      <c r="UIT538" s="22" t="e">
        <f ca="1"/>
        <v>#N/A</v>
      </c>
      <c r="UIU538" s="22" t="e">
        <f ca="1"/>
        <v>#N/A</v>
      </c>
      <c r="UIV538" s="22" t="e">
        <f ca="1"/>
        <v>#N/A</v>
      </c>
      <c r="UIW538" s="22" t="e">
        <f ca="1"/>
        <v>#N/A</v>
      </c>
      <c r="UIX538" s="22" t="e">
        <f ca="1"/>
        <v>#N/A</v>
      </c>
      <c r="UIY538" s="22" t="e">
        <f ca="1"/>
        <v>#N/A</v>
      </c>
      <c r="UIZ538" s="22" t="e">
        <f ca="1"/>
        <v>#N/A</v>
      </c>
      <c r="UJA538" s="22" t="e">
        <f ca="1"/>
        <v>#N/A</v>
      </c>
      <c r="UJB538" s="22" t="e">
        <f ca="1"/>
        <v>#N/A</v>
      </c>
      <c r="UJC538" s="22" t="e">
        <f ca="1"/>
        <v>#N/A</v>
      </c>
      <c r="UJD538" s="22" t="e">
        <f ca="1"/>
        <v>#N/A</v>
      </c>
      <c r="UJE538" s="22" t="e">
        <f ca="1"/>
        <v>#N/A</v>
      </c>
      <c r="UJF538" s="22" t="e">
        <f ca="1"/>
        <v>#N/A</v>
      </c>
      <c r="UJG538" s="22" t="e">
        <f ca="1"/>
        <v>#N/A</v>
      </c>
      <c r="UJH538" s="22" t="e">
        <f ca="1"/>
        <v>#N/A</v>
      </c>
      <c r="UJI538" s="22" t="e">
        <f ca="1"/>
        <v>#N/A</v>
      </c>
      <c r="UJJ538" s="22" t="e">
        <f ca="1"/>
        <v>#N/A</v>
      </c>
      <c r="UJK538" s="22" t="e">
        <f ca="1"/>
        <v>#N/A</v>
      </c>
      <c r="UJL538" s="22" t="e">
        <f ca="1"/>
        <v>#N/A</v>
      </c>
      <c r="UJM538" s="22" t="e">
        <f ca="1"/>
        <v>#N/A</v>
      </c>
      <c r="UJN538" s="22" t="e">
        <f ca="1"/>
        <v>#N/A</v>
      </c>
      <c r="UJO538" s="22" t="e">
        <f ca="1"/>
        <v>#N/A</v>
      </c>
      <c r="UJP538" s="22" t="e">
        <f ca="1"/>
        <v>#N/A</v>
      </c>
      <c r="UJQ538" s="22" t="e">
        <f ca="1"/>
        <v>#N/A</v>
      </c>
      <c r="UJR538" s="22" t="e">
        <f ca="1"/>
        <v>#N/A</v>
      </c>
      <c r="UJS538" s="22" t="e">
        <f ca="1"/>
        <v>#N/A</v>
      </c>
      <c r="UJT538" s="22" t="e">
        <f ca="1"/>
        <v>#N/A</v>
      </c>
      <c r="UJU538" s="22" t="e">
        <f ca="1"/>
        <v>#N/A</v>
      </c>
      <c r="UJV538" s="22" t="e">
        <f ca="1"/>
        <v>#N/A</v>
      </c>
      <c r="UJW538" s="22" t="e">
        <f ca="1"/>
        <v>#N/A</v>
      </c>
      <c r="UJX538" s="22" t="e">
        <f ca="1"/>
        <v>#N/A</v>
      </c>
      <c r="UJY538" s="22" t="e">
        <f ca="1"/>
        <v>#N/A</v>
      </c>
      <c r="UJZ538" s="22" t="e">
        <f ca="1"/>
        <v>#N/A</v>
      </c>
      <c r="UKA538" s="22" t="e">
        <f ca="1"/>
        <v>#N/A</v>
      </c>
      <c r="UKB538" s="22" t="e">
        <f ca="1"/>
        <v>#N/A</v>
      </c>
      <c r="UKC538" s="22" t="e">
        <f ca="1"/>
        <v>#N/A</v>
      </c>
      <c r="UKD538" s="22" t="e">
        <f ca="1"/>
        <v>#N/A</v>
      </c>
      <c r="UKE538" s="22" t="e">
        <f ca="1"/>
        <v>#N/A</v>
      </c>
      <c r="UKF538" s="22" t="e">
        <f ca="1"/>
        <v>#N/A</v>
      </c>
      <c r="UKG538" s="22" t="e">
        <f ca="1"/>
        <v>#N/A</v>
      </c>
      <c r="UKH538" s="22" t="e">
        <f ca="1"/>
        <v>#N/A</v>
      </c>
      <c r="UKI538" s="22" t="e">
        <f ca="1"/>
        <v>#N/A</v>
      </c>
      <c r="UKJ538" s="22" t="e">
        <f ca="1"/>
        <v>#N/A</v>
      </c>
      <c r="UKK538" s="22" t="e">
        <f ca="1"/>
        <v>#N/A</v>
      </c>
      <c r="UKL538" s="22" t="e">
        <f ca="1"/>
        <v>#N/A</v>
      </c>
      <c r="UKM538" s="22" t="e">
        <f ca="1"/>
        <v>#N/A</v>
      </c>
      <c r="UKN538" s="22" t="e">
        <f ca="1"/>
        <v>#N/A</v>
      </c>
      <c r="UKO538" s="22" t="e">
        <f ca="1"/>
        <v>#N/A</v>
      </c>
      <c r="UKP538" s="22" t="e">
        <f ca="1"/>
        <v>#N/A</v>
      </c>
      <c r="UKQ538" s="22" t="e">
        <f ca="1"/>
        <v>#N/A</v>
      </c>
      <c r="UKR538" s="22" t="e">
        <f ca="1"/>
        <v>#N/A</v>
      </c>
      <c r="UKS538" s="22" t="e">
        <f ca="1"/>
        <v>#N/A</v>
      </c>
      <c r="UKT538" s="22" t="e">
        <f ca="1"/>
        <v>#N/A</v>
      </c>
      <c r="UKU538" s="22" t="e">
        <f ca="1"/>
        <v>#N/A</v>
      </c>
      <c r="UKV538" s="22" t="e">
        <f ca="1"/>
        <v>#N/A</v>
      </c>
      <c r="UKW538" s="22" t="e">
        <f ca="1"/>
        <v>#N/A</v>
      </c>
      <c r="UKX538" s="22" t="e">
        <f ca="1"/>
        <v>#N/A</v>
      </c>
      <c r="UKY538" s="22" t="e">
        <f ca="1"/>
        <v>#N/A</v>
      </c>
      <c r="UKZ538" s="22" t="e">
        <f ca="1"/>
        <v>#N/A</v>
      </c>
      <c r="ULA538" s="22" t="e">
        <f ca="1"/>
        <v>#N/A</v>
      </c>
      <c r="ULB538" s="22" t="e">
        <f ca="1"/>
        <v>#N/A</v>
      </c>
      <c r="ULC538" s="22" t="e">
        <f ca="1"/>
        <v>#N/A</v>
      </c>
      <c r="ULD538" s="22" t="e">
        <f ca="1"/>
        <v>#N/A</v>
      </c>
      <c r="ULE538" s="22" t="e">
        <f ca="1"/>
        <v>#N/A</v>
      </c>
      <c r="ULF538" s="22" t="e">
        <f ca="1"/>
        <v>#N/A</v>
      </c>
      <c r="ULG538" s="22" t="e">
        <f ca="1"/>
        <v>#N/A</v>
      </c>
      <c r="ULH538" s="22" t="e">
        <f ca="1"/>
        <v>#N/A</v>
      </c>
      <c r="ULI538" s="22" t="e">
        <f ca="1"/>
        <v>#N/A</v>
      </c>
      <c r="ULJ538" s="22" t="e">
        <f ca="1"/>
        <v>#N/A</v>
      </c>
      <c r="ULK538" s="22" t="e">
        <f ca="1"/>
        <v>#N/A</v>
      </c>
      <c r="ULL538" s="22" t="e">
        <f ca="1"/>
        <v>#N/A</v>
      </c>
      <c r="ULM538" s="22" t="e">
        <f ca="1"/>
        <v>#N/A</v>
      </c>
      <c r="ULN538" s="22" t="e">
        <f ca="1"/>
        <v>#N/A</v>
      </c>
      <c r="ULO538" s="22" t="e">
        <f ca="1"/>
        <v>#N/A</v>
      </c>
      <c r="ULP538" s="22" t="e">
        <f ca="1"/>
        <v>#N/A</v>
      </c>
      <c r="ULQ538" s="22" t="e">
        <f ca="1"/>
        <v>#N/A</v>
      </c>
      <c r="ULR538" s="22" t="e">
        <f ca="1"/>
        <v>#N/A</v>
      </c>
      <c r="ULS538" s="22" t="e">
        <f ca="1"/>
        <v>#N/A</v>
      </c>
      <c r="ULT538" s="22" t="e">
        <f ca="1"/>
        <v>#N/A</v>
      </c>
      <c r="ULU538" s="22" t="e">
        <f ca="1"/>
        <v>#N/A</v>
      </c>
      <c r="ULV538" s="22" t="e">
        <f ca="1"/>
        <v>#N/A</v>
      </c>
      <c r="ULW538" s="22" t="e">
        <f ca="1"/>
        <v>#N/A</v>
      </c>
      <c r="ULX538" s="22" t="e">
        <f ca="1"/>
        <v>#N/A</v>
      </c>
      <c r="ULY538" s="22" t="e">
        <f ca="1"/>
        <v>#N/A</v>
      </c>
      <c r="ULZ538" s="22" t="e">
        <f ca="1"/>
        <v>#N/A</v>
      </c>
      <c r="UMA538" s="22" t="e">
        <f ca="1"/>
        <v>#N/A</v>
      </c>
      <c r="UMB538" s="22" t="e">
        <f ca="1"/>
        <v>#N/A</v>
      </c>
      <c r="UMC538" s="22" t="e">
        <f ca="1"/>
        <v>#N/A</v>
      </c>
      <c r="UMD538" s="22" t="e">
        <f ca="1"/>
        <v>#N/A</v>
      </c>
      <c r="UME538" s="22" t="e">
        <f ca="1"/>
        <v>#N/A</v>
      </c>
      <c r="UMF538" s="22" t="e">
        <f ca="1"/>
        <v>#N/A</v>
      </c>
      <c r="UMG538" s="22" t="e">
        <f ca="1"/>
        <v>#N/A</v>
      </c>
      <c r="UMH538" s="22" t="e">
        <f ca="1"/>
        <v>#N/A</v>
      </c>
      <c r="UMI538" s="22" t="e">
        <f ca="1"/>
        <v>#N/A</v>
      </c>
      <c r="UMJ538" s="22" t="e">
        <f ca="1"/>
        <v>#N/A</v>
      </c>
      <c r="UMK538" s="22" t="e">
        <f ca="1"/>
        <v>#N/A</v>
      </c>
      <c r="UML538" s="22" t="e">
        <f ca="1"/>
        <v>#N/A</v>
      </c>
      <c r="UMM538" s="22" t="e">
        <f ca="1"/>
        <v>#N/A</v>
      </c>
      <c r="UMN538" s="22" t="e">
        <f ca="1"/>
        <v>#N/A</v>
      </c>
      <c r="UMO538" s="22" t="e">
        <f ca="1"/>
        <v>#N/A</v>
      </c>
      <c r="UMP538" s="22" t="e">
        <f ca="1"/>
        <v>#N/A</v>
      </c>
      <c r="UMQ538" s="22" t="e">
        <f ca="1"/>
        <v>#N/A</v>
      </c>
      <c r="UMR538" s="22" t="e">
        <f ca="1"/>
        <v>#N/A</v>
      </c>
      <c r="UMS538" s="22" t="e">
        <f ca="1"/>
        <v>#N/A</v>
      </c>
      <c r="UMT538" s="22" t="e">
        <f ca="1"/>
        <v>#N/A</v>
      </c>
      <c r="UMU538" s="22" t="e">
        <f ca="1"/>
        <v>#N/A</v>
      </c>
      <c r="UMV538" s="22" t="e">
        <f ca="1"/>
        <v>#N/A</v>
      </c>
      <c r="UMW538" s="22" t="e">
        <f ca="1"/>
        <v>#N/A</v>
      </c>
      <c r="UMX538" s="22" t="e">
        <f ca="1"/>
        <v>#N/A</v>
      </c>
      <c r="UMY538" s="22" t="e">
        <f ca="1"/>
        <v>#N/A</v>
      </c>
      <c r="UMZ538" s="22" t="e">
        <f ca="1"/>
        <v>#N/A</v>
      </c>
      <c r="UNA538" s="22" t="e">
        <f ca="1"/>
        <v>#N/A</v>
      </c>
      <c r="UNB538" s="22" t="e">
        <f ca="1"/>
        <v>#N/A</v>
      </c>
      <c r="UNC538" s="22" t="e">
        <f ca="1"/>
        <v>#N/A</v>
      </c>
      <c r="UND538" s="22" t="e">
        <f ca="1"/>
        <v>#N/A</v>
      </c>
      <c r="UNE538" s="22" t="e">
        <f ca="1"/>
        <v>#N/A</v>
      </c>
      <c r="UNF538" s="22" t="e">
        <f ca="1"/>
        <v>#N/A</v>
      </c>
      <c r="UNG538" s="22" t="e">
        <f ca="1"/>
        <v>#N/A</v>
      </c>
      <c r="UNH538" s="22" t="e">
        <f ca="1"/>
        <v>#N/A</v>
      </c>
      <c r="UNI538" s="22" t="e">
        <f ca="1"/>
        <v>#N/A</v>
      </c>
      <c r="UNJ538" s="22" t="e">
        <f ca="1"/>
        <v>#N/A</v>
      </c>
      <c r="UNK538" s="22" t="e">
        <f ca="1"/>
        <v>#N/A</v>
      </c>
      <c r="UNL538" s="22" t="e">
        <f ca="1"/>
        <v>#N/A</v>
      </c>
      <c r="UNM538" s="22" t="e">
        <f ca="1"/>
        <v>#N/A</v>
      </c>
      <c r="UNN538" s="22" t="e">
        <f ca="1"/>
        <v>#N/A</v>
      </c>
      <c r="UNO538" s="22" t="e">
        <f ca="1"/>
        <v>#N/A</v>
      </c>
      <c r="UNP538" s="22" t="e">
        <f ca="1"/>
        <v>#N/A</v>
      </c>
      <c r="UNQ538" s="22" t="e">
        <f ca="1"/>
        <v>#N/A</v>
      </c>
      <c r="UNR538" s="22" t="e">
        <f ca="1"/>
        <v>#N/A</v>
      </c>
      <c r="UNS538" s="22" t="e">
        <f ca="1"/>
        <v>#N/A</v>
      </c>
      <c r="UNT538" s="22" t="e">
        <f ca="1"/>
        <v>#N/A</v>
      </c>
      <c r="UNU538" s="22" t="e">
        <f ca="1"/>
        <v>#N/A</v>
      </c>
      <c r="UNV538" s="22" t="e">
        <f ca="1"/>
        <v>#N/A</v>
      </c>
      <c r="UNW538" s="22" t="e">
        <f ca="1"/>
        <v>#N/A</v>
      </c>
      <c r="UNX538" s="22" t="e">
        <f ca="1"/>
        <v>#N/A</v>
      </c>
      <c r="UNY538" s="22" t="e">
        <f ca="1"/>
        <v>#N/A</v>
      </c>
      <c r="UNZ538" s="22" t="e">
        <f ca="1"/>
        <v>#N/A</v>
      </c>
      <c r="UOA538" s="22" t="e">
        <f ca="1"/>
        <v>#N/A</v>
      </c>
      <c r="UOB538" s="22" t="e">
        <f ca="1"/>
        <v>#N/A</v>
      </c>
      <c r="UOC538" s="22" t="e">
        <f ca="1"/>
        <v>#N/A</v>
      </c>
      <c r="UOD538" s="22" t="e">
        <f ca="1"/>
        <v>#N/A</v>
      </c>
      <c r="UOE538" s="22" t="e">
        <f ca="1"/>
        <v>#N/A</v>
      </c>
      <c r="UOF538" s="22" t="e">
        <f ca="1"/>
        <v>#N/A</v>
      </c>
      <c r="UOG538" s="22" t="e">
        <f ca="1"/>
        <v>#N/A</v>
      </c>
      <c r="UOH538" s="22" t="e">
        <f ca="1"/>
        <v>#N/A</v>
      </c>
      <c r="UOI538" s="22" t="e">
        <f ca="1"/>
        <v>#N/A</v>
      </c>
      <c r="UOJ538" s="22" t="e">
        <f ca="1"/>
        <v>#N/A</v>
      </c>
      <c r="UOK538" s="22" t="e">
        <f ca="1"/>
        <v>#N/A</v>
      </c>
      <c r="UOL538" s="22" t="e">
        <f ca="1"/>
        <v>#N/A</v>
      </c>
      <c r="UOM538" s="22" t="e">
        <f ca="1"/>
        <v>#N/A</v>
      </c>
      <c r="UON538" s="22" t="e">
        <f ca="1"/>
        <v>#N/A</v>
      </c>
      <c r="UOO538" s="22" t="e">
        <f ca="1"/>
        <v>#N/A</v>
      </c>
      <c r="UOP538" s="22" t="e">
        <f ca="1"/>
        <v>#N/A</v>
      </c>
      <c r="UOQ538" s="22" t="e">
        <f ca="1"/>
        <v>#N/A</v>
      </c>
      <c r="UOR538" s="22" t="e">
        <f ca="1"/>
        <v>#N/A</v>
      </c>
      <c r="UOS538" s="22" t="e">
        <f ca="1"/>
        <v>#N/A</v>
      </c>
      <c r="UOT538" s="22" t="e">
        <f ca="1"/>
        <v>#N/A</v>
      </c>
      <c r="UOU538" s="22" t="e">
        <f ca="1"/>
        <v>#N/A</v>
      </c>
      <c r="UOV538" s="22" t="e">
        <f ca="1"/>
        <v>#N/A</v>
      </c>
      <c r="UOW538" s="22" t="e">
        <f ca="1"/>
        <v>#N/A</v>
      </c>
      <c r="UOX538" s="22" t="e">
        <f ca="1"/>
        <v>#N/A</v>
      </c>
      <c r="UOY538" s="22" t="e">
        <f ca="1"/>
        <v>#N/A</v>
      </c>
      <c r="UOZ538" s="22" t="e">
        <f ca="1"/>
        <v>#N/A</v>
      </c>
      <c r="UPA538" s="22" t="e">
        <f ca="1"/>
        <v>#N/A</v>
      </c>
      <c r="UPB538" s="22" t="e">
        <f ca="1"/>
        <v>#N/A</v>
      </c>
      <c r="UPC538" s="22" t="e">
        <f ca="1"/>
        <v>#N/A</v>
      </c>
      <c r="UPD538" s="22" t="e">
        <f ca="1"/>
        <v>#N/A</v>
      </c>
      <c r="UPE538" s="22" t="e">
        <f ca="1"/>
        <v>#N/A</v>
      </c>
      <c r="UPF538" s="22" t="e">
        <f ca="1"/>
        <v>#N/A</v>
      </c>
      <c r="UPG538" s="22" t="e">
        <f ca="1"/>
        <v>#N/A</v>
      </c>
      <c r="UPH538" s="22" t="e">
        <f ca="1"/>
        <v>#N/A</v>
      </c>
      <c r="UPI538" s="22" t="e">
        <f ca="1"/>
        <v>#N/A</v>
      </c>
      <c r="UPJ538" s="22" t="e">
        <f ca="1"/>
        <v>#N/A</v>
      </c>
      <c r="UPK538" s="22" t="e">
        <f ca="1"/>
        <v>#N/A</v>
      </c>
      <c r="UPL538" s="22" t="e">
        <f ca="1"/>
        <v>#N/A</v>
      </c>
      <c r="UPM538" s="22" t="e">
        <f ca="1"/>
        <v>#N/A</v>
      </c>
      <c r="UPN538" s="22" t="e">
        <f ca="1"/>
        <v>#N/A</v>
      </c>
      <c r="UPO538" s="22" t="e">
        <f ca="1"/>
        <v>#N/A</v>
      </c>
      <c r="UPP538" s="22" t="e">
        <f ca="1"/>
        <v>#N/A</v>
      </c>
      <c r="UPQ538" s="22" t="e">
        <f ca="1"/>
        <v>#N/A</v>
      </c>
      <c r="UPR538" s="22" t="e">
        <f ca="1"/>
        <v>#N/A</v>
      </c>
      <c r="UPS538" s="22" t="e">
        <f ca="1"/>
        <v>#N/A</v>
      </c>
      <c r="UPT538" s="22" t="e">
        <f ca="1"/>
        <v>#N/A</v>
      </c>
      <c r="UPU538" s="22" t="e">
        <f ca="1"/>
        <v>#N/A</v>
      </c>
      <c r="UPV538" s="22" t="e">
        <f ca="1"/>
        <v>#N/A</v>
      </c>
      <c r="UPW538" s="22" t="e">
        <f ca="1"/>
        <v>#N/A</v>
      </c>
      <c r="UPX538" s="22" t="e">
        <f ca="1"/>
        <v>#N/A</v>
      </c>
      <c r="UPY538" s="22" t="e">
        <f ca="1"/>
        <v>#N/A</v>
      </c>
      <c r="UPZ538" s="22" t="e">
        <f ca="1"/>
        <v>#N/A</v>
      </c>
      <c r="UQA538" s="22" t="e">
        <f ca="1"/>
        <v>#N/A</v>
      </c>
      <c r="UQB538" s="22" t="e">
        <f ca="1"/>
        <v>#N/A</v>
      </c>
      <c r="UQC538" s="22" t="e">
        <f ca="1"/>
        <v>#N/A</v>
      </c>
      <c r="UQD538" s="22" t="e">
        <f ca="1"/>
        <v>#N/A</v>
      </c>
      <c r="UQE538" s="22" t="e">
        <f ca="1"/>
        <v>#N/A</v>
      </c>
      <c r="UQF538" s="22" t="e">
        <f ca="1"/>
        <v>#N/A</v>
      </c>
      <c r="UQG538" s="22" t="e">
        <f ca="1"/>
        <v>#N/A</v>
      </c>
      <c r="UQH538" s="22" t="e">
        <f ca="1"/>
        <v>#N/A</v>
      </c>
      <c r="UQI538" s="22" t="e">
        <f ca="1"/>
        <v>#N/A</v>
      </c>
      <c r="UQJ538" s="22" t="e">
        <f ca="1"/>
        <v>#N/A</v>
      </c>
      <c r="UQK538" s="22" t="e">
        <f ca="1"/>
        <v>#N/A</v>
      </c>
      <c r="UQL538" s="22" t="e">
        <f ca="1"/>
        <v>#N/A</v>
      </c>
      <c r="UQM538" s="22" t="e">
        <f ca="1"/>
        <v>#N/A</v>
      </c>
      <c r="UQN538" s="22" t="e">
        <f ca="1"/>
        <v>#N/A</v>
      </c>
      <c r="UQO538" s="22" t="e">
        <f ca="1"/>
        <v>#N/A</v>
      </c>
      <c r="UQP538" s="22" t="e">
        <f ca="1"/>
        <v>#N/A</v>
      </c>
      <c r="UQQ538" s="22" t="e">
        <f ca="1"/>
        <v>#N/A</v>
      </c>
      <c r="UQR538" s="22" t="e">
        <f ca="1"/>
        <v>#N/A</v>
      </c>
      <c r="UQS538" s="22" t="e">
        <f ca="1"/>
        <v>#N/A</v>
      </c>
      <c r="UQT538" s="22" t="e">
        <f ca="1"/>
        <v>#N/A</v>
      </c>
      <c r="UQU538" s="22" t="e">
        <f ca="1"/>
        <v>#N/A</v>
      </c>
      <c r="UQV538" s="22" t="e">
        <f ca="1"/>
        <v>#N/A</v>
      </c>
      <c r="UQW538" s="22" t="e">
        <f ca="1"/>
        <v>#N/A</v>
      </c>
      <c r="UQX538" s="22" t="e">
        <f ca="1"/>
        <v>#N/A</v>
      </c>
      <c r="UQY538" s="22" t="e">
        <f ca="1"/>
        <v>#N/A</v>
      </c>
      <c r="UQZ538" s="22" t="e">
        <f ca="1"/>
        <v>#N/A</v>
      </c>
      <c r="URA538" s="22" t="e">
        <f ca="1"/>
        <v>#N/A</v>
      </c>
      <c r="URB538" s="22" t="e">
        <f ca="1"/>
        <v>#N/A</v>
      </c>
      <c r="URC538" s="22" t="e">
        <f ca="1"/>
        <v>#N/A</v>
      </c>
      <c r="URD538" s="22" t="e">
        <f ca="1"/>
        <v>#N/A</v>
      </c>
      <c r="URE538" s="22" t="e">
        <f ca="1"/>
        <v>#N/A</v>
      </c>
      <c r="URF538" s="22" t="e">
        <f ca="1"/>
        <v>#N/A</v>
      </c>
      <c r="URG538" s="22" t="e">
        <f ca="1"/>
        <v>#N/A</v>
      </c>
      <c r="URH538" s="22" t="e">
        <f ca="1"/>
        <v>#N/A</v>
      </c>
      <c r="URI538" s="22" t="e">
        <f ca="1"/>
        <v>#N/A</v>
      </c>
      <c r="URJ538" s="22" t="e">
        <f ca="1"/>
        <v>#N/A</v>
      </c>
      <c r="URK538" s="22" t="e">
        <f ca="1"/>
        <v>#N/A</v>
      </c>
      <c r="URL538" s="22" t="e">
        <f ca="1"/>
        <v>#N/A</v>
      </c>
      <c r="URM538" s="22" t="e">
        <f ca="1"/>
        <v>#N/A</v>
      </c>
      <c r="URN538" s="22" t="e">
        <f ca="1"/>
        <v>#N/A</v>
      </c>
      <c r="URO538" s="22" t="e">
        <f ca="1"/>
        <v>#N/A</v>
      </c>
      <c r="URP538" s="22" t="e">
        <f ca="1"/>
        <v>#N/A</v>
      </c>
      <c r="URQ538" s="22" t="e">
        <f ca="1"/>
        <v>#N/A</v>
      </c>
      <c r="URR538" s="22" t="e">
        <f ca="1"/>
        <v>#N/A</v>
      </c>
      <c r="URS538" s="22" t="e">
        <f ca="1"/>
        <v>#N/A</v>
      </c>
      <c r="URT538" s="22" t="e">
        <f ca="1"/>
        <v>#N/A</v>
      </c>
      <c r="URU538" s="22" t="e">
        <f ca="1"/>
        <v>#N/A</v>
      </c>
      <c r="URV538" s="22" t="e">
        <f ca="1"/>
        <v>#N/A</v>
      </c>
      <c r="URW538" s="22" t="e">
        <f ca="1"/>
        <v>#N/A</v>
      </c>
      <c r="URX538" s="22" t="e">
        <f ca="1"/>
        <v>#N/A</v>
      </c>
      <c r="URY538" s="22" t="e">
        <f ca="1"/>
        <v>#N/A</v>
      </c>
      <c r="URZ538" s="22" t="e">
        <f ca="1"/>
        <v>#N/A</v>
      </c>
      <c r="USA538" s="22" t="e">
        <f ca="1"/>
        <v>#N/A</v>
      </c>
      <c r="USB538" s="22" t="e">
        <f ca="1"/>
        <v>#N/A</v>
      </c>
      <c r="USC538" s="22" t="e">
        <f ca="1"/>
        <v>#N/A</v>
      </c>
      <c r="USD538" s="22" t="e">
        <f ca="1"/>
        <v>#N/A</v>
      </c>
      <c r="USE538" s="22" t="e">
        <f ca="1"/>
        <v>#N/A</v>
      </c>
      <c r="USF538" s="22" t="e">
        <f ca="1"/>
        <v>#N/A</v>
      </c>
      <c r="USG538" s="22" t="e">
        <f ca="1"/>
        <v>#N/A</v>
      </c>
      <c r="USH538" s="22" t="e">
        <f ca="1"/>
        <v>#N/A</v>
      </c>
      <c r="USI538" s="22" t="e">
        <f ca="1"/>
        <v>#N/A</v>
      </c>
      <c r="USJ538" s="22" t="e">
        <f ca="1"/>
        <v>#N/A</v>
      </c>
      <c r="USK538" s="22" t="e">
        <f ca="1"/>
        <v>#N/A</v>
      </c>
      <c r="USL538" s="22" t="e">
        <f ca="1"/>
        <v>#N/A</v>
      </c>
      <c r="USM538" s="22" t="e">
        <f ca="1"/>
        <v>#N/A</v>
      </c>
      <c r="USN538" s="22" t="e">
        <f ca="1"/>
        <v>#N/A</v>
      </c>
      <c r="USO538" s="22" t="e">
        <f ca="1"/>
        <v>#N/A</v>
      </c>
      <c r="USP538" s="22" t="e">
        <f ca="1"/>
        <v>#N/A</v>
      </c>
      <c r="USQ538" s="22" t="e">
        <f ca="1"/>
        <v>#N/A</v>
      </c>
      <c r="USR538" s="22" t="e">
        <f ca="1"/>
        <v>#N/A</v>
      </c>
      <c r="USS538" s="22" t="e">
        <f ca="1"/>
        <v>#N/A</v>
      </c>
      <c r="UST538" s="22" t="e">
        <f ca="1"/>
        <v>#N/A</v>
      </c>
      <c r="USU538" s="22" t="e">
        <f ca="1"/>
        <v>#N/A</v>
      </c>
      <c r="USV538" s="22" t="e">
        <f ca="1"/>
        <v>#N/A</v>
      </c>
      <c r="USW538" s="22" t="e">
        <f ca="1"/>
        <v>#N/A</v>
      </c>
      <c r="USX538" s="22" t="e">
        <f ca="1"/>
        <v>#N/A</v>
      </c>
      <c r="USY538" s="22" t="e">
        <f ca="1"/>
        <v>#N/A</v>
      </c>
      <c r="USZ538" s="22" t="e">
        <f ca="1"/>
        <v>#N/A</v>
      </c>
      <c r="UTA538" s="22" t="e">
        <f ca="1"/>
        <v>#N/A</v>
      </c>
      <c r="UTB538" s="22" t="e">
        <f ca="1"/>
        <v>#N/A</v>
      </c>
      <c r="UTC538" s="22" t="e">
        <f ca="1"/>
        <v>#N/A</v>
      </c>
      <c r="UTD538" s="22" t="e">
        <f ca="1"/>
        <v>#N/A</v>
      </c>
      <c r="UTE538" s="22" t="e">
        <f ca="1"/>
        <v>#N/A</v>
      </c>
      <c r="UTF538" s="22" t="e">
        <f ca="1"/>
        <v>#N/A</v>
      </c>
      <c r="UTG538" s="22" t="e">
        <f ca="1"/>
        <v>#N/A</v>
      </c>
      <c r="UTH538" s="22" t="e">
        <f ca="1"/>
        <v>#N/A</v>
      </c>
      <c r="UTI538" s="22" t="e">
        <f ca="1"/>
        <v>#N/A</v>
      </c>
      <c r="UTJ538" s="22" t="e">
        <f ca="1"/>
        <v>#N/A</v>
      </c>
      <c r="UTK538" s="22" t="e">
        <f ca="1"/>
        <v>#N/A</v>
      </c>
      <c r="UTL538" s="22" t="e">
        <f ca="1"/>
        <v>#N/A</v>
      </c>
      <c r="UTM538" s="22" t="e">
        <f ca="1"/>
        <v>#N/A</v>
      </c>
      <c r="UTN538" s="22" t="e">
        <f ca="1"/>
        <v>#N/A</v>
      </c>
      <c r="UTO538" s="22" t="e">
        <f ca="1"/>
        <v>#N/A</v>
      </c>
      <c r="UTP538" s="22" t="e">
        <f ca="1"/>
        <v>#N/A</v>
      </c>
      <c r="UTQ538" s="22" t="e">
        <f ca="1"/>
        <v>#N/A</v>
      </c>
      <c r="UTR538" s="22" t="e">
        <f ca="1"/>
        <v>#N/A</v>
      </c>
      <c r="UTS538" s="22" t="e">
        <f ca="1"/>
        <v>#N/A</v>
      </c>
      <c r="UTT538" s="22" t="e">
        <f ca="1"/>
        <v>#N/A</v>
      </c>
      <c r="UTU538" s="22" t="e">
        <f ca="1"/>
        <v>#N/A</v>
      </c>
      <c r="UTV538" s="22" t="e">
        <f ca="1"/>
        <v>#N/A</v>
      </c>
      <c r="UTW538" s="22" t="e">
        <f ca="1"/>
        <v>#N/A</v>
      </c>
      <c r="UTX538" s="22" t="e">
        <f ca="1"/>
        <v>#N/A</v>
      </c>
      <c r="UTY538" s="22" t="e">
        <f ca="1"/>
        <v>#N/A</v>
      </c>
      <c r="UTZ538" s="22" t="e">
        <f ca="1"/>
        <v>#N/A</v>
      </c>
      <c r="UUA538" s="22" t="e">
        <f ca="1"/>
        <v>#N/A</v>
      </c>
      <c r="UUB538" s="22" t="e">
        <f ca="1"/>
        <v>#N/A</v>
      </c>
      <c r="UUC538" s="22" t="e">
        <f ca="1"/>
        <v>#N/A</v>
      </c>
      <c r="UUD538" s="22" t="e">
        <f ca="1"/>
        <v>#N/A</v>
      </c>
      <c r="UUE538" s="22" t="e">
        <f ca="1"/>
        <v>#N/A</v>
      </c>
      <c r="UUF538" s="22" t="e">
        <f ca="1"/>
        <v>#N/A</v>
      </c>
      <c r="UUG538" s="22" t="e">
        <f ca="1"/>
        <v>#N/A</v>
      </c>
      <c r="UUH538" s="22" t="e">
        <f ca="1"/>
        <v>#N/A</v>
      </c>
      <c r="UUI538" s="22" t="e">
        <f ca="1"/>
        <v>#N/A</v>
      </c>
      <c r="UUJ538" s="22" t="e">
        <f ca="1"/>
        <v>#N/A</v>
      </c>
      <c r="UUK538" s="22" t="e">
        <f ca="1"/>
        <v>#N/A</v>
      </c>
      <c r="UUL538" s="22" t="e">
        <f ca="1"/>
        <v>#N/A</v>
      </c>
      <c r="UUM538" s="22" t="e">
        <f ca="1"/>
        <v>#N/A</v>
      </c>
      <c r="UUN538" s="22" t="e">
        <f ca="1"/>
        <v>#N/A</v>
      </c>
      <c r="UUO538" s="22" t="e">
        <f ca="1"/>
        <v>#N/A</v>
      </c>
      <c r="UUP538" s="22" t="e">
        <f ca="1"/>
        <v>#N/A</v>
      </c>
      <c r="UUQ538" s="22" t="e">
        <f ca="1"/>
        <v>#N/A</v>
      </c>
      <c r="UUR538" s="22" t="e">
        <f ca="1"/>
        <v>#N/A</v>
      </c>
      <c r="UUS538" s="22" t="e">
        <f ca="1"/>
        <v>#N/A</v>
      </c>
      <c r="UUT538" s="22" t="e">
        <f ca="1"/>
        <v>#N/A</v>
      </c>
      <c r="UUU538" s="22" t="e">
        <f ca="1"/>
        <v>#N/A</v>
      </c>
      <c r="UUV538" s="22" t="e">
        <f ca="1"/>
        <v>#N/A</v>
      </c>
      <c r="UUW538" s="22" t="e">
        <f ca="1"/>
        <v>#N/A</v>
      </c>
      <c r="UUX538" s="22" t="e">
        <f ca="1"/>
        <v>#N/A</v>
      </c>
      <c r="UUY538" s="22" t="e">
        <f ca="1"/>
        <v>#N/A</v>
      </c>
      <c r="UUZ538" s="22" t="e">
        <f ca="1"/>
        <v>#N/A</v>
      </c>
      <c r="UVA538" s="22" t="e">
        <f ca="1"/>
        <v>#N/A</v>
      </c>
      <c r="UVB538" s="22" t="e">
        <f ca="1"/>
        <v>#N/A</v>
      </c>
      <c r="UVC538" s="22" t="e">
        <f ca="1"/>
        <v>#N/A</v>
      </c>
      <c r="UVD538" s="22" t="e">
        <f ca="1"/>
        <v>#N/A</v>
      </c>
      <c r="UVE538" s="22" t="e">
        <f ca="1"/>
        <v>#N/A</v>
      </c>
      <c r="UVF538" s="22" t="e">
        <f ca="1"/>
        <v>#N/A</v>
      </c>
      <c r="UVG538" s="22" t="e">
        <f ca="1"/>
        <v>#N/A</v>
      </c>
      <c r="UVH538" s="22" t="e">
        <f ca="1"/>
        <v>#N/A</v>
      </c>
      <c r="UVI538" s="22" t="e">
        <f ca="1"/>
        <v>#N/A</v>
      </c>
      <c r="UVJ538" s="22" t="e">
        <f ca="1"/>
        <v>#N/A</v>
      </c>
      <c r="UVK538" s="22" t="e">
        <f ca="1"/>
        <v>#N/A</v>
      </c>
      <c r="UVL538" s="22" t="e">
        <f ca="1"/>
        <v>#N/A</v>
      </c>
      <c r="UVM538" s="22" t="e">
        <f ca="1"/>
        <v>#N/A</v>
      </c>
      <c r="UVN538" s="22" t="e">
        <f ca="1"/>
        <v>#N/A</v>
      </c>
      <c r="UVO538" s="22" t="e">
        <f ca="1"/>
        <v>#N/A</v>
      </c>
      <c r="UVP538" s="22" t="e">
        <f ca="1"/>
        <v>#N/A</v>
      </c>
      <c r="UVQ538" s="22" t="e">
        <f ca="1"/>
        <v>#N/A</v>
      </c>
      <c r="UVR538" s="22" t="e">
        <f ca="1"/>
        <v>#N/A</v>
      </c>
      <c r="UVS538" s="22" t="e">
        <f ca="1"/>
        <v>#N/A</v>
      </c>
      <c r="UVT538" s="22" t="e">
        <f ca="1"/>
        <v>#N/A</v>
      </c>
      <c r="UVU538" s="22" t="e">
        <f ca="1"/>
        <v>#N/A</v>
      </c>
      <c r="UVV538" s="22" t="e">
        <f ca="1"/>
        <v>#N/A</v>
      </c>
      <c r="UVW538" s="22" t="e">
        <f ca="1"/>
        <v>#N/A</v>
      </c>
      <c r="UVX538" s="22" t="e">
        <f ca="1"/>
        <v>#N/A</v>
      </c>
      <c r="UVY538" s="22" t="e">
        <f ca="1"/>
        <v>#N/A</v>
      </c>
      <c r="UVZ538" s="22" t="e">
        <f ca="1"/>
        <v>#N/A</v>
      </c>
      <c r="UWA538" s="22" t="e">
        <f ca="1"/>
        <v>#N/A</v>
      </c>
      <c r="UWB538" s="22" t="e">
        <f ca="1"/>
        <v>#N/A</v>
      </c>
      <c r="UWC538" s="22" t="e">
        <f ca="1"/>
        <v>#N/A</v>
      </c>
      <c r="UWD538" s="22" t="e">
        <f ca="1"/>
        <v>#N/A</v>
      </c>
      <c r="UWE538" s="22" t="e">
        <f ca="1"/>
        <v>#N/A</v>
      </c>
      <c r="UWF538" s="22" t="e">
        <f ca="1"/>
        <v>#N/A</v>
      </c>
      <c r="UWG538" s="22" t="e">
        <f ca="1"/>
        <v>#N/A</v>
      </c>
      <c r="UWH538" s="22" t="e">
        <f ca="1"/>
        <v>#N/A</v>
      </c>
      <c r="UWI538" s="22" t="e">
        <f ca="1"/>
        <v>#N/A</v>
      </c>
      <c r="UWJ538" s="22" t="e">
        <f ca="1"/>
        <v>#N/A</v>
      </c>
      <c r="UWK538" s="22" t="e">
        <f ca="1"/>
        <v>#N/A</v>
      </c>
      <c r="UWL538" s="22" t="e">
        <f ca="1"/>
        <v>#N/A</v>
      </c>
      <c r="UWM538" s="22" t="e">
        <f ca="1"/>
        <v>#N/A</v>
      </c>
      <c r="UWN538" s="22" t="e">
        <f ca="1"/>
        <v>#N/A</v>
      </c>
      <c r="UWO538" s="22" t="e">
        <f ca="1"/>
        <v>#N/A</v>
      </c>
      <c r="UWP538" s="22" t="e">
        <f ca="1"/>
        <v>#N/A</v>
      </c>
      <c r="UWQ538" s="22" t="e">
        <f ca="1"/>
        <v>#N/A</v>
      </c>
      <c r="UWR538" s="22" t="e">
        <f ca="1"/>
        <v>#N/A</v>
      </c>
      <c r="UWS538" s="22" t="e">
        <f ca="1"/>
        <v>#N/A</v>
      </c>
      <c r="UWT538" s="22" t="e">
        <f ca="1"/>
        <v>#N/A</v>
      </c>
      <c r="UWU538" s="22" t="e">
        <f ca="1"/>
        <v>#N/A</v>
      </c>
      <c r="UWV538" s="22" t="e">
        <f ca="1"/>
        <v>#N/A</v>
      </c>
      <c r="UWW538" s="22" t="e">
        <f ca="1"/>
        <v>#N/A</v>
      </c>
      <c r="UWX538" s="22" t="e">
        <f ca="1"/>
        <v>#N/A</v>
      </c>
      <c r="UWY538" s="22" t="e">
        <f ca="1"/>
        <v>#N/A</v>
      </c>
      <c r="UWZ538" s="22" t="e">
        <f ca="1"/>
        <v>#N/A</v>
      </c>
      <c r="UXA538" s="22" t="e">
        <f ca="1"/>
        <v>#N/A</v>
      </c>
      <c r="UXB538" s="22" t="e">
        <f ca="1"/>
        <v>#N/A</v>
      </c>
      <c r="UXC538" s="22" t="e">
        <f ca="1"/>
        <v>#N/A</v>
      </c>
      <c r="UXD538" s="22" t="e">
        <f ca="1"/>
        <v>#N/A</v>
      </c>
      <c r="UXE538" s="22" t="e">
        <f ca="1"/>
        <v>#N/A</v>
      </c>
      <c r="UXF538" s="22" t="e">
        <f ca="1"/>
        <v>#N/A</v>
      </c>
      <c r="UXG538" s="22" t="e">
        <f ca="1"/>
        <v>#N/A</v>
      </c>
      <c r="UXH538" s="22" t="e">
        <f ca="1"/>
        <v>#N/A</v>
      </c>
      <c r="UXI538" s="22" t="e">
        <f ca="1"/>
        <v>#N/A</v>
      </c>
      <c r="UXJ538" s="22" t="e">
        <f ca="1"/>
        <v>#N/A</v>
      </c>
      <c r="UXK538" s="22" t="e">
        <f ca="1"/>
        <v>#N/A</v>
      </c>
      <c r="UXL538" s="22" t="e">
        <f ca="1"/>
        <v>#N/A</v>
      </c>
      <c r="UXM538" s="22" t="e">
        <f ca="1"/>
        <v>#N/A</v>
      </c>
      <c r="UXN538" s="22" t="e">
        <f ca="1"/>
        <v>#N/A</v>
      </c>
      <c r="UXO538" s="22" t="e">
        <f ca="1"/>
        <v>#N/A</v>
      </c>
      <c r="UXP538" s="22" t="e">
        <f ca="1"/>
        <v>#N/A</v>
      </c>
      <c r="UXQ538" s="22" t="e">
        <f ca="1"/>
        <v>#N/A</v>
      </c>
      <c r="UXR538" s="22" t="e">
        <f ca="1"/>
        <v>#N/A</v>
      </c>
      <c r="UXS538" s="22" t="e">
        <f ca="1"/>
        <v>#N/A</v>
      </c>
      <c r="UXT538" s="22" t="e">
        <f ca="1"/>
        <v>#N/A</v>
      </c>
      <c r="UXU538" s="22" t="e">
        <f ca="1"/>
        <v>#N/A</v>
      </c>
      <c r="UXV538" s="22" t="e">
        <f ca="1"/>
        <v>#N/A</v>
      </c>
      <c r="UXW538" s="22" t="e">
        <f ca="1"/>
        <v>#N/A</v>
      </c>
      <c r="UXX538" s="22" t="e">
        <f ca="1"/>
        <v>#N/A</v>
      </c>
      <c r="UXY538" s="22" t="e">
        <f ca="1"/>
        <v>#N/A</v>
      </c>
      <c r="UXZ538" s="22" t="e">
        <f ca="1"/>
        <v>#N/A</v>
      </c>
      <c r="UYA538" s="22" t="e">
        <f ca="1"/>
        <v>#N/A</v>
      </c>
      <c r="UYB538" s="22" t="e">
        <f ca="1"/>
        <v>#N/A</v>
      </c>
      <c r="UYC538" s="22" t="e">
        <f ca="1"/>
        <v>#N/A</v>
      </c>
      <c r="UYD538" s="22" t="e">
        <f ca="1"/>
        <v>#N/A</v>
      </c>
      <c r="UYE538" s="22" t="e">
        <f ca="1"/>
        <v>#N/A</v>
      </c>
      <c r="UYF538" s="22" t="e">
        <f ca="1"/>
        <v>#N/A</v>
      </c>
      <c r="UYG538" s="22" t="e">
        <f ca="1"/>
        <v>#N/A</v>
      </c>
      <c r="UYH538" s="22" t="e">
        <f ca="1"/>
        <v>#N/A</v>
      </c>
      <c r="UYI538" s="22" t="e">
        <f ca="1"/>
        <v>#N/A</v>
      </c>
      <c r="UYJ538" s="22" t="e">
        <f ca="1"/>
        <v>#N/A</v>
      </c>
      <c r="UYK538" s="22" t="e">
        <f ca="1"/>
        <v>#N/A</v>
      </c>
      <c r="UYL538" s="22" t="e">
        <f ca="1"/>
        <v>#N/A</v>
      </c>
      <c r="UYM538" s="22" t="e">
        <f ca="1"/>
        <v>#N/A</v>
      </c>
      <c r="UYN538" s="22" t="e">
        <f ca="1"/>
        <v>#N/A</v>
      </c>
      <c r="UYO538" s="22" t="e">
        <f ca="1"/>
        <v>#N/A</v>
      </c>
      <c r="UYP538" s="22" t="e">
        <f ca="1"/>
        <v>#N/A</v>
      </c>
      <c r="UYQ538" s="22" t="e">
        <f ca="1"/>
        <v>#N/A</v>
      </c>
      <c r="UYR538" s="22" t="e">
        <f ca="1"/>
        <v>#N/A</v>
      </c>
      <c r="UYS538" s="22" t="e">
        <f ca="1"/>
        <v>#N/A</v>
      </c>
      <c r="UYT538" s="22" t="e">
        <f ca="1"/>
        <v>#N/A</v>
      </c>
      <c r="UYU538" s="22" t="e">
        <f ca="1"/>
        <v>#N/A</v>
      </c>
      <c r="UYV538" s="22" t="e">
        <f ca="1"/>
        <v>#N/A</v>
      </c>
      <c r="UYW538" s="22" t="e">
        <f ca="1"/>
        <v>#N/A</v>
      </c>
      <c r="UYX538" s="22" t="e">
        <f ca="1"/>
        <v>#N/A</v>
      </c>
      <c r="UYY538" s="22" t="e">
        <f ca="1"/>
        <v>#N/A</v>
      </c>
      <c r="UYZ538" s="22" t="e">
        <f ca="1"/>
        <v>#N/A</v>
      </c>
      <c r="UZA538" s="22" t="e">
        <f ca="1"/>
        <v>#N/A</v>
      </c>
      <c r="UZB538" s="22" t="e">
        <f ca="1"/>
        <v>#N/A</v>
      </c>
      <c r="UZC538" s="22" t="e">
        <f ca="1"/>
        <v>#N/A</v>
      </c>
      <c r="UZD538" s="22" t="e">
        <f ca="1"/>
        <v>#N/A</v>
      </c>
      <c r="UZE538" s="22" t="e">
        <f ca="1"/>
        <v>#N/A</v>
      </c>
      <c r="UZF538" s="22" t="e">
        <f ca="1"/>
        <v>#N/A</v>
      </c>
      <c r="UZG538" s="22" t="e">
        <f ca="1"/>
        <v>#N/A</v>
      </c>
      <c r="UZH538" s="22" t="e">
        <f ca="1"/>
        <v>#N/A</v>
      </c>
      <c r="UZI538" s="22" t="e">
        <f ca="1"/>
        <v>#N/A</v>
      </c>
      <c r="UZJ538" s="22" t="e">
        <f ca="1"/>
        <v>#N/A</v>
      </c>
      <c r="UZK538" s="22" t="e">
        <f ca="1"/>
        <v>#N/A</v>
      </c>
      <c r="UZL538" s="22" t="e">
        <f ca="1"/>
        <v>#N/A</v>
      </c>
      <c r="UZM538" s="22" t="e">
        <f ca="1"/>
        <v>#N/A</v>
      </c>
      <c r="UZN538" s="22" t="e">
        <f ca="1"/>
        <v>#N/A</v>
      </c>
      <c r="UZO538" s="22" t="e">
        <f ca="1"/>
        <v>#N/A</v>
      </c>
      <c r="UZP538" s="22" t="e">
        <f ca="1"/>
        <v>#N/A</v>
      </c>
      <c r="UZQ538" s="22" t="e">
        <f ca="1"/>
        <v>#N/A</v>
      </c>
      <c r="UZR538" s="22" t="e">
        <f ca="1"/>
        <v>#N/A</v>
      </c>
      <c r="UZS538" s="22" t="e">
        <f ca="1"/>
        <v>#N/A</v>
      </c>
      <c r="UZT538" s="22" t="e">
        <f ca="1"/>
        <v>#N/A</v>
      </c>
      <c r="UZU538" s="22" t="e">
        <f ca="1"/>
        <v>#N/A</v>
      </c>
      <c r="UZV538" s="22" t="e">
        <f ca="1"/>
        <v>#N/A</v>
      </c>
      <c r="UZW538" s="22" t="e">
        <f ca="1"/>
        <v>#N/A</v>
      </c>
      <c r="UZX538" s="22" t="e">
        <f ca="1"/>
        <v>#N/A</v>
      </c>
      <c r="UZY538" s="22" t="e">
        <f ca="1"/>
        <v>#N/A</v>
      </c>
      <c r="UZZ538" s="22" t="e">
        <f ca="1"/>
        <v>#N/A</v>
      </c>
      <c r="VAA538" s="22" t="e">
        <f ca="1"/>
        <v>#N/A</v>
      </c>
      <c r="VAB538" s="22" t="e">
        <f ca="1"/>
        <v>#N/A</v>
      </c>
      <c r="VAC538" s="22" t="e">
        <f ca="1"/>
        <v>#N/A</v>
      </c>
      <c r="VAD538" s="22" t="e">
        <f ca="1"/>
        <v>#N/A</v>
      </c>
      <c r="VAE538" s="22" t="e">
        <f ca="1"/>
        <v>#N/A</v>
      </c>
      <c r="VAF538" s="22" t="e">
        <f ca="1"/>
        <v>#N/A</v>
      </c>
      <c r="VAG538" s="22" t="e">
        <f ca="1"/>
        <v>#N/A</v>
      </c>
      <c r="VAH538" s="22" t="e">
        <f ca="1"/>
        <v>#N/A</v>
      </c>
      <c r="VAI538" s="22" t="e">
        <f ca="1"/>
        <v>#N/A</v>
      </c>
      <c r="VAJ538" s="22" t="e">
        <f ca="1"/>
        <v>#N/A</v>
      </c>
      <c r="VAK538" s="22" t="e">
        <f ca="1"/>
        <v>#N/A</v>
      </c>
      <c r="VAL538" s="22" t="e">
        <f ca="1"/>
        <v>#N/A</v>
      </c>
      <c r="VAM538" s="22" t="e">
        <f ca="1"/>
        <v>#N/A</v>
      </c>
      <c r="VAN538" s="22" t="e">
        <f ca="1"/>
        <v>#N/A</v>
      </c>
      <c r="VAO538" s="22" t="e">
        <f ca="1"/>
        <v>#N/A</v>
      </c>
      <c r="VAP538" s="22" t="e">
        <f ca="1"/>
        <v>#N/A</v>
      </c>
      <c r="VAQ538" s="22" t="e">
        <f ca="1"/>
        <v>#N/A</v>
      </c>
      <c r="VAR538" s="22" t="e">
        <f ca="1"/>
        <v>#N/A</v>
      </c>
      <c r="VAS538" s="22" t="e">
        <f ca="1"/>
        <v>#N/A</v>
      </c>
      <c r="VAT538" s="22" t="e">
        <f ca="1"/>
        <v>#N/A</v>
      </c>
      <c r="VAU538" s="22" t="e">
        <f ca="1"/>
        <v>#N/A</v>
      </c>
      <c r="VAV538" s="22" t="e">
        <f ca="1"/>
        <v>#N/A</v>
      </c>
      <c r="VAW538" s="22" t="e">
        <f ca="1"/>
        <v>#N/A</v>
      </c>
      <c r="VAX538" s="22" t="e">
        <f ca="1"/>
        <v>#N/A</v>
      </c>
      <c r="VAY538" s="22" t="e">
        <f ca="1"/>
        <v>#N/A</v>
      </c>
      <c r="VAZ538" s="22" t="e">
        <f ca="1"/>
        <v>#N/A</v>
      </c>
      <c r="VBA538" s="22" t="e">
        <f ca="1"/>
        <v>#N/A</v>
      </c>
      <c r="VBB538" s="22" t="e">
        <f ca="1"/>
        <v>#N/A</v>
      </c>
      <c r="VBC538" s="22" t="e">
        <f ca="1"/>
        <v>#N/A</v>
      </c>
      <c r="VBD538" s="22" t="e">
        <f ca="1"/>
        <v>#N/A</v>
      </c>
      <c r="VBE538" s="22" t="e">
        <f ca="1"/>
        <v>#N/A</v>
      </c>
      <c r="VBF538" s="22" t="e">
        <f ca="1"/>
        <v>#N/A</v>
      </c>
      <c r="VBG538" s="22" t="e">
        <f ca="1"/>
        <v>#N/A</v>
      </c>
      <c r="VBH538" s="22" t="e">
        <f ca="1"/>
        <v>#N/A</v>
      </c>
      <c r="VBI538" s="22" t="e">
        <f ca="1"/>
        <v>#N/A</v>
      </c>
      <c r="VBJ538" s="22" t="e">
        <f ca="1"/>
        <v>#N/A</v>
      </c>
      <c r="VBK538" s="22" t="e">
        <f ca="1"/>
        <v>#N/A</v>
      </c>
      <c r="VBL538" s="22" t="e">
        <f ca="1"/>
        <v>#N/A</v>
      </c>
      <c r="VBM538" s="22" t="e">
        <f ca="1"/>
        <v>#N/A</v>
      </c>
      <c r="VBN538" s="22" t="e">
        <f ca="1"/>
        <v>#N/A</v>
      </c>
      <c r="VBO538" s="22" t="e">
        <f ca="1"/>
        <v>#N/A</v>
      </c>
      <c r="VBP538" s="22" t="e">
        <f ca="1"/>
        <v>#N/A</v>
      </c>
      <c r="VBQ538" s="22" t="e">
        <f ca="1"/>
        <v>#N/A</v>
      </c>
      <c r="VBR538" s="22" t="e">
        <f ca="1"/>
        <v>#N/A</v>
      </c>
      <c r="VBS538" s="22" t="e">
        <f ca="1"/>
        <v>#N/A</v>
      </c>
      <c r="VBT538" s="22" t="e">
        <f ca="1"/>
        <v>#N/A</v>
      </c>
      <c r="VBU538" s="22" t="e">
        <f ca="1"/>
        <v>#N/A</v>
      </c>
      <c r="VBV538" s="22" t="e">
        <f ca="1"/>
        <v>#N/A</v>
      </c>
      <c r="VBW538" s="22" t="e">
        <f ca="1"/>
        <v>#N/A</v>
      </c>
      <c r="VBX538" s="22" t="e">
        <f ca="1"/>
        <v>#N/A</v>
      </c>
      <c r="VBY538" s="22" t="e">
        <f ca="1"/>
        <v>#N/A</v>
      </c>
      <c r="VBZ538" s="22" t="e">
        <f ca="1"/>
        <v>#N/A</v>
      </c>
      <c r="VCA538" s="22" t="e">
        <f ca="1"/>
        <v>#N/A</v>
      </c>
      <c r="VCB538" s="22" t="e">
        <f ca="1"/>
        <v>#N/A</v>
      </c>
      <c r="VCC538" s="22" t="e">
        <f ca="1"/>
        <v>#N/A</v>
      </c>
      <c r="VCD538" s="22" t="e">
        <f ca="1"/>
        <v>#N/A</v>
      </c>
      <c r="VCE538" s="22" t="e">
        <f ca="1"/>
        <v>#N/A</v>
      </c>
      <c r="VCF538" s="22" t="e">
        <f ca="1"/>
        <v>#N/A</v>
      </c>
      <c r="VCG538" s="22" t="e">
        <f ca="1"/>
        <v>#N/A</v>
      </c>
      <c r="VCH538" s="22" t="e">
        <f ca="1"/>
        <v>#N/A</v>
      </c>
      <c r="VCI538" s="22" t="e">
        <f ca="1"/>
        <v>#N/A</v>
      </c>
      <c r="VCJ538" s="22" t="e">
        <f ca="1"/>
        <v>#N/A</v>
      </c>
      <c r="VCK538" s="22" t="e">
        <f ca="1"/>
        <v>#N/A</v>
      </c>
      <c r="VCL538" s="22" t="e">
        <f ca="1"/>
        <v>#N/A</v>
      </c>
      <c r="VCM538" s="22" t="e">
        <f ca="1"/>
        <v>#N/A</v>
      </c>
      <c r="VCN538" s="22" t="e">
        <f ca="1"/>
        <v>#N/A</v>
      </c>
      <c r="VCO538" s="22" t="e">
        <f ca="1"/>
        <v>#N/A</v>
      </c>
      <c r="VCP538" s="22" t="e">
        <f ca="1"/>
        <v>#N/A</v>
      </c>
      <c r="VCQ538" s="22" t="e">
        <f ca="1"/>
        <v>#N/A</v>
      </c>
      <c r="VCR538" s="22" t="e">
        <f ca="1"/>
        <v>#N/A</v>
      </c>
      <c r="VCS538" s="22" t="e">
        <f ca="1"/>
        <v>#N/A</v>
      </c>
      <c r="VCT538" s="22" t="e">
        <f ca="1"/>
        <v>#N/A</v>
      </c>
      <c r="VCU538" s="22" t="e">
        <f ca="1"/>
        <v>#N/A</v>
      </c>
      <c r="VCV538" s="22" t="e">
        <f ca="1"/>
        <v>#N/A</v>
      </c>
      <c r="VCW538" s="22" t="e">
        <f ca="1"/>
        <v>#N/A</v>
      </c>
      <c r="VCX538" s="22" t="e">
        <f ca="1"/>
        <v>#N/A</v>
      </c>
      <c r="VCY538" s="22" t="e">
        <f ca="1"/>
        <v>#N/A</v>
      </c>
      <c r="VCZ538" s="22" t="e">
        <f ca="1"/>
        <v>#N/A</v>
      </c>
      <c r="VDA538" s="22" t="e">
        <f ca="1"/>
        <v>#N/A</v>
      </c>
      <c r="VDB538" s="22" t="e">
        <f ca="1"/>
        <v>#N/A</v>
      </c>
      <c r="VDC538" s="22" t="e">
        <f ca="1"/>
        <v>#N/A</v>
      </c>
      <c r="VDD538" s="22" t="e">
        <f ca="1"/>
        <v>#N/A</v>
      </c>
      <c r="VDE538" s="22" t="e">
        <f ca="1"/>
        <v>#N/A</v>
      </c>
      <c r="VDF538" s="22" t="e">
        <f ca="1"/>
        <v>#N/A</v>
      </c>
      <c r="VDG538" s="22" t="e">
        <f ca="1"/>
        <v>#N/A</v>
      </c>
      <c r="VDH538" s="22" t="e">
        <f ca="1"/>
        <v>#N/A</v>
      </c>
      <c r="VDI538" s="22" t="e">
        <f ca="1"/>
        <v>#N/A</v>
      </c>
      <c r="VDJ538" s="22" t="e">
        <f ca="1"/>
        <v>#N/A</v>
      </c>
      <c r="VDK538" s="22" t="e">
        <f ca="1"/>
        <v>#N/A</v>
      </c>
      <c r="VDL538" s="22" t="e">
        <f ca="1"/>
        <v>#N/A</v>
      </c>
      <c r="VDM538" s="22" t="e">
        <f ca="1"/>
        <v>#N/A</v>
      </c>
      <c r="VDN538" s="22" t="e">
        <f ca="1"/>
        <v>#N/A</v>
      </c>
      <c r="VDO538" s="22" t="e">
        <f ca="1"/>
        <v>#N/A</v>
      </c>
      <c r="VDP538" s="22" t="e">
        <f ca="1"/>
        <v>#N/A</v>
      </c>
      <c r="VDQ538" s="22" t="e">
        <f ca="1"/>
        <v>#N/A</v>
      </c>
      <c r="VDR538" s="22" t="e">
        <f ca="1"/>
        <v>#N/A</v>
      </c>
      <c r="VDS538" s="22" t="e">
        <f ca="1"/>
        <v>#N/A</v>
      </c>
      <c r="VDT538" s="22" t="e">
        <f ca="1"/>
        <v>#N/A</v>
      </c>
      <c r="VDU538" s="22" t="e">
        <f ca="1"/>
        <v>#N/A</v>
      </c>
      <c r="VDV538" s="22" t="e">
        <f ca="1"/>
        <v>#N/A</v>
      </c>
      <c r="VDW538" s="22" t="e">
        <f ca="1"/>
        <v>#N/A</v>
      </c>
      <c r="VDX538" s="22" t="e">
        <f ca="1"/>
        <v>#N/A</v>
      </c>
      <c r="VDY538" s="22" t="e">
        <f ca="1"/>
        <v>#N/A</v>
      </c>
      <c r="VDZ538" s="22" t="e">
        <f ca="1"/>
        <v>#N/A</v>
      </c>
      <c r="VEA538" s="22" t="e">
        <f ca="1"/>
        <v>#N/A</v>
      </c>
      <c r="VEB538" s="22" t="e">
        <f ca="1"/>
        <v>#N/A</v>
      </c>
      <c r="VEC538" s="22" t="e">
        <f ca="1"/>
        <v>#N/A</v>
      </c>
      <c r="VED538" s="22" t="e">
        <f ca="1"/>
        <v>#N/A</v>
      </c>
      <c r="VEE538" s="22" t="e">
        <f ca="1"/>
        <v>#N/A</v>
      </c>
      <c r="VEF538" s="22" t="e">
        <f ca="1"/>
        <v>#N/A</v>
      </c>
      <c r="VEG538" s="22" t="e">
        <f ca="1"/>
        <v>#N/A</v>
      </c>
      <c r="VEH538" s="22" t="e">
        <f ca="1"/>
        <v>#N/A</v>
      </c>
      <c r="VEI538" s="22" t="e">
        <f ca="1"/>
        <v>#N/A</v>
      </c>
      <c r="VEJ538" s="22" t="e">
        <f ca="1"/>
        <v>#N/A</v>
      </c>
      <c r="VEK538" s="22" t="e">
        <f ca="1"/>
        <v>#N/A</v>
      </c>
      <c r="VEL538" s="22" t="e">
        <f ca="1"/>
        <v>#N/A</v>
      </c>
      <c r="VEM538" s="22" t="e">
        <f ca="1"/>
        <v>#N/A</v>
      </c>
      <c r="VEN538" s="22" t="e">
        <f ca="1"/>
        <v>#N/A</v>
      </c>
      <c r="VEO538" s="22" t="e">
        <f ca="1"/>
        <v>#N/A</v>
      </c>
      <c r="VEP538" s="22" t="e">
        <f ca="1"/>
        <v>#N/A</v>
      </c>
      <c r="VEQ538" s="22" t="e">
        <f ca="1"/>
        <v>#N/A</v>
      </c>
      <c r="VER538" s="22" t="e">
        <f ca="1"/>
        <v>#N/A</v>
      </c>
      <c r="VES538" s="22" t="e">
        <f ca="1"/>
        <v>#N/A</v>
      </c>
      <c r="VET538" s="22" t="e">
        <f ca="1"/>
        <v>#N/A</v>
      </c>
      <c r="VEU538" s="22" t="e">
        <f ca="1"/>
        <v>#N/A</v>
      </c>
      <c r="VEV538" s="22" t="e">
        <f ca="1"/>
        <v>#N/A</v>
      </c>
      <c r="VEW538" s="22" t="e">
        <f ca="1"/>
        <v>#N/A</v>
      </c>
      <c r="VEX538" s="22" t="e">
        <f ca="1"/>
        <v>#N/A</v>
      </c>
      <c r="VEY538" s="22" t="e">
        <f ca="1"/>
        <v>#N/A</v>
      </c>
      <c r="VEZ538" s="22" t="e">
        <f ca="1"/>
        <v>#N/A</v>
      </c>
      <c r="VFA538" s="22" t="e">
        <f ca="1"/>
        <v>#N/A</v>
      </c>
      <c r="VFB538" s="22" t="e">
        <f ca="1"/>
        <v>#N/A</v>
      </c>
      <c r="VFC538" s="22" t="e">
        <f ca="1"/>
        <v>#N/A</v>
      </c>
      <c r="VFD538" s="22" t="e">
        <f ca="1"/>
        <v>#N/A</v>
      </c>
      <c r="VFE538" s="22" t="e">
        <f ca="1"/>
        <v>#N/A</v>
      </c>
      <c r="VFF538" s="22" t="e">
        <f ca="1"/>
        <v>#N/A</v>
      </c>
      <c r="VFG538" s="22" t="e">
        <f ca="1"/>
        <v>#N/A</v>
      </c>
      <c r="VFH538" s="22" t="e">
        <f ca="1"/>
        <v>#N/A</v>
      </c>
      <c r="VFI538" s="22" t="e">
        <f ca="1"/>
        <v>#N/A</v>
      </c>
      <c r="VFJ538" s="22" t="e">
        <f ca="1"/>
        <v>#N/A</v>
      </c>
      <c r="VFK538" s="22" t="e">
        <f ca="1"/>
        <v>#N/A</v>
      </c>
      <c r="VFL538" s="22" t="e">
        <f ca="1"/>
        <v>#N/A</v>
      </c>
      <c r="VFM538" s="22" t="e">
        <f ca="1"/>
        <v>#N/A</v>
      </c>
      <c r="VFN538" s="22" t="e">
        <f ca="1"/>
        <v>#N/A</v>
      </c>
      <c r="VFO538" s="22" t="e">
        <f ca="1"/>
        <v>#N/A</v>
      </c>
      <c r="VFP538" s="22" t="e">
        <f ca="1"/>
        <v>#N/A</v>
      </c>
      <c r="VFQ538" s="22" t="e">
        <f ca="1"/>
        <v>#N/A</v>
      </c>
      <c r="VFR538" s="22" t="e">
        <f ca="1"/>
        <v>#N/A</v>
      </c>
      <c r="VFS538" s="22" t="e">
        <f ca="1"/>
        <v>#N/A</v>
      </c>
      <c r="VFT538" s="22" t="e">
        <f ca="1"/>
        <v>#N/A</v>
      </c>
      <c r="VFU538" s="22" t="e">
        <f ca="1"/>
        <v>#N/A</v>
      </c>
      <c r="VFV538" s="22" t="e">
        <f ca="1"/>
        <v>#N/A</v>
      </c>
      <c r="VFW538" s="22" t="e">
        <f ca="1"/>
        <v>#N/A</v>
      </c>
      <c r="VFX538" s="22" t="e">
        <f ca="1"/>
        <v>#N/A</v>
      </c>
      <c r="VFY538" s="22" t="e">
        <f ca="1"/>
        <v>#N/A</v>
      </c>
      <c r="VFZ538" s="22" t="e">
        <f ca="1"/>
        <v>#N/A</v>
      </c>
      <c r="VGA538" s="22" t="e">
        <f ca="1"/>
        <v>#N/A</v>
      </c>
      <c r="VGB538" s="22" t="e">
        <f ca="1"/>
        <v>#N/A</v>
      </c>
      <c r="VGC538" s="22" t="e">
        <f ca="1"/>
        <v>#N/A</v>
      </c>
      <c r="VGD538" s="22" t="e">
        <f ca="1"/>
        <v>#N/A</v>
      </c>
      <c r="VGE538" s="22" t="e">
        <f ca="1"/>
        <v>#N/A</v>
      </c>
      <c r="VGF538" s="22" t="e">
        <f ca="1"/>
        <v>#N/A</v>
      </c>
      <c r="VGG538" s="22" t="e">
        <f ca="1"/>
        <v>#N/A</v>
      </c>
      <c r="VGH538" s="22" t="e">
        <f ca="1"/>
        <v>#N/A</v>
      </c>
      <c r="VGI538" s="22" t="e">
        <f ca="1"/>
        <v>#N/A</v>
      </c>
      <c r="VGJ538" s="22" t="e">
        <f ca="1"/>
        <v>#N/A</v>
      </c>
      <c r="VGK538" s="22" t="e">
        <f ca="1"/>
        <v>#N/A</v>
      </c>
      <c r="VGL538" s="22" t="e">
        <f ca="1"/>
        <v>#N/A</v>
      </c>
      <c r="VGM538" s="22" t="e">
        <f ca="1"/>
        <v>#N/A</v>
      </c>
      <c r="VGN538" s="22" t="e">
        <f ca="1"/>
        <v>#N/A</v>
      </c>
      <c r="VGO538" s="22" t="e">
        <f ca="1"/>
        <v>#N/A</v>
      </c>
      <c r="VGP538" s="22" t="e">
        <f ca="1"/>
        <v>#N/A</v>
      </c>
      <c r="VGQ538" s="22" t="e">
        <f ca="1"/>
        <v>#N/A</v>
      </c>
      <c r="VGR538" s="22" t="e">
        <f ca="1"/>
        <v>#N/A</v>
      </c>
      <c r="VGS538" s="22" t="e">
        <f ca="1"/>
        <v>#N/A</v>
      </c>
      <c r="VGT538" s="22" t="e">
        <f ca="1"/>
        <v>#N/A</v>
      </c>
      <c r="VGU538" s="22" t="e">
        <f ca="1"/>
        <v>#N/A</v>
      </c>
      <c r="VGV538" s="22" t="e">
        <f ca="1"/>
        <v>#N/A</v>
      </c>
      <c r="VGW538" s="22" t="e">
        <f ca="1"/>
        <v>#N/A</v>
      </c>
      <c r="VGX538" s="22" t="e">
        <f ca="1"/>
        <v>#N/A</v>
      </c>
      <c r="VGY538" s="22" t="e">
        <f ca="1"/>
        <v>#N/A</v>
      </c>
      <c r="VGZ538" s="22" t="e">
        <f ca="1"/>
        <v>#N/A</v>
      </c>
      <c r="VHA538" s="22" t="e">
        <f ca="1"/>
        <v>#N/A</v>
      </c>
      <c r="VHB538" s="22" t="e">
        <f ca="1"/>
        <v>#N/A</v>
      </c>
      <c r="VHC538" s="22" t="e">
        <f ca="1"/>
        <v>#N/A</v>
      </c>
      <c r="VHD538" s="22" t="e">
        <f ca="1"/>
        <v>#N/A</v>
      </c>
      <c r="VHE538" s="22" t="e">
        <f ca="1"/>
        <v>#N/A</v>
      </c>
      <c r="VHF538" s="22" t="e">
        <f ca="1"/>
        <v>#N/A</v>
      </c>
      <c r="VHG538" s="22" t="e">
        <f ca="1"/>
        <v>#N/A</v>
      </c>
      <c r="VHH538" s="22" t="e">
        <f ca="1"/>
        <v>#N/A</v>
      </c>
      <c r="VHI538" s="22" t="e">
        <f ca="1"/>
        <v>#N/A</v>
      </c>
      <c r="VHJ538" s="22" t="e">
        <f ca="1"/>
        <v>#N/A</v>
      </c>
      <c r="VHK538" s="22" t="e">
        <f ca="1"/>
        <v>#N/A</v>
      </c>
      <c r="VHL538" s="22" t="e">
        <f ca="1"/>
        <v>#N/A</v>
      </c>
      <c r="VHM538" s="22" t="e">
        <f ca="1"/>
        <v>#N/A</v>
      </c>
      <c r="VHN538" s="22" t="e">
        <f ca="1"/>
        <v>#N/A</v>
      </c>
      <c r="VHO538" s="22" t="e">
        <f ca="1"/>
        <v>#N/A</v>
      </c>
      <c r="VHP538" s="22" t="e">
        <f ca="1"/>
        <v>#N/A</v>
      </c>
      <c r="VHQ538" s="22" t="e">
        <f ca="1"/>
        <v>#N/A</v>
      </c>
      <c r="VHR538" s="22" t="e">
        <f ca="1"/>
        <v>#N/A</v>
      </c>
      <c r="VHS538" s="22" t="e">
        <f ca="1"/>
        <v>#N/A</v>
      </c>
      <c r="VHT538" s="22" t="e">
        <f ca="1"/>
        <v>#N/A</v>
      </c>
      <c r="VHU538" s="22" t="e">
        <f ca="1"/>
        <v>#N/A</v>
      </c>
      <c r="VHV538" s="22" t="e">
        <f ca="1"/>
        <v>#N/A</v>
      </c>
      <c r="VHW538" s="22" t="e">
        <f ca="1"/>
        <v>#N/A</v>
      </c>
      <c r="VHX538" s="22" t="e">
        <f ca="1"/>
        <v>#N/A</v>
      </c>
      <c r="VHY538" s="22" t="e">
        <f ca="1"/>
        <v>#N/A</v>
      </c>
      <c r="VHZ538" s="22" t="e">
        <f ca="1"/>
        <v>#N/A</v>
      </c>
      <c r="VIA538" s="22" t="e">
        <f ca="1"/>
        <v>#N/A</v>
      </c>
      <c r="VIB538" s="22" t="e">
        <f ca="1"/>
        <v>#N/A</v>
      </c>
      <c r="VIC538" s="22" t="e">
        <f ca="1"/>
        <v>#N/A</v>
      </c>
      <c r="VID538" s="22" t="e">
        <f ca="1"/>
        <v>#N/A</v>
      </c>
      <c r="VIE538" s="22" t="e">
        <f ca="1"/>
        <v>#N/A</v>
      </c>
      <c r="VIF538" s="22" t="e">
        <f ca="1"/>
        <v>#N/A</v>
      </c>
      <c r="VIG538" s="22" t="e">
        <f ca="1"/>
        <v>#N/A</v>
      </c>
      <c r="VIH538" s="22" t="e">
        <f ca="1"/>
        <v>#N/A</v>
      </c>
      <c r="VII538" s="22" t="e">
        <f ca="1"/>
        <v>#N/A</v>
      </c>
      <c r="VIJ538" s="22" t="e">
        <f ca="1"/>
        <v>#N/A</v>
      </c>
      <c r="VIK538" s="22" t="e">
        <f ca="1"/>
        <v>#N/A</v>
      </c>
      <c r="VIL538" s="22" t="e">
        <f ca="1"/>
        <v>#N/A</v>
      </c>
      <c r="VIM538" s="22" t="e">
        <f ca="1"/>
        <v>#N/A</v>
      </c>
      <c r="VIN538" s="22" t="e">
        <f ca="1"/>
        <v>#N/A</v>
      </c>
      <c r="VIO538" s="22" t="e">
        <f ca="1"/>
        <v>#N/A</v>
      </c>
      <c r="VIP538" s="22" t="e">
        <f ca="1"/>
        <v>#N/A</v>
      </c>
      <c r="VIQ538" s="22" t="e">
        <f ca="1"/>
        <v>#N/A</v>
      </c>
      <c r="VIR538" s="22" t="e">
        <f ca="1"/>
        <v>#N/A</v>
      </c>
      <c r="VIS538" s="22" t="e">
        <f ca="1"/>
        <v>#N/A</v>
      </c>
      <c r="VIT538" s="22" t="e">
        <f ca="1"/>
        <v>#N/A</v>
      </c>
      <c r="VIU538" s="22" t="e">
        <f ca="1"/>
        <v>#N/A</v>
      </c>
      <c r="VIV538" s="22" t="e">
        <f ca="1"/>
        <v>#N/A</v>
      </c>
      <c r="VIW538" s="22" t="e">
        <f ca="1"/>
        <v>#N/A</v>
      </c>
      <c r="VIX538" s="22" t="e">
        <f ca="1"/>
        <v>#N/A</v>
      </c>
      <c r="VIY538" s="22" t="e">
        <f ca="1"/>
        <v>#N/A</v>
      </c>
      <c r="VIZ538" s="22" t="e">
        <f ca="1"/>
        <v>#N/A</v>
      </c>
      <c r="VJA538" s="22" t="e">
        <f ca="1"/>
        <v>#N/A</v>
      </c>
      <c r="VJB538" s="22" t="e">
        <f ca="1"/>
        <v>#N/A</v>
      </c>
      <c r="VJC538" s="22" t="e">
        <f ca="1"/>
        <v>#N/A</v>
      </c>
      <c r="VJD538" s="22" t="e">
        <f ca="1"/>
        <v>#N/A</v>
      </c>
      <c r="VJE538" s="22" t="e">
        <f ca="1"/>
        <v>#N/A</v>
      </c>
      <c r="VJF538" s="22" t="e">
        <f ca="1"/>
        <v>#N/A</v>
      </c>
      <c r="VJG538" s="22" t="e">
        <f ca="1"/>
        <v>#N/A</v>
      </c>
      <c r="VJH538" s="22" t="e">
        <f ca="1"/>
        <v>#N/A</v>
      </c>
      <c r="VJI538" s="22" t="e">
        <f ca="1"/>
        <v>#N/A</v>
      </c>
      <c r="VJJ538" s="22" t="e">
        <f ca="1"/>
        <v>#N/A</v>
      </c>
      <c r="VJK538" s="22" t="e">
        <f ca="1"/>
        <v>#N/A</v>
      </c>
      <c r="VJL538" s="22" t="e">
        <f ca="1"/>
        <v>#N/A</v>
      </c>
      <c r="VJM538" s="22" t="e">
        <f ca="1"/>
        <v>#N/A</v>
      </c>
      <c r="VJN538" s="22" t="e">
        <f ca="1"/>
        <v>#N/A</v>
      </c>
      <c r="VJO538" s="22" t="e">
        <f ca="1"/>
        <v>#N/A</v>
      </c>
      <c r="VJP538" s="22" t="e">
        <f ca="1"/>
        <v>#N/A</v>
      </c>
      <c r="VJQ538" s="22" t="e">
        <f ca="1"/>
        <v>#N/A</v>
      </c>
      <c r="VJR538" s="22" t="e">
        <f ca="1"/>
        <v>#N/A</v>
      </c>
      <c r="VJS538" s="22" t="e">
        <f ca="1"/>
        <v>#N/A</v>
      </c>
      <c r="VJT538" s="22" t="e">
        <f ca="1"/>
        <v>#N/A</v>
      </c>
      <c r="VJU538" s="22" t="e">
        <f ca="1"/>
        <v>#N/A</v>
      </c>
      <c r="VJV538" s="22" t="e">
        <f ca="1"/>
        <v>#N/A</v>
      </c>
      <c r="VJW538" s="22" t="e">
        <f ca="1"/>
        <v>#N/A</v>
      </c>
      <c r="VJX538" s="22" t="e">
        <f ca="1"/>
        <v>#N/A</v>
      </c>
      <c r="VJY538" s="22" t="e">
        <f ca="1"/>
        <v>#N/A</v>
      </c>
      <c r="VJZ538" s="22" t="e">
        <f ca="1"/>
        <v>#N/A</v>
      </c>
      <c r="VKA538" s="22" t="e">
        <f ca="1"/>
        <v>#N/A</v>
      </c>
      <c r="VKB538" s="22" t="e">
        <f ca="1"/>
        <v>#N/A</v>
      </c>
      <c r="VKC538" s="22" t="e">
        <f ca="1"/>
        <v>#N/A</v>
      </c>
      <c r="VKD538" s="22" t="e">
        <f ca="1"/>
        <v>#N/A</v>
      </c>
      <c r="VKE538" s="22" t="e">
        <f ca="1"/>
        <v>#N/A</v>
      </c>
      <c r="VKF538" s="22" t="e">
        <f ca="1"/>
        <v>#N/A</v>
      </c>
      <c r="VKG538" s="22" t="e">
        <f ca="1"/>
        <v>#N/A</v>
      </c>
      <c r="VKH538" s="22" t="e">
        <f ca="1"/>
        <v>#N/A</v>
      </c>
      <c r="VKI538" s="22" t="e">
        <f ca="1"/>
        <v>#N/A</v>
      </c>
      <c r="VKJ538" s="22" t="e">
        <f ca="1"/>
        <v>#N/A</v>
      </c>
      <c r="VKK538" s="22" t="e">
        <f ca="1"/>
        <v>#N/A</v>
      </c>
      <c r="VKL538" s="22" t="e">
        <f ca="1"/>
        <v>#N/A</v>
      </c>
      <c r="VKM538" s="22" t="e">
        <f ca="1"/>
        <v>#N/A</v>
      </c>
      <c r="VKN538" s="22" t="e">
        <f ca="1"/>
        <v>#N/A</v>
      </c>
      <c r="VKO538" s="22" t="e">
        <f ca="1"/>
        <v>#N/A</v>
      </c>
      <c r="VKP538" s="22" t="e">
        <f ca="1"/>
        <v>#N/A</v>
      </c>
      <c r="VKQ538" s="22" t="e">
        <f ca="1"/>
        <v>#N/A</v>
      </c>
      <c r="VKR538" s="22" t="e">
        <f ca="1"/>
        <v>#N/A</v>
      </c>
      <c r="VKS538" s="22" t="e">
        <f ca="1"/>
        <v>#N/A</v>
      </c>
      <c r="VKT538" s="22" t="e">
        <f ca="1"/>
        <v>#N/A</v>
      </c>
      <c r="VKU538" s="22" t="e">
        <f ca="1"/>
        <v>#N/A</v>
      </c>
      <c r="VKV538" s="22" t="e">
        <f ca="1"/>
        <v>#N/A</v>
      </c>
      <c r="VKW538" s="22" t="e">
        <f ca="1"/>
        <v>#N/A</v>
      </c>
      <c r="VKX538" s="22" t="e">
        <f ca="1"/>
        <v>#N/A</v>
      </c>
      <c r="VKY538" s="22" t="e">
        <f ca="1"/>
        <v>#N/A</v>
      </c>
      <c r="VKZ538" s="22" t="e">
        <f ca="1"/>
        <v>#N/A</v>
      </c>
      <c r="VLA538" s="22" t="e">
        <f ca="1"/>
        <v>#N/A</v>
      </c>
      <c r="VLB538" s="22" t="e">
        <f ca="1"/>
        <v>#N/A</v>
      </c>
      <c r="VLC538" s="22" t="e">
        <f ca="1"/>
        <v>#N/A</v>
      </c>
      <c r="VLD538" s="22" t="e">
        <f ca="1"/>
        <v>#N/A</v>
      </c>
      <c r="VLE538" s="22" t="e">
        <f ca="1"/>
        <v>#N/A</v>
      </c>
      <c r="VLF538" s="22" t="e">
        <f ca="1"/>
        <v>#N/A</v>
      </c>
      <c r="VLG538" s="22" t="e">
        <f ca="1"/>
        <v>#N/A</v>
      </c>
      <c r="VLH538" s="22" t="e">
        <f ca="1"/>
        <v>#N/A</v>
      </c>
      <c r="VLI538" s="22" t="e">
        <f ca="1"/>
        <v>#N/A</v>
      </c>
      <c r="VLJ538" s="22" t="e">
        <f ca="1"/>
        <v>#N/A</v>
      </c>
      <c r="VLK538" s="22" t="e">
        <f ca="1"/>
        <v>#N/A</v>
      </c>
      <c r="VLL538" s="22" t="e">
        <f ca="1"/>
        <v>#N/A</v>
      </c>
      <c r="VLM538" s="22" t="e">
        <f ca="1"/>
        <v>#N/A</v>
      </c>
      <c r="VLN538" s="22" t="e">
        <f ca="1"/>
        <v>#N/A</v>
      </c>
      <c r="VLO538" s="22" t="e">
        <f ca="1"/>
        <v>#N/A</v>
      </c>
      <c r="VLP538" s="22" t="e">
        <f ca="1"/>
        <v>#N/A</v>
      </c>
      <c r="VLQ538" s="22" t="e">
        <f ca="1"/>
        <v>#N/A</v>
      </c>
      <c r="VLR538" s="22" t="e">
        <f ca="1"/>
        <v>#N/A</v>
      </c>
      <c r="VLS538" s="22" t="e">
        <f ca="1"/>
        <v>#N/A</v>
      </c>
      <c r="VLT538" s="22" t="e">
        <f ca="1"/>
        <v>#N/A</v>
      </c>
      <c r="VLU538" s="22" t="e">
        <f ca="1"/>
        <v>#N/A</v>
      </c>
      <c r="VLV538" s="22" t="e">
        <f ca="1"/>
        <v>#N/A</v>
      </c>
      <c r="VLW538" s="22" t="e">
        <f ca="1"/>
        <v>#N/A</v>
      </c>
      <c r="VLX538" s="22" t="e">
        <f ca="1"/>
        <v>#N/A</v>
      </c>
      <c r="VLY538" s="22" t="e">
        <f ca="1"/>
        <v>#N/A</v>
      </c>
      <c r="VLZ538" s="22" t="e">
        <f ca="1"/>
        <v>#N/A</v>
      </c>
      <c r="VMA538" s="22" t="e">
        <f ca="1"/>
        <v>#N/A</v>
      </c>
      <c r="VMB538" s="22" t="e">
        <f ca="1"/>
        <v>#N/A</v>
      </c>
      <c r="VMC538" s="22" t="e">
        <f ca="1"/>
        <v>#N/A</v>
      </c>
      <c r="VMD538" s="22" t="e">
        <f ca="1"/>
        <v>#N/A</v>
      </c>
      <c r="VME538" s="22" t="e">
        <f ca="1"/>
        <v>#N/A</v>
      </c>
      <c r="VMF538" s="22" t="e">
        <f ca="1"/>
        <v>#N/A</v>
      </c>
      <c r="VMG538" s="22" t="e">
        <f ca="1"/>
        <v>#N/A</v>
      </c>
      <c r="VMH538" s="22" t="e">
        <f ca="1"/>
        <v>#N/A</v>
      </c>
      <c r="VMI538" s="22" t="e">
        <f ca="1"/>
        <v>#N/A</v>
      </c>
      <c r="VMJ538" s="22" t="e">
        <f ca="1"/>
        <v>#N/A</v>
      </c>
      <c r="VMK538" s="22" t="e">
        <f ca="1"/>
        <v>#N/A</v>
      </c>
      <c r="VML538" s="22" t="e">
        <f ca="1"/>
        <v>#N/A</v>
      </c>
      <c r="VMM538" s="22" t="e">
        <f ca="1"/>
        <v>#N/A</v>
      </c>
      <c r="VMN538" s="22" t="e">
        <f ca="1"/>
        <v>#N/A</v>
      </c>
      <c r="VMO538" s="22" t="e">
        <f ca="1"/>
        <v>#N/A</v>
      </c>
      <c r="VMP538" s="22" t="e">
        <f ca="1"/>
        <v>#N/A</v>
      </c>
      <c r="VMQ538" s="22" t="e">
        <f ca="1"/>
        <v>#N/A</v>
      </c>
      <c r="VMR538" s="22" t="e">
        <f ca="1"/>
        <v>#N/A</v>
      </c>
      <c r="VMS538" s="22" t="e">
        <f ca="1"/>
        <v>#N/A</v>
      </c>
      <c r="VMT538" s="22" t="e">
        <f ca="1"/>
        <v>#N/A</v>
      </c>
      <c r="VMU538" s="22" t="e">
        <f ca="1"/>
        <v>#N/A</v>
      </c>
      <c r="VMV538" s="22" t="e">
        <f ca="1"/>
        <v>#N/A</v>
      </c>
      <c r="VMW538" s="22" t="e">
        <f ca="1"/>
        <v>#N/A</v>
      </c>
      <c r="VMX538" s="22" t="e">
        <f ca="1"/>
        <v>#N/A</v>
      </c>
      <c r="VMY538" s="22" t="e">
        <f ca="1"/>
        <v>#N/A</v>
      </c>
      <c r="VMZ538" s="22" t="e">
        <f ca="1"/>
        <v>#N/A</v>
      </c>
      <c r="VNA538" s="22" t="e">
        <f ca="1"/>
        <v>#N/A</v>
      </c>
      <c r="VNB538" s="22" t="e">
        <f ca="1"/>
        <v>#N/A</v>
      </c>
      <c r="VNC538" s="22" t="e">
        <f ca="1"/>
        <v>#N/A</v>
      </c>
      <c r="VND538" s="22" t="e">
        <f ca="1"/>
        <v>#N/A</v>
      </c>
      <c r="VNE538" s="22" t="e">
        <f ca="1"/>
        <v>#N/A</v>
      </c>
      <c r="VNF538" s="22" t="e">
        <f ca="1"/>
        <v>#N/A</v>
      </c>
      <c r="VNG538" s="22" t="e">
        <f ca="1"/>
        <v>#N/A</v>
      </c>
      <c r="VNH538" s="22" t="e">
        <f ca="1"/>
        <v>#N/A</v>
      </c>
      <c r="VNI538" s="22" t="e">
        <f ca="1"/>
        <v>#N/A</v>
      </c>
      <c r="VNJ538" s="22" t="e">
        <f ca="1"/>
        <v>#N/A</v>
      </c>
      <c r="VNK538" s="22" t="e">
        <f ca="1"/>
        <v>#N/A</v>
      </c>
      <c r="VNL538" s="22" t="e">
        <f ca="1"/>
        <v>#N/A</v>
      </c>
      <c r="VNM538" s="22" t="e">
        <f ca="1"/>
        <v>#N/A</v>
      </c>
      <c r="VNN538" s="22" t="e">
        <f ca="1"/>
        <v>#N/A</v>
      </c>
      <c r="VNO538" s="22" t="e">
        <f ca="1"/>
        <v>#N/A</v>
      </c>
      <c r="VNP538" s="22" t="e">
        <f ca="1"/>
        <v>#N/A</v>
      </c>
      <c r="VNQ538" s="22" t="e">
        <f ca="1"/>
        <v>#N/A</v>
      </c>
      <c r="VNR538" s="22" t="e">
        <f ca="1"/>
        <v>#N/A</v>
      </c>
      <c r="VNS538" s="22" t="e">
        <f ca="1"/>
        <v>#N/A</v>
      </c>
      <c r="VNT538" s="22" t="e">
        <f ca="1"/>
        <v>#N/A</v>
      </c>
      <c r="VNU538" s="22" t="e">
        <f ca="1"/>
        <v>#N/A</v>
      </c>
      <c r="VNV538" s="22" t="e">
        <f ca="1"/>
        <v>#N/A</v>
      </c>
      <c r="VNW538" s="22" t="e">
        <f ca="1"/>
        <v>#N/A</v>
      </c>
      <c r="VNX538" s="22" t="e">
        <f ca="1"/>
        <v>#N/A</v>
      </c>
      <c r="VNY538" s="22" t="e">
        <f ca="1"/>
        <v>#N/A</v>
      </c>
      <c r="VNZ538" s="22" t="e">
        <f ca="1"/>
        <v>#N/A</v>
      </c>
      <c r="VOA538" s="22" t="e">
        <f ca="1"/>
        <v>#N/A</v>
      </c>
      <c r="VOB538" s="22" t="e">
        <f ca="1"/>
        <v>#N/A</v>
      </c>
      <c r="VOC538" s="22" t="e">
        <f ca="1"/>
        <v>#N/A</v>
      </c>
      <c r="VOD538" s="22" t="e">
        <f ca="1"/>
        <v>#N/A</v>
      </c>
      <c r="VOE538" s="22" t="e">
        <f ca="1"/>
        <v>#N/A</v>
      </c>
      <c r="VOF538" s="22" t="e">
        <f ca="1"/>
        <v>#N/A</v>
      </c>
      <c r="VOG538" s="22" t="e">
        <f ca="1"/>
        <v>#N/A</v>
      </c>
      <c r="VOH538" s="22" t="e">
        <f ca="1"/>
        <v>#N/A</v>
      </c>
      <c r="VOI538" s="22" t="e">
        <f ca="1"/>
        <v>#N/A</v>
      </c>
      <c r="VOJ538" s="22" t="e">
        <f ca="1"/>
        <v>#N/A</v>
      </c>
      <c r="VOK538" s="22" t="e">
        <f ca="1"/>
        <v>#N/A</v>
      </c>
      <c r="VOL538" s="22" t="e">
        <f ca="1"/>
        <v>#N/A</v>
      </c>
      <c r="VOM538" s="22" t="e">
        <f ca="1"/>
        <v>#N/A</v>
      </c>
      <c r="VON538" s="22" t="e">
        <f ca="1"/>
        <v>#N/A</v>
      </c>
      <c r="VOO538" s="22" t="e">
        <f ca="1"/>
        <v>#N/A</v>
      </c>
      <c r="VOP538" s="22" t="e">
        <f ca="1"/>
        <v>#N/A</v>
      </c>
      <c r="VOQ538" s="22" t="e">
        <f ca="1"/>
        <v>#N/A</v>
      </c>
      <c r="VOR538" s="22" t="e">
        <f ca="1"/>
        <v>#N/A</v>
      </c>
      <c r="VOS538" s="22" t="e">
        <f ca="1"/>
        <v>#N/A</v>
      </c>
      <c r="VOT538" s="22" t="e">
        <f ca="1"/>
        <v>#N/A</v>
      </c>
      <c r="VOU538" s="22" t="e">
        <f ca="1"/>
        <v>#N/A</v>
      </c>
      <c r="VOV538" s="22" t="e">
        <f ca="1"/>
        <v>#N/A</v>
      </c>
      <c r="VOW538" s="22" t="e">
        <f ca="1"/>
        <v>#N/A</v>
      </c>
      <c r="VOX538" s="22" t="e">
        <f ca="1"/>
        <v>#N/A</v>
      </c>
      <c r="VOY538" s="22" t="e">
        <f ca="1"/>
        <v>#N/A</v>
      </c>
      <c r="VOZ538" s="22" t="e">
        <f ca="1"/>
        <v>#N/A</v>
      </c>
      <c r="VPA538" s="22" t="e">
        <f ca="1"/>
        <v>#N/A</v>
      </c>
      <c r="VPB538" s="22" t="e">
        <f ca="1"/>
        <v>#N/A</v>
      </c>
      <c r="VPC538" s="22" t="e">
        <f ca="1"/>
        <v>#N/A</v>
      </c>
      <c r="VPD538" s="22" t="e">
        <f ca="1"/>
        <v>#N/A</v>
      </c>
      <c r="VPE538" s="22" t="e">
        <f ca="1"/>
        <v>#N/A</v>
      </c>
      <c r="VPF538" s="22" t="e">
        <f ca="1"/>
        <v>#N/A</v>
      </c>
      <c r="VPG538" s="22" t="e">
        <f ca="1"/>
        <v>#N/A</v>
      </c>
      <c r="VPH538" s="22" t="e">
        <f ca="1"/>
        <v>#N/A</v>
      </c>
      <c r="VPI538" s="22" t="e">
        <f ca="1"/>
        <v>#N/A</v>
      </c>
      <c r="VPJ538" s="22" t="e">
        <f ca="1"/>
        <v>#N/A</v>
      </c>
      <c r="VPK538" s="22" t="e">
        <f ca="1"/>
        <v>#N/A</v>
      </c>
      <c r="VPL538" s="22" t="e">
        <f ca="1"/>
        <v>#N/A</v>
      </c>
      <c r="VPM538" s="22" t="e">
        <f ca="1"/>
        <v>#N/A</v>
      </c>
      <c r="VPN538" s="22" t="e">
        <f ca="1"/>
        <v>#N/A</v>
      </c>
      <c r="VPO538" s="22" t="e">
        <f ca="1"/>
        <v>#N/A</v>
      </c>
      <c r="VPP538" s="22" t="e">
        <f ca="1"/>
        <v>#N/A</v>
      </c>
      <c r="VPQ538" s="22" t="e">
        <f ca="1"/>
        <v>#N/A</v>
      </c>
      <c r="VPR538" s="22" t="e">
        <f ca="1"/>
        <v>#N/A</v>
      </c>
      <c r="VPS538" s="22" t="e">
        <f ca="1"/>
        <v>#N/A</v>
      </c>
      <c r="VPT538" s="22" t="e">
        <f ca="1"/>
        <v>#N/A</v>
      </c>
      <c r="VPU538" s="22" t="e">
        <f ca="1"/>
        <v>#N/A</v>
      </c>
      <c r="VPV538" s="22" t="e">
        <f ca="1"/>
        <v>#N/A</v>
      </c>
      <c r="VPW538" s="22" t="e">
        <f ca="1"/>
        <v>#N/A</v>
      </c>
      <c r="VPX538" s="22" t="e">
        <f ca="1"/>
        <v>#N/A</v>
      </c>
      <c r="VPY538" s="22" t="e">
        <f ca="1"/>
        <v>#N/A</v>
      </c>
      <c r="VPZ538" s="22" t="e">
        <f ca="1"/>
        <v>#N/A</v>
      </c>
      <c r="VQA538" s="22" t="e">
        <f ca="1"/>
        <v>#N/A</v>
      </c>
      <c r="VQB538" s="22" t="e">
        <f ca="1"/>
        <v>#N/A</v>
      </c>
      <c r="VQC538" s="22" t="e">
        <f ca="1"/>
        <v>#N/A</v>
      </c>
      <c r="VQD538" s="22" t="e">
        <f ca="1"/>
        <v>#N/A</v>
      </c>
      <c r="VQE538" s="22" t="e">
        <f ca="1"/>
        <v>#N/A</v>
      </c>
      <c r="VQF538" s="22" t="e">
        <f ca="1"/>
        <v>#N/A</v>
      </c>
      <c r="VQG538" s="22" t="e">
        <f ca="1"/>
        <v>#N/A</v>
      </c>
      <c r="VQH538" s="22" t="e">
        <f ca="1"/>
        <v>#N/A</v>
      </c>
      <c r="VQI538" s="22" t="e">
        <f ca="1"/>
        <v>#N/A</v>
      </c>
      <c r="VQJ538" s="22" t="e">
        <f ca="1"/>
        <v>#N/A</v>
      </c>
      <c r="VQK538" s="22" t="e">
        <f ca="1"/>
        <v>#N/A</v>
      </c>
      <c r="VQL538" s="22" t="e">
        <f ca="1"/>
        <v>#N/A</v>
      </c>
      <c r="VQM538" s="22" t="e">
        <f ca="1"/>
        <v>#N/A</v>
      </c>
      <c r="VQN538" s="22" t="e">
        <f ca="1"/>
        <v>#N/A</v>
      </c>
      <c r="VQO538" s="22" t="e">
        <f ca="1"/>
        <v>#N/A</v>
      </c>
      <c r="VQP538" s="22" t="e">
        <f ca="1"/>
        <v>#N/A</v>
      </c>
      <c r="VQQ538" s="22" t="e">
        <f ca="1"/>
        <v>#N/A</v>
      </c>
      <c r="VQR538" s="22" t="e">
        <f ca="1"/>
        <v>#N/A</v>
      </c>
      <c r="VQS538" s="22" t="e">
        <f ca="1"/>
        <v>#N/A</v>
      </c>
      <c r="VQT538" s="22" t="e">
        <f ca="1"/>
        <v>#N/A</v>
      </c>
      <c r="VQU538" s="22" t="e">
        <f ca="1"/>
        <v>#N/A</v>
      </c>
      <c r="VQV538" s="22" t="e">
        <f ca="1"/>
        <v>#N/A</v>
      </c>
      <c r="VQW538" s="22" t="e">
        <f ca="1"/>
        <v>#N/A</v>
      </c>
      <c r="VQX538" s="22" t="e">
        <f ca="1"/>
        <v>#N/A</v>
      </c>
      <c r="VQY538" s="22" t="e">
        <f ca="1"/>
        <v>#N/A</v>
      </c>
      <c r="VQZ538" s="22" t="e">
        <f ca="1"/>
        <v>#N/A</v>
      </c>
      <c r="VRA538" s="22" t="e">
        <f ca="1"/>
        <v>#N/A</v>
      </c>
      <c r="VRB538" s="22" t="e">
        <f ca="1"/>
        <v>#N/A</v>
      </c>
      <c r="VRC538" s="22" t="e">
        <f ca="1"/>
        <v>#N/A</v>
      </c>
      <c r="VRD538" s="22" t="e">
        <f ca="1"/>
        <v>#N/A</v>
      </c>
      <c r="VRE538" s="22" t="e">
        <f ca="1"/>
        <v>#N/A</v>
      </c>
      <c r="VRF538" s="22" t="e">
        <f ca="1"/>
        <v>#N/A</v>
      </c>
      <c r="VRG538" s="22" t="e">
        <f ca="1"/>
        <v>#N/A</v>
      </c>
      <c r="VRH538" s="22" t="e">
        <f ca="1"/>
        <v>#N/A</v>
      </c>
      <c r="VRI538" s="22" t="e">
        <f ca="1"/>
        <v>#N/A</v>
      </c>
      <c r="VRJ538" s="22" t="e">
        <f ca="1"/>
        <v>#N/A</v>
      </c>
      <c r="VRK538" s="22" t="e">
        <f ca="1"/>
        <v>#N/A</v>
      </c>
      <c r="VRL538" s="22" t="e">
        <f ca="1"/>
        <v>#N/A</v>
      </c>
      <c r="VRM538" s="22" t="e">
        <f ca="1"/>
        <v>#N/A</v>
      </c>
      <c r="VRN538" s="22" t="e">
        <f ca="1"/>
        <v>#N/A</v>
      </c>
      <c r="VRO538" s="22" t="e">
        <f ca="1"/>
        <v>#N/A</v>
      </c>
      <c r="VRP538" s="22" t="e">
        <f ca="1"/>
        <v>#N/A</v>
      </c>
      <c r="VRQ538" s="22" t="e">
        <f ca="1"/>
        <v>#N/A</v>
      </c>
      <c r="VRR538" s="22" t="e">
        <f ca="1"/>
        <v>#N/A</v>
      </c>
      <c r="VRS538" s="22" t="e">
        <f ca="1"/>
        <v>#N/A</v>
      </c>
      <c r="VRT538" s="22" t="e">
        <f ca="1"/>
        <v>#N/A</v>
      </c>
      <c r="VRU538" s="22" t="e">
        <f ca="1"/>
        <v>#N/A</v>
      </c>
      <c r="VRV538" s="22" t="e">
        <f ca="1"/>
        <v>#N/A</v>
      </c>
      <c r="VRW538" s="22" t="e">
        <f ca="1"/>
        <v>#N/A</v>
      </c>
      <c r="VRX538" s="22" t="e">
        <f ca="1"/>
        <v>#N/A</v>
      </c>
      <c r="VRY538" s="22" t="e">
        <f ca="1"/>
        <v>#N/A</v>
      </c>
      <c r="VRZ538" s="22" t="e">
        <f ca="1"/>
        <v>#N/A</v>
      </c>
      <c r="VSA538" s="22" t="e">
        <f ca="1"/>
        <v>#N/A</v>
      </c>
      <c r="VSB538" s="22" t="e">
        <f ca="1"/>
        <v>#N/A</v>
      </c>
      <c r="VSC538" s="22" t="e">
        <f ca="1"/>
        <v>#N/A</v>
      </c>
      <c r="VSD538" s="22" t="e">
        <f ca="1"/>
        <v>#N/A</v>
      </c>
      <c r="VSE538" s="22" t="e">
        <f ca="1"/>
        <v>#N/A</v>
      </c>
      <c r="VSF538" s="22" t="e">
        <f ca="1"/>
        <v>#N/A</v>
      </c>
      <c r="VSG538" s="22" t="e">
        <f ca="1"/>
        <v>#N/A</v>
      </c>
      <c r="VSH538" s="22" t="e">
        <f ca="1"/>
        <v>#N/A</v>
      </c>
      <c r="VSI538" s="22" t="e">
        <f ca="1"/>
        <v>#N/A</v>
      </c>
      <c r="VSJ538" s="22" t="e">
        <f ca="1"/>
        <v>#N/A</v>
      </c>
      <c r="VSK538" s="22" t="e">
        <f ca="1"/>
        <v>#N/A</v>
      </c>
      <c r="VSL538" s="22" t="e">
        <f ca="1"/>
        <v>#N/A</v>
      </c>
      <c r="VSM538" s="22" t="e">
        <f ca="1"/>
        <v>#N/A</v>
      </c>
      <c r="VSN538" s="22" t="e">
        <f ca="1"/>
        <v>#N/A</v>
      </c>
      <c r="VSO538" s="22" t="e">
        <f ca="1"/>
        <v>#N/A</v>
      </c>
      <c r="VSP538" s="22" t="e">
        <f ca="1"/>
        <v>#N/A</v>
      </c>
      <c r="VSQ538" s="22" t="e">
        <f ca="1"/>
        <v>#N/A</v>
      </c>
      <c r="VSR538" s="22" t="e">
        <f ca="1"/>
        <v>#N/A</v>
      </c>
      <c r="VSS538" s="22" t="e">
        <f ca="1"/>
        <v>#N/A</v>
      </c>
      <c r="VST538" s="22" t="e">
        <f ca="1"/>
        <v>#N/A</v>
      </c>
      <c r="VSU538" s="22" t="e">
        <f ca="1"/>
        <v>#N/A</v>
      </c>
      <c r="VSV538" s="22" t="e">
        <f ca="1"/>
        <v>#N/A</v>
      </c>
      <c r="VSW538" s="22" t="e">
        <f ca="1"/>
        <v>#N/A</v>
      </c>
      <c r="VSX538" s="22" t="e">
        <f ca="1"/>
        <v>#N/A</v>
      </c>
      <c r="VSY538" s="22" t="e">
        <f ca="1"/>
        <v>#N/A</v>
      </c>
      <c r="VSZ538" s="22" t="e">
        <f ca="1"/>
        <v>#N/A</v>
      </c>
      <c r="VTA538" s="22" t="e">
        <f ca="1"/>
        <v>#N/A</v>
      </c>
      <c r="VTB538" s="22" t="e">
        <f ca="1"/>
        <v>#N/A</v>
      </c>
      <c r="VTC538" s="22" t="e">
        <f ca="1"/>
        <v>#N/A</v>
      </c>
      <c r="VTD538" s="22" t="e">
        <f ca="1"/>
        <v>#N/A</v>
      </c>
      <c r="VTE538" s="22" t="e">
        <f ca="1"/>
        <v>#N/A</v>
      </c>
      <c r="VTF538" s="22" t="e">
        <f ca="1"/>
        <v>#N/A</v>
      </c>
      <c r="VTG538" s="22" t="e">
        <f ca="1"/>
        <v>#N/A</v>
      </c>
      <c r="VTH538" s="22" t="e">
        <f ca="1"/>
        <v>#N/A</v>
      </c>
      <c r="VTI538" s="22" t="e">
        <f ca="1"/>
        <v>#N/A</v>
      </c>
      <c r="VTJ538" s="22" t="e">
        <f ca="1"/>
        <v>#N/A</v>
      </c>
      <c r="VTK538" s="22" t="e">
        <f ca="1"/>
        <v>#N/A</v>
      </c>
      <c r="VTL538" s="22" t="e">
        <f ca="1"/>
        <v>#N/A</v>
      </c>
      <c r="VTM538" s="22" t="e">
        <f ca="1"/>
        <v>#N/A</v>
      </c>
      <c r="VTN538" s="22" t="e">
        <f ca="1"/>
        <v>#N/A</v>
      </c>
      <c r="VTO538" s="22" t="e">
        <f ca="1"/>
        <v>#N/A</v>
      </c>
      <c r="VTP538" s="22" t="e">
        <f ca="1"/>
        <v>#N/A</v>
      </c>
      <c r="VTQ538" s="22" t="e">
        <f ca="1"/>
        <v>#N/A</v>
      </c>
      <c r="VTR538" s="22" t="e">
        <f ca="1"/>
        <v>#N/A</v>
      </c>
      <c r="VTS538" s="22" t="e">
        <f ca="1"/>
        <v>#N/A</v>
      </c>
      <c r="VTT538" s="22" t="e">
        <f ca="1"/>
        <v>#N/A</v>
      </c>
      <c r="VTU538" s="22" t="e">
        <f ca="1"/>
        <v>#N/A</v>
      </c>
      <c r="VTV538" s="22" t="e">
        <f ca="1"/>
        <v>#N/A</v>
      </c>
      <c r="VTW538" s="22" t="e">
        <f ca="1"/>
        <v>#N/A</v>
      </c>
      <c r="VTX538" s="22" t="e">
        <f ca="1"/>
        <v>#N/A</v>
      </c>
      <c r="VTY538" s="22" t="e">
        <f ca="1"/>
        <v>#N/A</v>
      </c>
      <c r="VTZ538" s="22" t="e">
        <f ca="1"/>
        <v>#N/A</v>
      </c>
      <c r="VUA538" s="22" t="e">
        <f ca="1"/>
        <v>#N/A</v>
      </c>
      <c r="VUB538" s="22" t="e">
        <f ca="1"/>
        <v>#N/A</v>
      </c>
      <c r="VUC538" s="22" t="e">
        <f ca="1"/>
        <v>#N/A</v>
      </c>
      <c r="VUD538" s="22" t="e">
        <f ca="1"/>
        <v>#N/A</v>
      </c>
      <c r="VUE538" s="22" t="e">
        <f ca="1"/>
        <v>#N/A</v>
      </c>
      <c r="VUF538" s="22" t="e">
        <f ca="1"/>
        <v>#N/A</v>
      </c>
      <c r="VUG538" s="22" t="e">
        <f ca="1"/>
        <v>#N/A</v>
      </c>
      <c r="VUH538" s="22" t="e">
        <f ca="1"/>
        <v>#N/A</v>
      </c>
      <c r="VUI538" s="22" t="e">
        <f ca="1"/>
        <v>#N/A</v>
      </c>
      <c r="VUJ538" s="22" t="e">
        <f ca="1"/>
        <v>#N/A</v>
      </c>
      <c r="VUK538" s="22" t="e">
        <f ca="1"/>
        <v>#N/A</v>
      </c>
      <c r="VUL538" s="22" t="e">
        <f ca="1"/>
        <v>#N/A</v>
      </c>
      <c r="VUM538" s="22" t="e">
        <f ca="1"/>
        <v>#N/A</v>
      </c>
      <c r="VUN538" s="22" t="e">
        <f ca="1"/>
        <v>#N/A</v>
      </c>
      <c r="VUO538" s="22" t="e">
        <f ca="1"/>
        <v>#N/A</v>
      </c>
      <c r="VUP538" s="22" t="e">
        <f ca="1"/>
        <v>#N/A</v>
      </c>
      <c r="VUQ538" s="22" t="e">
        <f ca="1"/>
        <v>#N/A</v>
      </c>
      <c r="VUR538" s="22" t="e">
        <f ca="1"/>
        <v>#N/A</v>
      </c>
      <c r="VUS538" s="22" t="e">
        <f ca="1"/>
        <v>#N/A</v>
      </c>
      <c r="VUT538" s="22" t="e">
        <f ca="1"/>
        <v>#N/A</v>
      </c>
      <c r="VUU538" s="22" t="e">
        <f ca="1"/>
        <v>#N/A</v>
      </c>
      <c r="VUV538" s="22" t="e">
        <f ca="1"/>
        <v>#N/A</v>
      </c>
      <c r="VUW538" s="22" t="e">
        <f ca="1"/>
        <v>#N/A</v>
      </c>
      <c r="VUX538" s="22" t="e">
        <f ca="1"/>
        <v>#N/A</v>
      </c>
      <c r="VUY538" s="22" t="e">
        <f ca="1"/>
        <v>#N/A</v>
      </c>
      <c r="VUZ538" s="22" t="e">
        <f ca="1"/>
        <v>#N/A</v>
      </c>
      <c r="VVA538" s="22" t="e">
        <f ca="1"/>
        <v>#N/A</v>
      </c>
      <c r="VVB538" s="22" t="e">
        <f ca="1"/>
        <v>#N/A</v>
      </c>
      <c r="VVC538" s="22" t="e">
        <f ca="1"/>
        <v>#N/A</v>
      </c>
      <c r="VVD538" s="22" t="e">
        <f ca="1"/>
        <v>#N/A</v>
      </c>
      <c r="VVE538" s="22" t="e">
        <f ca="1"/>
        <v>#N/A</v>
      </c>
      <c r="VVF538" s="22" t="e">
        <f ca="1"/>
        <v>#N/A</v>
      </c>
      <c r="VVG538" s="22" t="e">
        <f ca="1"/>
        <v>#N/A</v>
      </c>
      <c r="VVH538" s="22" t="e">
        <f ca="1"/>
        <v>#N/A</v>
      </c>
      <c r="VVI538" s="22" t="e">
        <f ca="1"/>
        <v>#N/A</v>
      </c>
      <c r="VVJ538" s="22" t="e">
        <f ca="1"/>
        <v>#N/A</v>
      </c>
      <c r="VVK538" s="22" t="e">
        <f ca="1"/>
        <v>#N/A</v>
      </c>
      <c r="VVL538" s="22" t="e">
        <f ca="1"/>
        <v>#N/A</v>
      </c>
      <c r="VVM538" s="22" t="e">
        <f ca="1"/>
        <v>#N/A</v>
      </c>
      <c r="VVN538" s="22" t="e">
        <f ca="1"/>
        <v>#N/A</v>
      </c>
      <c r="VVO538" s="22" t="e">
        <f ca="1"/>
        <v>#N/A</v>
      </c>
      <c r="VVP538" s="22" t="e">
        <f ca="1"/>
        <v>#N/A</v>
      </c>
      <c r="VVQ538" s="22" t="e">
        <f ca="1"/>
        <v>#N/A</v>
      </c>
      <c r="VVR538" s="22" t="e">
        <f ca="1"/>
        <v>#N/A</v>
      </c>
      <c r="VVS538" s="22" t="e">
        <f ca="1"/>
        <v>#N/A</v>
      </c>
      <c r="VVT538" s="22" t="e">
        <f ca="1"/>
        <v>#N/A</v>
      </c>
      <c r="VVU538" s="22" t="e">
        <f ca="1"/>
        <v>#N/A</v>
      </c>
      <c r="VVV538" s="22" t="e">
        <f ca="1"/>
        <v>#N/A</v>
      </c>
      <c r="VVW538" s="22" t="e">
        <f ca="1"/>
        <v>#N/A</v>
      </c>
      <c r="VVX538" s="22" t="e">
        <f ca="1"/>
        <v>#N/A</v>
      </c>
      <c r="VVY538" s="22" t="e">
        <f ca="1"/>
        <v>#N/A</v>
      </c>
      <c r="VVZ538" s="22" t="e">
        <f ca="1"/>
        <v>#N/A</v>
      </c>
      <c r="VWA538" s="22" t="e">
        <f ca="1"/>
        <v>#N/A</v>
      </c>
      <c r="VWB538" s="22" t="e">
        <f ca="1"/>
        <v>#N/A</v>
      </c>
      <c r="VWC538" s="22" t="e">
        <f ca="1"/>
        <v>#N/A</v>
      </c>
      <c r="VWD538" s="22" t="e">
        <f ca="1"/>
        <v>#N/A</v>
      </c>
      <c r="VWE538" s="22" t="e">
        <f ca="1"/>
        <v>#N/A</v>
      </c>
      <c r="VWF538" s="22" t="e">
        <f ca="1"/>
        <v>#N/A</v>
      </c>
      <c r="VWG538" s="22" t="e">
        <f ca="1"/>
        <v>#N/A</v>
      </c>
      <c r="VWH538" s="22" t="e">
        <f ca="1"/>
        <v>#N/A</v>
      </c>
      <c r="VWI538" s="22" t="e">
        <f ca="1"/>
        <v>#N/A</v>
      </c>
      <c r="VWJ538" s="22" t="e">
        <f ca="1"/>
        <v>#N/A</v>
      </c>
      <c r="VWK538" s="22" t="e">
        <f ca="1"/>
        <v>#N/A</v>
      </c>
      <c r="VWL538" s="22" t="e">
        <f ca="1"/>
        <v>#N/A</v>
      </c>
      <c r="VWM538" s="22" t="e">
        <f ca="1"/>
        <v>#N/A</v>
      </c>
      <c r="VWN538" s="22" t="e">
        <f ca="1"/>
        <v>#N/A</v>
      </c>
      <c r="VWO538" s="22" t="e">
        <f ca="1"/>
        <v>#N/A</v>
      </c>
      <c r="VWP538" s="22" t="e">
        <f ca="1"/>
        <v>#N/A</v>
      </c>
      <c r="VWQ538" s="22" t="e">
        <f ca="1"/>
        <v>#N/A</v>
      </c>
      <c r="VWR538" s="22" t="e">
        <f ca="1"/>
        <v>#N/A</v>
      </c>
      <c r="VWS538" s="22" t="e">
        <f ca="1"/>
        <v>#N/A</v>
      </c>
      <c r="VWT538" s="22" t="e">
        <f ca="1"/>
        <v>#N/A</v>
      </c>
      <c r="VWU538" s="22" t="e">
        <f ca="1"/>
        <v>#N/A</v>
      </c>
      <c r="VWV538" s="22" t="e">
        <f ca="1"/>
        <v>#N/A</v>
      </c>
      <c r="VWW538" s="22" t="e">
        <f ca="1"/>
        <v>#N/A</v>
      </c>
      <c r="VWX538" s="22" t="e">
        <f ca="1"/>
        <v>#N/A</v>
      </c>
      <c r="VWY538" s="22" t="e">
        <f ca="1"/>
        <v>#N/A</v>
      </c>
      <c r="VWZ538" s="22" t="e">
        <f ca="1"/>
        <v>#N/A</v>
      </c>
      <c r="VXA538" s="22" t="e">
        <f ca="1"/>
        <v>#N/A</v>
      </c>
      <c r="VXB538" s="22" t="e">
        <f ca="1"/>
        <v>#N/A</v>
      </c>
      <c r="VXC538" s="22" t="e">
        <f ca="1"/>
        <v>#N/A</v>
      </c>
      <c r="VXD538" s="22" t="e">
        <f ca="1"/>
        <v>#N/A</v>
      </c>
      <c r="VXE538" s="22" t="e">
        <f ca="1"/>
        <v>#N/A</v>
      </c>
      <c r="VXF538" s="22" t="e">
        <f ca="1"/>
        <v>#N/A</v>
      </c>
      <c r="VXG538" s="22" t="e">
        <f ca="1"/>
        <v>#N/A</v>
      </c>
      <c r="VXH538" s="22" t="e">
        <f ca="1"/>
        <v>#N/A</v>
      </c>
      <c r="VXI538" s="22" t="e">
        <f ca="1"/>
        <v>#N/A</v>
      </c>
      <c r="VXJ538" s="22" t="e">
        <f ca="1"/>
        <v>#N/A</v>
      </c>
      <c r="VXK538" s="22" t="e">
        <f ca="1"/>
        <v>#N/A</v>
      </c>
      <c r="VXL538" s="22" t="e">
        <f ca="1"/>
        <v>#N/A</v>
      </c>
      <c r="VXM538" s="22" t="e">
        <f ca="1"/>
        <v>#N/A</v>
      </c>
      <c r="VXN538" s="22" t="e">
        <f ca="1"/>
        <v>#N/A</v>
      </c>
      <c r="VXO538" s="22" t="e">
        <f ca="1"/>
        <v>#N/A</v>
      </c>
      <c r="VXP538" s="22" t="e">
        <f ca="1"/>
        <v>#N/A</v>
      </c>
      <c r="VXQ538" s="22" t="e">
        <f ca="1"/>
        <v>#N/A</v>
      </c>
      <c r="VXR538" s="22" t="e">
        <f ca="1"/>
        <v>#N/A</v>
      </c>
      <c r="VXS538" s="22" t="e">
        <f ca="1"/>
        <v>#N/A</v>
      </c>
      <c r="VXT538" s="22" t="e">
        <f ca="1"/>
        <v>#N/A</v>
      </c>
      <c r="VXU538" s="22" t="e">
        <f ca="1"/>
        <v>#N/A</v>
      </c>
      <c r="VXV538" s="22" t="e">
        <f ca="1"/>
        <v>#N/A</v>
      </c>
      <c r="VXW538" s="22" t="e">
        <f ca="1"/>
        <v>#N/A</v>
      </c>
      <c r="VXX538" s="22" t="e">
        <f ca="1"/>
        <v>#N/A</v>
      </c>
      <c r="VXY538" s="22" t="e">
        <f ca="1"/>
        <v>#N/A</v>
      </c>
      <c r="VXZ538" s="22" t="e">
        <f ca="1"/>
        <v>#N/A</v>
      </c>
      <c r="VYA538" s="22" t="e">
        <f ca="1"/>
        <v>#N/A</v>
      </c>
      <c r="VYB538" s="22" t="e">
        <f ca="1"/>
        <v>#N/A</v>
      </c>
      <c r="VYC538" s="22" t="e">
        <f ca="1"/>
        <v>#N/A</v>
      </c>
      <c r="VYD538" s="22" t="e">
        <f ca="1"/>
        <v>#N/A</v>
      </c>
      <c r="VYE538" s="22" t="e">
        <f ca="1"/>
        <v>#N/A</v>
      </c>
      <c r="VYF538" s="22" t="e">
        <f ca="1"/>
        <v>#N/A</v>
      </c>
      <c r="VYG538" s="22" t="e">
        <f ca="1"/>
        <v>#N/A</v>
      </c>
      <c r="VYH538" s="22" t="e">
        <f ca="1"/>
        <v>#N/A</v>
      </c>
      <c r="VYI538" s="22" t="e">
        <f ca="1"/>
        <v>#N/A</v>
      </c>
      <c r="VYJ538" s="22" t="e">
        <f ca="1"/>
        <v>#N/A</v>
      </c>
      <c r="VYK538" s="22" t="e">
        <f ca="1"/>
        <v>#N/A</v>
      </c>
      <c r="VYL538" s="22" t="e">
        <f ca="1"/>
        <v>#N/A</v>
      </c>
      <c r="VYM538" s="22" t="e">
        <f ca="1"/>
        <v>#N/A</v>
      </c>
      <c r="VYN538" s="22" t="e">
        <f ca="1"/>
        <v>#N/A</v>
      </c>
      <c r="VYO538" s="22" t="e">
        <f ca="1"/>
        <v>#N/A</v>
      </c>
      <c r="VYP538" s="22" t="e">
        <f ca="1"/>
        <v>#N/A</v>
      </c>
      <c r="VYQ538" s="22" t="e">
        <f ca="1"/>
        <v>#N/A</v>
      </c>
      <c r="VYR538" s="22" t="e">
        <f ca="1"/>
        <v>#N/A</v>
      </c>
      <c r="VYS538" s="22" t="e">
        <f ca="1"/>
        <v>#N/A</v>
      </c>
      <c r="VYT538" s="22" t="e">
        <f ca="1"/>
        <v>#N/A</v>
      </c>
      <c r="VYU538" s="22" t="e">
        <f ca="1"/>
        <v>#N/A</v>
      </c>
      <c r="VYV538" s="22" t="e">
        <f ca="1"/>
        <v>#N/A</v>
      </c>
      <c r="VYW538" s="22" t="e">
        <f ca="1"/>
        <v>#N/A</v>
      </c>
      <c r="VYX538" s="22" t="e">
        <f ca="1"/>
        <v>#N/A</v>
      </c>
      <c r="VYY538" s="22" t="e">
        <f ca="1"/>
        <v>#N/A</v>
      </c>
      <c r="VYZ538" s="22" t="e">
        <f ca="1"/>
        <v>#N/A</v>
      </c>
      <c r="VZA538" s="22" t="e">
        <f ca="1"/>
        <v>#N/A</v>
      </c>
      <c r="VZB538" s="22" t="e">
        <f ca="1"/>
        <v>#N/A</v>
      </c>
      <c r="VZC538" s="22" t="e">
        <f ca="1"/>
        <v>#N/A</v>
      </c>
      <c r="VZD538" s="22" t="e">
        <f ca="1"/>
        <v>#N/A</v>
      </c>
      <c r="VZE538" s="22" t="e">
        <f ca="1"/>
        <v>#N/A</v>
      </c>
      <c r="VZF538" s="22" t="e">
        <f ca="1"/>
        <v>#N/A</v>
      </c>
      <c r="VZG538" s="22" t="e">
        <f ca="1"/>
        <v>#N/A</v>
      </c>
      <c r="VZH538" s="22" t="e">
        <f ca="1"/>
        <v>#N/A</v>
      </c>
      <c r="VZI538" s="22" t="e">
        <f ca="1"/>
        <v>#N/A</v>
      </c>
      <c r="VZJ538" s="22" t="e">
        <f ca="1"/>
        <v>#N/A</v>
      </c>
      <c r="VZK538" s="22" t="e">
        <f ca="1"/>
        <v>#N/A</v>
      </c>
      <c r="VZL538" s="22" t="e">
        <f ca="1"/>
        <v>#N/A</v>
      </c>
      <c r="VZM538" s="22" t="e">
        <f ca="1"/>
        <v>#N/A</v>
      </c>
      <c r="VZN538" s="22" t="e">
        <f ca="1"/>
        <v>#N/A</v>
      </c>
      <c r="VZO538" s="22" t="e">
        <f ca="1"/>
        <v>#N/A</v>
      </c>
      <c r="VZP538" s="22" t="e">
        <f ca="1"/>
        <v>#N/A</v>
      </c>
      <c r="VZQ538" s="22" t="e">
        <f ca="1"/>
        <v>#N/A</v>
      </c>
      <c r="VZR538" s="22" t="e">
        <f ca="1"/>
        <v>#N/A</v>
      </c>
      <c r="VZS538" s="22" t="e">
        <f ca="1"/>
        <v>#N/A</v>
      </c>
      <c r="VZT538" s="22" t="e">
        <f ca="1"/>
        <v>#N/A</v>
      </c>
      <c r="VZU538" s="22" t="e">
        <f ca="1"/>
        <v>#N/A</v>
      </c>
      <c r="VZV538" s="22" t="e">
        <f ca="1"/>
        <v>#N/A</v>
      </c>
      <c r="VZW538" s="22" t="e">
        <f ca="1"/>
        <v>#N/A</v>
      </c>
      <c r="VZX538" s="22" t="e">
        <f ca="1"/>
        <v>#N/A</v>
      </c>
      <c r="VZY538" s="22" t="e">
        <f ca="1"/>
        <v>#N/A</v>
      </c>
      <c r="VZZ538" s="22" t="e">
        <f ca="1"/>
        <v>#N/A</v>
      </c>
      <c r="WAA538" s="22" t="e">
        <f ca="1"/>
        <v>#N/A</v>
      </c>
      <c r="WAB538" s="22" t="e">
        <f ca="1"/>
        <v>#N/A</v>
      </c>
      <c r="WAC538" s="22" t="e">
        <f ca="1"/>
        <v>#N/A</v>
      </c>
      <c r="WAD538" s="22" t="e">
        <f ca="1"/>
        <v>#N/A</v>
      </c>
      <c r="WAE538" s="22" t="e">
        <f ca="1"/>
        <v>#N/A</v>
      </c>
      <c r="WAF538" s="22" t="e">
        <f ca="1"/>
        <v>#N/A</v>
      </c>
      <c r="WAG538" s="22" t="e">
        <f ca="1"/>
        <v>#N/A</v>
      </c>
      <c r="WAH538" s="22" t="e">
        <f ca="1"/>
        <v>#N/A</v>
      </c>
      <c r="WAI538" s="22" t="e">
        <f ca="1"/>
        <v>#N/A</v>
      </c>
      <c r="WAJ538" s="22" t="e">
        <f ca="1"/>
        <v>#N/A</v>
      </c>
      <c r="WAK538" s="22" t="e">
        <f ca="1"/>
        <v>#N/A</v>
      </c>
      <c r="WAL538" s="22" t="e">
        <f ca="1"/>
        <v>#N/A</v>
      </c>
      <c r="WAM538" s="22" t="e">
        <f ca="1"/>
        <v>#N/A</v>
      </c>
      <c r="WAN538" s="22" t="e">
        <f ca="1"/>
        <v>#N/A</v>
      </c>
      <c r="WAO538" s="22" t="e">
        <f ca="1"/>
        <v>#N/A</v>
      </c>
      <c r="WAP538" s="22" t="e">
        <f ca="1"/>
        <v>#N/A</v>
      </c>
      <c r="WAQ538" s="22" t="e">
        <f ca="1"/>
        <v>#N/A</v>
      </c>
      <c r="WAR538" s="22" t="e">
        <f ca="1"/>
        <v>#N/A</v>
      </c>
      <c r="WAS538" s="22" t="e">
        <f ca="1"/>
        <v>#N/A</v>
      </c>
      <c r="WAT538" s="22" t="e">
        <f ca="1"/>
        <v>#N/A</v>
      </c>
      <c r="WAU538" s="22" t="e">
        <f ca="1"/>
        <v>#N/A</v>
      </c>
      <c r="WAV538" s="22" t="e">
        <f ca="1"/>
        <v>#N/A</v>
      </c>
      <c r="WAW538" s="22" t="e">
        <f ca="1"/>
        <v>#N/A</v>
      </c>
      <c r="WAX538" s="22" t="e">
        <f ca="1"/>
        <v>#N/A</v>
      </c>
      <c r="WAY538" s="22" t="e">
        <f ca="1"/>
        <v>#N/A</v>
      </c>
      <c r="WAZ538" s="22" t="e">
        <f ca="1"/>
        <v>#N/A</v>
      </c>
      <c r="WBA538" s="22" t="e">
        <f ca="1"/>
        <v>#N/A</v>
      </c>
      <c r="WBB538" s="22" t="e">
        <f ca="1"/>
        <v>#N/A</v>
      </c>
      <c r="WBC538" s="22" t="e">
        <f ca="1"/>
        <v>#N/A</v>
      </c>
      <c r="WBD538" s="22" t="e">
        <f ca="1"/>
        <v>#N/A</v>
      </c>
      <c r="WBE538" s="22" t="e">
        <f ca="1"/>
        <v>#N/A</v>
      </c>
      <c r="WBF538" s="22" t="e">
        <f ca="1"/>
        <v>#N/A</v>
      </c>
      <c r="WBG538" s="22" t="e">
        <f ca="1"/>
        <v>#N/A</v>
      </c>
      <c r="WBH538" s="22" t="e">
        <f ca="1"/>
        <v>#N/A</v>
      </c>
      <c r="WBI538" s="22" t="e">
        <f ca="1"/>
        <v>#N/A</v>
      </c>
      <c r="WBJ538" s="22" t="e">
        <f ca="1"/>
        <v>#N/A</v>
      </c>
      <c r="WBK538" s="22" t="e">
        <f ca="1"/>
        <v>#N/A</v>
      </c>
      <c r="WBL538" s="22" t="e">
        <f ca="1"/>
        <v>#N/A</v>
      </c>
      <c r="WBM538" s="22" t="e">
        <f ca="1"/>
        <v>#N/A</v>
      </c>
      <c r="WBN538" s="22" t="e">
        <f ca="1"/>
        <v>#N/A</v>
      </c>
      <c r="WBO538" s="22" t="e">
        <f ca="1"/>
        <v>#N/A</v>
      </c>
      <c r="WBP538" s="22" t="e">
        <f ca="1"/>
        <v>#N/A</v>
      </c>
      <c r="WBQ538" s="22" t="e">
        <f ca="1"/>
        <v>#N/A</v>
      </c>
      <c r="WBR538" s="22" t="e">
        <f ca="1"/>
        <v>#N/A</v>
      </c>
      <c r="WBS538" s="22" t="e">
        <f ca="1"/>
        <v>#N/A</v>
      </c>
      <c r="WBT538" s="22" t="e">
        <f ca="1"/>
        <v>#N/A</v>
      </c>
      <c r="WBU538" s="22" t="e">
        <f ca="1"/>
        <v>#N/A</v>
      </c>
      <c r="WBV538" s="22" t="e">
        <f ca="1"/>
        <v>#N/A</v>
      </c>
      <c r="WBW538" s="22" t="e">
        <f ca="1"/>
        <v>#N/A</v>
      </c>
      <c r="WBX538" s="22" t="e">
        <f ca="1"/>
        <v>#N/A</v>
      </c>
      <c r="WBY538" s="22" t="e">
        <f ca="1"/>
        <v>#N/A</v>
      </c>
      <c r="WBZ538" s="22" t="e">
        <f ca="1"/>
        <v>#N/A</v>
      </c>
      <c r="WCA538" s="22" t="e">
        <f ca="1"/>
        <v>#N/A</v>
      </c>
      <c r="WCB538" s="22" t="e">
        <f ca="1"/>
        <v>#N/A</v>
      </c>
      <c r="WCC538" s="22" t="e">
        <f ca="1"/>
        <v>#N/A</v>
      </c>
      <c r="WCD538" s="22" t="e">
        <f ca="1"/>
        <v>#N/A</v>
      </c>
      <c r="WCE538" s="22" t="e">
        <f ca="1"/>
        <v>#N/A</v>
      </c>
      <c r="WCF538" s="22" t="e">
        <f ca="1"/>
        <v>#N/A</v>
      </c>
      <c r="WCG538" s="22" t="e">
        <f ca="1"/>
        <v>#N/A</v>
      </c>
      <c r="WCH538" s="22" t="e">
        <f ca="1"/>
        <v>#N/A</v>
      </c>
      <c r="WCI538" s="22" t="e">
        <f ca="1"/>
        <v>#N/A</v>
      </c>
      <c r="WCJ538" s="22" t="e">
        <f ca="1"/>
        <v>#N/A</v>
      </c>
      <c r="WCK538" s="22" t="e">
        <f ca="1"/>
        <v>#N/A</v>
      </c>
      <c r="WCL538" s="22" t="e">
        <f ca="1"/>
        <v>#N/A</v>
      </c>
      <c r="WCM538" s="22" t="e">
        <f ca="1"/>
        <v>#N/A</v>
      </c>
      <c r="WCN538" s="22" t="e">
        <f ca="1"/>
        <v>#N/A</v>
      </c>
      <c r="WCO538" s="22" t="e">
        <f ca="1"/>
        <v>#N/A</v>
      </c>
      <c r="WCP538" s="22" t="e">
        <f ca="1"/>
        <v>#N/A</v>
      </c>
      <c r="WCQ538" s="22" t="e">
        <f ca="1"/>
        <v>#N/A</v>
      </c>
      <c r="WCR538" s="22" t="e">
        <f ca="1"/>
        <v>#N/A</v>
      </c>
      <c r="WCS538" s="22" t="e">
        <f ca="1"/>
        <v>#N/A</v>
      </c>
      <c r="WCT538" s="22" t="e">
        <f ca="1"/>
        <v>#N/A</v>
      </c>
      <c r="WCU538" s="22" t="e">
        <f ca="1"/>
        <v>#N/A</v>
      </c>
      <c r="WCV538" s="22" t="e">
        <f ca="1"/>
        <v>#N/A</v>
      </c>
      <c r="WCW538" s="22" t="e">
        <f ca="1"/>
        <v>#N/A</v>
      </c>
      <c r="WCX538" s="22" t="e">
        <f ca="1"/>
        <v>#N/A</v>
      </c>
      <c r="WCY538" s="22" t="e">
        <f ca="1"/>
        <v>#N/A</v>
      </c>
      <c r="WCZ538" s="22" t="e">
        <f ca="1"/>
        <v>#N/A</v>
      </c>
      <c r="WDA538" s="22" t="e">
        <f ca="1"/>
        <v>#N/A</v>
      </c>
      <c r="WDB538" s="22" t="e">
        <f ca="1"/>
        <v>#N/A</v>
      </c>
      <c r="WDC538" s="22" t="e">
        <f ca="1"/>
        <v>#N/A</v>
      </c>
      <c r="WDD538" s="22" t="e">
        <f ca="1"/>
        <v>#N/A</v>
      </c>
      <c r="WDE538" s="22" t="e">
        <f ca="1"/>
        <v>#N/A</v>
      </c>
      <c r="WDF538" s="22" t="e">
        <f ca="1"/>
        <v>#N/A</v>
      </c>
      <c r="WDG538" s="22" t="e">
        <f ca="1"/>
        <v>#N/A</v>
      </c>
      <c r="WDH538" s="22" t="e">
        <f ca="1"/>
        <v>#N/A</v>
      </c>
      <c r="WDI538" s="22" t="e">
        <f ca="1"/>
        <v>#N/A</v>
      </c>
      <c r="WDJ538" s="22" t="e">
        <f ca="1"/>
        <v>#N/A</v>
      </c>
      <c r="WDK538" s="22" t="e">
        <f ca="1"/>
        <v>#N/A</v>
      </c>
      <c r="WDL538" s="22" t="e">
        <f ca="1"/>
        <v>#N/A</v>
      </c>
      <c r="WDM538" s="22" t="e">
        <f ca="1"/>
        <v>#N/A</v>
      </c>
      <c r="WDN538" s="22" t="e">
        <f ca="1"/>
        <v>#N/A</v>
      </c>
      <c r="WDO538" s="22" t="e">
        <f ca="1"/>
        <v>#N/A</v>
      </c>
      <c r="WDP538" s="22" t="e">
        <f ca="1"/>
        <v>#N/A</v>
      </c>
      <c r="WDQ538" s="22" t="e">
        <f ca="1"/>
        <v>#N/A</v>
      </c>
      <c r="WDR538" s="22" t="e">
        <f ca="1"/>
        <v>#N/A</v>
      </c>
      <c r="WDS538" s="22" t="e">
        <f ca="1"/>
        <v>#N/A</v>
      </c>
      <c r="WDT538" s="22" t="e">
        <f ca="1"/>
        <v>#N/A</v>
      </c>
      <c r="WDU538" s="22" t="e">
        <f ca="1"/>
        <v>#N/A</v>
      </c>
      <c r="WDV538" s="22" t="e">
        <f ca="1"/>
        <v>#N/A</v>
      </c>
      <c r="WDW538" s="22" t="e">
        <f ca="1"/>
        <v>#N/A</v>
      </c>
      <c r="WDX538" s="22" t="e">
        <f ca="1"/>
        <v>#N/A</v>
      </c>
      <c r="WDY538" s="22" t="e">
        <f ca="1"/>
        <v>#N/A</v>
      </c>
      <c r="WDZ538" s="22" t="e">
        <f ca="1"/>
        <v>#N/A</v>
      </c>
      <c r="WEA538" s="22" t="e">
        <f ca="1"/>
        <v>#N/A</v>
      </c>
      <c r="WEB538" s="22" t="e">
        <f ca="1"/>
        <v>#N/A</v>
      </c>
      <c r="WEC538" s="22" t="e">
        <f ca="1"/>
        <v>#N/A</v>
      </c>
      <c r="WED538" s="22" t="e">
        <f ca="1"/>
        <v>#N/A</v>
      </c>
      <c r="WEE538" s="22" t="e">
        <f ca="1"/>
        <v>#N/A</v>
      </c>
      <c r="WEF538" s="22" t="e">
        <f ca="1"/>
        <v>#N/A</v>
      </c>
      <c r="WEG538" s="22" t="e">
        <f ca="1"/>
        <v>#N/A</v>
      </c>
      <c r="WEH538" s="22" t="e">
        <f ca="1"/>
        <v>#N/A</v>
      </c>
      <c r="WEI538" s="22" t="e">
        <f ca="1"/>
        <v>#N/A</v>
      </c>
      <c r="WEJ538" s="22" t="e">
        <f ca="1"/>
        <v>#N/A</v>
      </c>
      <c r="WEK538" s="22" t="e">
        <f ca="1"/>
        <v>#N/A</v>
      </c>
      <c r="WEL538" s="22" t="e">
        <f ca="1"/>
        <v>#N/A</v>
      </c>
      <c r="WEM538" s="22" t="e">
        <f ca="1"/>
        <v>#N/A</v>
      </c>
      <c r="WEN538" s="22" t="e">
        <f ca="1"/>
        <v>#N/A</v>
      </c>
      <c r="WEO538" s="22" t="e">
        <f ca="1"/>
        <v>#N/A</v>
      </c>
      <c r="WEP538" s="22" t="e">
        <f ca="1"/>
        <v>#N/A</v>
      </c>
      <c r="WEQ538" s="22" t="e">
        <f ca="1"/>
        <v>#N/A</v>
      </c>
      <c r="WER538" s="22" t="e">
        <f ca="1"/>
        <v>#N/A</v>
      </c>
      <c r="WES538" s="22" t="e">
        <f ca="1"/>
        <v>#N/A</v>
      </c>
      <c r="WET538" s="22" t="e">
        <f ca="1"/>
        <v>#N/A</v>
      </c>
      <c r="WEU538" s="22" t="e">
        <f ca="1"/>
        <v>#N/A</v>
      </c>
      <c r="WEV538" s="22" t="e">
        <f ca="1"/>
        <v>#N/A</v>
      </c>
      <c r="WEW538" s="22" t="e">
        <f ca="1"/>
        <v>#N/A</v>
      </c>
      <c r="WEX538" s="22" t="e">
        <f ca="1"/>
        <v>#N/A</v>
      </c>
      <c r="WEY538" s="22" t="e">
        <f ca="1"/>
        <v>#N/A</v>
      </c>
      <c r="WEZ538" s="22" t="e">
        <f ca="1"/>
        <v>#N/A</v>
      </c>
      <c r="WFA538" s="22" t="e">
        <f ca="1"/>
        <v>#N/A</v>
      </c>
      <c r="WFB538" s="22" t="e">
        <f ca="1"/>
        <v>#N/A</v>
      </c>
      <c r="WFC538" s="22" t="e">
        <f ca="1"/>
        <v>#N/A</v>
      </c>
      <c r="WFD538" s="22" t="e">
        <f ca="1"/>
        <v>#N/A</v>
      </c>
      <c r="WFE538" s="22" t="e">
        <f ca="1"/>
        <v>#N/A</v>
      </c>
      <c r="WFF538" s="22" t="e">
        <f ca="1"/>
        <v>#N/A</v>
      </c>
      <c r="WFG538" s="22" t="e">
        <f ca="1"/>
        <v>#N/A</v>
      </c>
      <c r="WFH538" s="22" t="e">
        <f ca="1"/>
        <v>#N/A</v>
      </c>
      <c r="WFI538" s="22" t="e">
        <f ca="1"/>
        <v>#N/A</v>
      </c>
      <c r="WFJ538" s="22" t="e">
        <f ca="1"/>
        <v>#N/A</v>
      </c>
      <c r="WFK538" s="22" t="e">
        <f ca="1"/>
        <v>#N/A</v>
      </c>
      <c r="WFL538" s="22" t="e">
        <f ca="1"/>
        <v>#N/A</v>
      </c>
      <c r="WFM538" s="22" t="e">
        <f ca="1"/>
        <v>#N/A</v>
      </c>
      <c r="WFN538" s="22" t="e">
        <f ca="1"/>
        <v>#N/A</v>
      </c>
      <c r="WFO538" s="22" t="e">
        <f ca="1"/>
        <v>#N/A</v>
      </c>
      <c r="WFP538" s="22" t="e">
        <f ca="1"/>
        <v>#N/A</v>
      </c>
      <c r="WFQ538" s="22" t="e">
        <f ca="1"/>
        <v>#N/A</v>
      </c>
      <c r="WFR538" s="22" t="e">
        <f ca="1"/>
        <v>#N/A</v>
      </c>
      <c r="WFS538" s="22" t="e">
        <f ca="1"/>
        <v>#N/A</v>
      </c>
      <c r="WFT538" s="22" t="e">
        <f ca="1"/>
        <v>#N/A</v>
      </c>
      <c r="WFU538" s="22" t="e">
        <f ca="1"/>
        <v>#N/A</v>
      </c>
      <c r="WFV538" s="22" t="e">
        <f ca="1"/>
        <v>#N/A</v>
      </c>
      <c r="WFW538" s="22" t="e">
        <f ca="1"/>
        <v>#N/A</v>
      </c>
      <c r="WFX538" s="22" t="e">
        <f ca="1"/>
        <v>#N/A</v>
      </c>
      <c r="WFY538" s="22" t="e">
        <f ca="1"/>
        <v>#N/A</v>
      </c>
      <c r="WFZ538" s="22" t="e">
        <f ca="1"/>
        <v>#N/A</v>
      </c>
      <c r="WGA538" s="22" t="e">
        <f ca="1"/>
        <v>#N/A</v>
      </c>
      <c r="WGB538" s="22" t="e">
        <f ca="1"/>
        <v>#N/A</v>
      </c>
      <c r="WGC538" s="22" t="e">
        <f ca="1"/>
        <v>#N/A</v>
      </c>
      <c r="WGD538" s="22" t="e">
        <f ca="1"/>
        <v>#N/A</v>
      </c>
      <c r="WGE538" s="22" t="e">
        <f ca="1"/>
        <v>#N/A</v>
      </c>
      <c r="WGF538" s="22" t="e">
        <f ca="1"/>
        <v>#N/A</v>
      </c>
      <c r="WGG538" s="22" t="e">
        <f ca="1"/>
        <v>#N/A</v>
      </c>
      <c r="WGH538" s="22" t="e">
        <f ca="1"/>
        <v>#N/A</v>
      </c>
      <c r="WGI538" s="22" t="e">
        <f ca="1"/>
        <v>#N/A</v>
      </c>
      <c r="WGJ538" s="22" t="e">
        <f ca="1"/>
        <v>#N/A</v>
      </c>
      <c r="WGK538" s="22" t="e">
        <f ca="1"/>
        <v>#N/A</v>
      </c>
      <c r="WGL538" s="22" t="e">
        <f ca="1"/>
        <v>#N/A</v>
      </c>
      <c r="WGM538" s="22" t="e">
        <f ca="1"/>
        <v>#N/A</v>
      </c>
      <c r="WGN538" s="22" t="e">
        <f ca="1"/>
        <v>#N/A</v>
      </c>
      <c r="WGO538" s="22" t="e">
        <f ca="1"/>
        <v>#N/A</v>
      </c>
      <c r="WGP538" s="22" t="e">
        <f ca="1"/>
        <v>#N/A</v>
      </c>
      <c r="WGQ538" s="22" t="e">
        <f ca="1"/>
        <v>#N/A</v>
      </c>
      <c r="WGR538" s="22" t="e">
        <f ca="1"/>
        <v>#N/A</v>
      </c>
      <c r="WGS538" s="22" t="e">
        <f ca="1"/>
        <v>#N/A</v>
      </c>
      <c r="WGT538" s="22" t="e">
        <f ca="1"/>
        <v>#N/A</v>
      </c>
      <c r="WGU538" s="22" t="e">
        <f ca="1"/>
        <v>#N/A</v>
      </c>
      <c r="WGV538" s="22" t="e">
        <f ca="1"/>
        <v>#N/A</v>
      </c>
      <c r="WGW538" s="22" t="e">
        <f ca="1"/>
        <v>#N/A</v>
      </c>
      <c r="WGX538" s="22" t="e">
        <f ca="1"/>
        <v>#N/A</v>
      </c>
      <c r="WGY538" s="22" t="e">
        <f ca="1"/>
        <v>#N/A</v>
      </c>
      <c r="WGZ538" s="22" t="e">
        <f ca="1"/>
        <v>#N/A</v>
      </c>
      <c r="WHA538" s="22" t="e">
        <f ca="1"/>
        <v>#N/A</v>
      </c>
      <c r="WHB538" s="22" t="e">
        <f ca="1"/>
        <v>#N/A</v>
      </c>
      <c r="WHC538" s="22" t="e">
        <f ca="1"/>
        <v>#N/A</v>
      </c>
      <c r="WHD538" s="22" t="e">
        <f ca="1"/>
        <v>#N/A</v>
      </c>
      <c r="WHE538" s="22" t="e">
        <f ca="1"/>
        <v>#N/A</v>
      </c>
      <c r="WHF538" s="22" t="e">
        <f ca="1"/>
        <v>#N/A</v>
      </c>
      <c r="WHG538" s="22" t="e">
        <f ca="1"/>
        <v>#N/A</v>
      </c>
      <c r="WHH538" s="22" t="e">
        <f ca="1"/>
        <v>#N/A</v>
      </c>
      <c r="WHI538" s="22" t="e">
        <f ca="1"/>
        <v>#N/A</v>
      </c>
      <c r="WHJ538" s="22" t="e">
        <f ca="1"/>
        <v>#N/A</v>
      </c>
      <c r="WHK538" s="22" t="e">
        <f ca="1"/>
        <v>#N/A</v>
      </c>
      <c r="WHL538" s="22" t="e">
        <f ca="1"/>
        <v>#N/A</v>
      </c>
      <c r="WHM538" s="22" t="e">
        <f ca="1"/>
        <v>#N/A</v>
      </c>
      <c r="WHN538" s="22" t="e">
        <f ca="1"/>
        <v>#N/A</v>
      </c>
      <c r="WHO538" s="22" t="e">
        <f ca="1"/>
        <v>#N/A</v>
      </c>
      <c r="WHP538" s="22" t="e">
        <f ca="1"/>
        <v>#N/A</v>
      </c>
      <c r="WHQ538" s="22" t="e">
        <f ca="1"/>
        <v>#N/A</v>
      </c>
      <c r="WHR538" s="22" t="e">
        <f ca="1"/>
        <v>#N/A</v>
      </c>
      <c r="WHS538" s="22" t="e">
        <f ca="1"/>
        <v>#N/A</v>
      </c>
      <c r="WHT538" s="22" t="e">
        <f ca="1"/>
        <v>#N/A</v>
      </c>
      <c r="WHU538" s="22" t="e">
        <f ca="1"/>
        <v>#N/A</v>
      </c>
      <c r="WHV538" s="22" t="e">
        <f ca="1"/>
        <v>#N/A</v>
      </c>
      <c r="WHW538" s="22" t="e">
        <f ca="1"/>
        <v>#N/A</v>
      </c>
      <c r="WHX538" s="22" t="e">
        <f ca="1"/>
        <v>#N/A</v>
      </c>
      <c r="WHY538" s="22" t="e">
        <f ca="1"/>
        <v>#N/A</v>
      </c>
      <c r="WHZ538" s="22" t="e">
        <f ca="1"/>
        <v>#N/A</v>
      </c>
      <c r="WIA538" s="22" t="e">
        <f ca="1"/>
        <v>#N/A</v>
      </c>
      <c r="WIB538" s="22" t="e">
        <f ca="1"/>
        <v>#N/A</v>
      </c>
      <c r="WIC538" s="22" t="e">
        <f ca="1"/>
        <v>#N/A</v>
      </c>
      <c r="WID538" s="22" t="e">
        <f ca="1"/>
        <v>#N/A</v>
      </c>
      <c r="WIE538" s="22" t="e">
        <f ca="1"/>
        <v>#N/A</v>
      </c>
      <c r="WIF538" s="22" t="e">
        <f ca="1"/>
        <v>#N/A</v>
      </c>
      <c r="WIG538" s="22" t="e">
        <f ca="1"/>
        <v>#N/A</v>
      </c>
      <c r="WIH538" s="22" t="e">
        <f ca="1"/>
        <v>#N/A</v>
      </c>
      <c r="WII538" s="22" t="e">
        <f ca="1"/>
        <v>#N/A</v>
      </c>
      <c r="WIJ538" s="22" t="e">
        <f ca="1"/>
        <v>#N/A</v>
      </c>
      <c r="WIK538" s="22" t="e">
        <f ca="1"/>
        <v>#N/A</v>
      </c>
      <c r="WIL538" s="22" t="e">
        <f ca="1"/>
        <v>#N/A</v>
      </c>
      <c r="WIM538" s="22" t="e">
        <f ca="1"/>
        <v>#N/A</v>
      </c>
      <c r="WIN538" s="22" t="e">
        <f ca="1"/>
        <v>#N/A</v>
      </c>
      <c r="WIO538" s="22" t="e">
        <f ca="1"/>
        <v>#N/A</v>
      </c>
      <c r="WIP538" s="22" t="e">
        <f ca="1"/>
        <v>#N/A</v>
      </c>
      <c r="WIQ538" s="22" t="e">
        <f ca="1"/>
        <v>#N/A</v>
      </c>
      <c r="WIR538" s="22" t="e">
        <f ca="1"/>
        <v>#N/A</v>
      </c>
      <c r="WIS538" s="22" t="e">
        <f ca="1"/>
        <v>#N/A</v>
      </c>
      <c r="WIT538" s="22" t="e">
        <f ca="1"/>
        <v>#N/A</v>
      </c>
      <c r="WIU538" s="22" t="e">
        <f ca="1"/>
        <v>#N/A</v>
      </c>
      <c r="WIV538" s="22" t="e">
        <f ca="1"/>
        <v>#N/A</v>
      </c>
      <c r="WIW538" s="22" t="e">
        <f ca="1"/>
        <v>#N/A</v>
      </c>
      <c r="WIX538" s="22" t="e">
        <f ca="1"/>
        <v>#N/A</v>
      </c>
      <c r="WIY538" s="22" t="e">
        <f ca="1"/>
        <v>#N/A</v>
      </c>
      <c r="WIZ538" s="22" t="e">
        <f ca="1"/>
        <v>#N/A</v>
      </c>
      <c r="WJA538" s="22" t="e">
        <f ca="1"/>
        <v>#N/A</v>
      </c>
      <c r="WJB538" s="22" t="e">
        <f ca="1"/>
        <v>#N/A</v>
      </c>
      <c r="WJC538" s="22" t="e">
        <f ca="1"/>
        <v>#N/A</v>
      </c>
      <c r="WJD538" s="22" t="e">
        <f ca="1"/>
        <v>#N/A</v>
      </c>
      <c r="WJE538" s="22" t="e">
        <f ca="1"/>
        <v>#N/A</v>
      </c>
      <c r="WJF538" s="22" t="e">
        <f ca="1"/>
        <v>#N/A</v>
      </c>
      <c r="WJG538" s="22" t="e">
        <f ca="1"/>
        <v>#N/A</v>
      </c>
      <c r="WJH538" s="22" t="e">
        <f ca="1"/>
        <v>#N/A</v>
      </c>
      <c r="WJI538" s="22" t="e">
        <f ca="1"/>
        <v>#N/A</v>
      </c>
      <c r="WJJ538" s="22" t="e">
        <f ca="1"/>
        <v>#N/A</v>
      </c>
      <c r="WJK538" s="22" t="e">
        <f ca="1"/>
        <v>#N/A</v>
      </c>
      <c r="WJL538" s="22" t="e">
        <f ca="1"/>
        <v>#N/A</v>
      </c>
      <c r="WJM538" s="22" t="e">
        <f ca="1"/>
        <v>#N/A</v>
      </c>
      <c r="WJN538" s="22" t="e">
        <f ca="1"/>
        <v>#N/A</v>
      </c>
      <c r="WJO538" s="22" t="e">
        <f ca="1"/>
        <v>#N/A</v>
      </c>
      <c r="WJP538" s="22" t="e">
        <f ca="1"/>
        <v>#N/A</v>
      </c>
      <c r="WJQ538" s="22" t="e">
        <f ca="1"/>
        <v>#N/A</v>
      </c>
      <c r="WJR538" s="22" t="e">
        <f ca="1"/>
        <v>#N/A</v>
      </c>
      <c r="WJS538" s="22" t="e">
        <f ca="1"/>
        <v>#N/A</v>
      </c>
      <c r="WJT538" s="22" t="e">
        <f ca="1"/>
        <v>#N/A</v>
      </c>
      <c r="WJU538" s="22" t="e">
        <f ca="1"/>
        <v>#N/A</v>
      </c>
      <c r="WJV538" s="22" t="e">
        <f ca="1"/>
        <v>#N/A</v>
      </c>
      <c r="WJW538" s="22" t="e">
        <f ca="1"/>
        <v>#N/A</v>
      </c>
      <c r="WJX538" s="22" t="e">
        <f ca="1"/>
        <v>#N/A</v>
      </c>
      <c r="WJY538" s="22" t="e">
        <f ca="1"/>
        <v>#N/A</v>
      </c>
      <c r="WJZ538" s="22" t="e">
        <f ca="1"/>
        <v>#N/A</v>
      </c>
      <c r="WKA538" s="22" t="e">
        <f ca="1"/>
        <v>#N/A</v>
      </c>
      <c r="WKB538" s="22" t="e">
        <f ca="1"/>
        <v>#N/A</v>
      </c>
      <c r="WKC538" s="22" t="e">
        <f ca="1"/>
        <v>#N/A</v>
      </c>
      <c r="WKD538" s="22" t="e">
        <f ca="1"/>
        <v>#N/A</v>
      </c>
      <c r="WKE538" s="22" t="e">
        <f ca="1"/>
        <v>#N/A</v>
      </c>
      <c r="WKF538" s="22" t="e">
        <f ca="1"/>
        <v>#N/A</v>
      </c>
      <c r="WKG538" s="22" t="e">
        <f ca="1"/>
        <v>#N/A</v>
      </c>
      <c r="WKH538" s="22" t="e">
        <f ca="1"/>
        <v>#N/A</v>
      </c>
      <c r="WKI538" s="22" t="e">
        <f ca="1"/>
        <v>#N/A</v>
      </c>
      <c r="WKJ538" s="22" t="e">
        <f ca="1"/>
        <v>#N/A</v>
      </c>
      <c r="WKK538" s="22" t="e">
        <f ca="1"/>
        <v>#N/A</v>
      </c>
      <c r="WKL538" s="22" t="e">
        <f ca="1"/>
        <v>#N/A</v>
      </c>
      <c r="WKM538" s="22" t="e">
        <f ca="1"/>
        <v>#N/A</v>
      </c>
      <c r="WKN538" s="22" t="e">
        <f ca="1"/>
        <v>#N/A</v>
      </c>
      <c r="WKO538" s="22" t="e">
        <f ca="1"/>
        <v>#N/A</v>
      </c>
      <c r="WKP538" s="22" t="e">
        <f ca="1"/>
        <v>#N/A</v>
      </c>
      <c r="WKQ538" s="22" t="e">
        <f ca="1"/>
        <v>#N/A</v>
      </c>
      <c r="WKR538" s="22" t="e">
        <f ca="1"/>
        <v>#N/A</v>
      </c>
      <c r="WKS538" s="22" t="e">
        <f ca="1"/>
        <v>#N/A</v>
      </c>
      <c r="WKT538" s="22" t="e">
        <f ca="1"/>
        <v>#N/A</v>
      </c>
      <c r="WKU538" s="22" t="e">
        <f ca="1"/>
        <v>#N/A</v>
      </c>
      <c r="WKV538" s="22" t="e">
        <f ca="1"/>
        <v>#N/A</v>
      </c>
      <c r="WKW538" s="22" t="e">
        <f ca="1"/>
        <v>#N/A</v>
      </c>
      <c r="WKX538" s="22" t="e">
        <f ca="1"/>
        <v>#N/A</v>
      </c>
      <c r="WKY538" s="22" t="e">
        <f ca="1"/>
        <v>#N/A</v>
      </c>
      <c r="WKZ538" s="22" t="e">
        <f ca="1"/>
        <v>#N/A</v>
      </c>
      <c r="WLA538" s="22" t="e">
        <f ca="1"/>
        <v>#N/A</v>
      </c>
      <c r="WLB538" s="22" t="e">
        <f ca="1"/>
        <v>#N/A</v>
      </c>
      <c r="WLC538" s="22" t="e">
        <f ca="1"/>
        <v>#N/A</v>
      </c>
      <c r="WLD538" s="22" t="e">
        <f ca="1"/>
        <v>#N/A</v>
      </c>
      <c r="WLE538" s="22" t="e">
        <f ca="1"/>
        <v>#N/A</v>
      </c>
      <c r="WLF538" s="22" t="e">
        <f ca="1"/>
        <v>#N/A</v>
      </c>
      <c r="WLG538" s="22" t="e">
        <f ca="1"/>
        <v>#N/A</v>
      </c>
      <c r="WLH538" s="22" t="e">
        <f ca="1"/>
        <v>#N/A</v>
      </c>
      <c r="WLI538" s="22" t="e">
        <f ca="1"/>
        <v>#N/A</v>
      </c>
      <c r="WLJ538" s="22" t="e">
        <f ca="1"/>
        <v>#N/A</v>
      </c>
      <c r="WLK538" s="22" t="e">
        <f ca="1"/>
        <v>#N/A</v>
      </c>
      <c r="WLL538" s="22" t="e">
        <f ca="1"/>
        <v>#N/A</v>
      </c>
      <c r="WLM538" s="22" t="e">
        <f ca="1"/>
        <v>#N/A</v>
      </c>
      <c r="WLN538" s="22" t="e">
        <f ca="1"/>
        <v>#N/A</v>
      </c>
      <c r="WLO538" s="22" t="e">
        <f ca="1"/>
        <v>#N/A</v>
      </c>
      <c r="WLP538" s="22" t="e">
        <f ca="1"/>
        <v>#N/A</v>
      </c>
      <c r="WLQ538" s="22" t="e">
        <f ca="1"/>
        <v>#N/A</v>
      </c>
      <c r="WLR538" s="22" t="e">
        <f ca="1"/>
        <v>#N/A</v>
      </c>
      <c r="WLS538" s="22" t="e">
        <f ca="1"/>
        <v>#N/A</v>
      </c>
      <c r="WLT538" s="22" t="e">
        <f ca="1"/>
        <v>#N/A</v>
      </c>
      <c r="WLU538" s="22" t="e">
        <f ca="1"/>
        <v>#N/A</v>
      </c>
      <c r="WLV538" s="22" t="e">
        <f ca="1"/>
        <v>#N/A</v>
      </c>
      <c r="WLW538" s="22" t="e">
        <f ca="1"/>
        <v>#N/A</v>
      </c>
      <c r="WLX538" s="22" t="e">
        <f ca="1"/>
        <v>#N/A</v>
      </c>
      <c r="WLY538" s="22" t="e">
        <f ca="1"/>
        <v>#N/A</v>
      </c>
      <c r="WLZ538" s="22" t="e">
        <f ca="1"/>
        <v>#N/A</v>
      </c>
      <c r="WMA538" s="22" t="e">
        <f ca="1"/>
        <v>#N/A</v>
      </c>
      <c r="WMB538" s="22" t="e">
        <f ca="1"/>
        <v>#N/A</v>
      </c>
      <c r="WMC538" s="22" t="e">
        <f ca="1"/>
        <v>#N/A</v>
      </c>
      <c r="WMD538" s="22" t="e">
        <f ca="1"/>
        <v>#N/A</v>
      </c>
      <c r="WME538" s="22" t="e">
        <f ca="1"/>
        <v>#N/A</v>
      </c>
      <c r="WMF538" s="22" t="e">
        <f ca="1"/>
        <v>#N/A</v>
      </c>
      <c r="WMG538" s="22" t="e">
        <f ca="1"/>
        <v>#N/A</v>
      </c>
      <c r="WMH538" s="22" t="e">
        <f ca="1"/>
        <v>#N/A</v>
      </c>
      <c r="WMI538" s="22" t="e">
        <f ca="1"/>
        <v>#N/A</v>
      </c>
      <c r="WMJ538" s="22" t="e">
        <f ca="1"/>
        <v>#N/A</v>
      </c>
      <c r="WMK538" s="22" t="e">
        <f ca="1"/>
        <v>#N/A</v>
      </c>
      <c r="WML538" s="22" t="e">
        <f ca="1"/>
        <v>#N/A</v>
      </c>
      <c r="WMM538" s="22" t="e">
        <f ca="1"/>
        <v>#N/A</v>
      </c>
      <c r="WMN538" s="22" t="e">
        <f ca="1"/>
        <v>#N/A</v>
      </c>
      <c r="WMO538" s="22" t="e">
        <f ca="1"/>
        <v>#N/A</v>
      </c>
      <c r="WMP538" s="22" t="e">
        <f ca="1"/>
        <v>#N/A</v>
      </c>
      <c r="WMQ538" s="22" t="e">
        <f ca="1"/>
        <v>#N/A</v>
      </c>
      <c r="WMR538" s="22" t="e">
        <f ca="1"/>
        <v>#N/A</v>
      </c>
      <c r="WMS538" s="22" t="e">
        <f ca="1"/>
        <v>#N/A</v>
      </c>
      <c r="WMT538" s="22" t="e">
        <f ca="1"/>
        <v>#N/A</v>
      </c>
      <c r="WMU538" s="22" t="e">
        <f ca="1"/>
        <v>#N/A</v>
      </c>
      <c r="WMV538" s="22" t="e">
        <f ca="1"/>
        <v>#N/A</v>
      </c>
      <c r="WMW538" s="22" t="e">
        <f ca="1"/>
        <v>#N/A</v>
      </c>
      <c r="WMX538" s="22" t="e">
        <f ca="1"/>
        <v>#N/A</v>
      </c>
      <c r="WMY538" s="22" t="e">
        <f ca="1"/>
        <v>#N/A</v>
      </c>
      <c r="WMZ538" s="22" t="e">
        <f ca="1"/>
        <v>#N/A</v>
      </c>
      <c r="WNA538" s="22" t="e">
        <f ca="1"/>
        <v>#N/A</v>
      </c>
      <c r="WNB538" s="22" t="e">
        <f ca="1"/>
        <v>#N/A</v>
      </c>
      <c r="WNC538" s="22" t="e">
        <f ca="1"/>
        <v>#N/A</v>
      </c>
      <c r="WND538" s="22" t="e">
        <f ca="1"/>
        <v>#N/A</v>
      </c>
      <c r="WNE538" s="22" t="e">
        <f ca="1"/>
        <v>#N/A</v>
      </c>
      <c r="WNF538" s="22" t="e">
        <f ca="1"/>
        <v>#N/A</v>
      </c>
      <c r="WNG538" s="22" t="e">
        <f ca="1"/>
        <v>#N/A</v>
      </c>
      <c r="WNH538" s="22" t="e">
        <f ca="1"/>
        <v>#N/A</v>
      </c>
      <c r="WNI538" s="22" t="e">
        <f ca="1"/>
        <v>#N/A</v>
      </c>
      <c r="WNJ538" s="22" t="e">
        <f ca="1"/>
        <v>#N/A</v>
      </c>
      <c r="WNK538" s="22" t="e">
        <f ca="1"/>
        <v>#N/A</v>
      </c>
      <c r="WNL538" s="22" t="e">
        <f ca="1"/>
        <v>#N/A</v>
      </c>
      <c r="WNM538" s="22" t="e">
        <f ca="1"/>
        <v>#N/A</v>
      </c>
      <c r="WNN538" s="22" t="e">
        <f ca="1"/>
        <v>#N/A</v>
      </c>
      <c r="WNO538" s="22" t="e">
        <f ca="1"/>
        <v>#N/A</v>
      </c>
      <c r="WNP538" s="22" t="e">
        <f ca="1"/>
        <v>#N/A</v>
      </c>
      <c r="WNQ538" s="22" t="e">
        <f ca="1"/>
        <v>#N/A</v>
      </c>
      <c r="WNR538" s="22" t="e">
        <f ca="1"/>
        <v>#N/A</v>
      </c>
      <c r="WNS538" s="22" t="e">
        <f ca="1"/>
        <v>#N/A</v>
      </c>
      <c r="WNT538" s="22" t="e">
        <f ca="1"/>
        <v>#N/A</v>
      </c>
      <c r="WNU538" s="22" t="e">
        <f ca="1"/>
        <v>#N/A</v>
      </c>
      <c r="WNV538" s="22" t="e">
        <f ca="1"/>
        <v>#N/A</v>
      </c>
      <c r="WNW538" s="22" t="e">
        <f ca="1"/>
        <v>#N/A</v>
      </c>
      <c r="WNX538" s="22" t="e">
        <f ca="1"/>
        <v>#N/A</v>
      </c>
      <c r="WNY538" s="22" t="e">
        <f ca="1"/>
        <v>#N/A</v>
      </c>
      <c r="WNZ538" s="22" t="e">
        <f ca="1"/>
        <v>#N/A</v>
      </c>
      <c r="WOA538" s="22" t="e">
        <f ca="1"/>
        <v>#N/A</v>
      </c>
      <c r="WOB538" s="22" t="e">
        <f ca="1"/>
        <v>#N/A</v>
      </c>
      <c r="WOC538" s="22" t="e">
        <f ca="1"/>
        <v>#N/A</v>
      </c>
      <c r="WOD538" s="22" t="e">
        <f ca="1"/>
        <v>#N/A</v>
      </c>
      <c r="WOE538" s="22" t="e">
        <f ca="1"/>
        <v>#N/A</v>
      </c>
      <c r="WOF538" s="22" t="e">
        <f ca="1"/>
        <v>#N/A</v>
      </c>
      <c r="WOG538" s="22" t="e">
        <f ca="1"/>
        <v>#N/A</v>
      </c>
      <c r="WOH538" s="22" t="e">
        <f ca="1"/>
        <v>#N/A</v>
      </c>
      <c r="WOI538" s="22" t="e">
        <f ca="1"/>
        <v>#N/A</v>
      </c>
      <c r="WOJ538" s="22" t="e">
        <f ca="1"/>
        <v>#N/A</v>
      </c>
      <c r="WOK538" s="22" t="e">
        <f ca="1"/>
        <v>#N/A</v>
      </c>
      <c r="WOL538" s="22" t="e">
        <f ca="1"/>
        <v>#N/A</v>
      </c>
      <c r="WOM538" s="22" t="e">
        <f ca="1"/>
        <v>#N/A</v>
      </c>
      <c r="WON538" s="22" t="e">
        <f ca="1"/>
        <v>#N/A</v>
      </c>
      <c r="WOO538" s="22" t="e">
        <f ca="1"/>
        <v>#N/A</v>
      </c>
      <c r="WOP538" s="22" t="e">
        <f ca="1"/>
        <v>#N/A</v>
      </c>
      <c r="WOQ538" s="22" t="e">
        <f ca="1"/>
        <v>#N/A</v>
      </c>
      <c r="WOR538" s="22" t="e">
        <f ca="1"/>
        <v>#N/A</v>
      </c>
      <c r="WOS538" s="22" t="e">
        <f ca="1"/>
        <v>#N/A</v>
      </c>
      <c r="WOT538" s="22" t="e">
        <f ca="1"/>
        <v>#N/A</v>
      </c>
      <c r="WOU538" s="22" t="e">
        <f ca="1"/>
        <v>#N/A</v>
      </c>
      <c r="WOV538" s="22" t="e">
        <f ca="1"/>
        <v>#N/A</v>
      </c>
      <c r="WOW538" s="22" t="e">
        <f ca="1"/>
        <v>#N/A</v>
      </c>
      <c r="WOX538" s="22" t="e">
        <f ca="1"/>
        <v>#N/A</v>
      </c>
      <c r="WOY538" s="22" t="e">
        <f ca="1"/>
        <v>#N/A</v>
      </c>
      <c r="WOZ538" s="22" t="e">
        <f ca="1"/>
        <v>#N/A</v>
      </c>
      <c r="WPA538" s="22" t="e">
        <f ca="1"/>
        <v>#N/A</v>
      </c>
      <c r="WPB538" s="22" t="e">
        <f ca="1"/>
        <v>#N/A</v>
      </c>
      <c r="WPC538" s="22" t="e">
        <f ca="1"/>
        <v>#N/A</v>
      </c>
      <c r="WPD538" s="22" t="e">
        <f ca="1"/>
        <v>#N/A</v>
      </c>
      <c r="WPE538" s="22" t="e">
        <f ca="1"/>
        <v>#N/A</v>
      </c>
      <c r="WPF538" s="22" t="e">
        <f ca="1"/>
        <v>#N/A</v>
      </c>
      <c r="WPG538" s="22" t="e">
        <f ca="1"/>
        <v>#N/A</v>
      </c>
      <c r="WPH538" s="22" t="e">
        <f ca="1"/>
        <v>#N/A</v>
      </c>
      <c r="WPI538" s="22" t="e">
        <f ca="1"/>
        <v>#N/A</v>
      </c>
      <c r="WPJ538" s="22" t="e">
        <f ca="1"/>
        <v>#N/A</v>
      </c>
      <c r="WPK538" s="22" t="e">
        <f ca="1"/>
        <v>#N/A</v>
      </c>
      <c r="WPL538" s="22" t="e">
        <f ca="1"/>
        <v>#N/A</v>
      </c>
      <c r="WPM538" s="22" t="e">
        <f ca="1"/>
        <v>#N/A</v>
      </c>
      <c r="WPN538" s="22" t="e">
        <f ca="1"/>
        <v>#N/A</v>
      </c>
      <c r="WPO538" s="22" t="e">
        <f ca="1"/>
        <v>#N/A</v>
      </c>
      <c r="WPP538" s="22" t="e">
        <f ca="1"/>
        <v>#N/A</v>
      </c>
      <c r="WPQ538" s="22" t="e">
        <f ca="1"/>
        <v>#N/A</v>
      </c>
      <c r="WPR538" s="22" t="e">
        <f ca="1"/>
        <v>#N/A</v>
      </c>
      <c r="WPS538" s="22" t="e">
        <f ca="1"/>
        <v>#N/A</v>
      </c>
      <c r="WPT538" s="22" t="e">
        <f ca="1"/>
        <v>#N/A</v>
      </c>
      <c r="WPU538" s="22" t="e">
        <f ca="1"/>
        <v>#N/A</v>
      </c>
      <c r="WPV538" s="22" t="e">
        <f ca="1"/>
        <v>#N/A</v>
      </c>
      <c r="WPW538" s="22" t="e">
        <f ca="1"/>
        <v>#N/A</v>
      </c>
      <c r="WPX538" s="22" t="e">
        <f ca="1"/>
        <v>#N/A</v>
      </c>
      <c r="WPY538" s="22" t="e">
        <f ca="1"/>
        <v>#N/A</v>
      </c>
      <c r="WPZ538" s="22" t="e">
        <f ca="1"/>
        <v>#N/A</v>
      </c>
      <c r="WQA538" s="22" t="e">
        <f ca="1"/>
        <v>#N/A</v>
      </c>
      <c r="WQB538" s="22" t="e">
        <f ca="1"/>
        <v>#N/A</v>
      </c>
      <c r="WQC538" s="22" t="e">
        <f ca="1"/>
        <v>#N/A</v>
      </c>
      <c r="WQD538" s="22" t="e">
        <f ca="1"/>
        <v>#N/A</v>
      </c>
      <c r="WQE538" s="22" t="e">
        <f ca="1"/>
        <v>#N/A</v>
      </c>
      <c r="WQF538" s="22" t="e">
        <f ca="1"/>
        <v>#N/A</v>
      </c>
      <c r="WQG538" s="22" t="e">
        <f ca="1"/>
        <v>#N/A</v>
      </c>
      <c r="WQH538" s="22" t="e">
        <f ca="1"/>
        <v>#N/A</v>
      </c>
      <c r="WQI538" s="22" t="e">
        <f ca="1"/>
        <v>#N/A</v>
      </c>
      <c r="WQJ538" s="22" t="e">
        <f ca="1"/>
        <v>#N/A</v>
      </c>
      <c r="WQK538" s="22" t="e">
        <f ca="1"/>
        <v>#N/A</v>
      </c>
      <c r="WQL538" s="22" t="e">
        <f ca="1"/>
        <v>#N/A</v>
      </c>
      <c r="WQM538" s="22" t="e">
        <f ca="1"/>
        <v>#N/A</v>
      </c>
      <c r="WQN538" s="22" t="e">
        <f ca="1"/>
        <v>#N/A</v>
      </c>
      <c r="WQO538" s="22" t="e">
        <f ca="1"/>
        <v>#N/A</v>
      </c>
      <c r="WQP538" s="22" t="e">
        <f ca="1"/>
        <v>#N/A</v>
      </c>
      <c r="WQQ538" s="22" t="e">
        <f ca="1"/>
        <v>#N/A</v>
      </c>
      <c r="WQR538" s="22" t="e">
        <f ca="1"/>
        <v>#N/A</v>
      </c>
      <c r="WQS538" s="22" t="e">
        <f ca="1"/>
        <v>#N/A</v>
      </c>
      <c r="WQT538" s="22" t="e">
        <f ca="1"/>
        <v>#N/A</v>
      </c>
      <c r="WQU538" s="22" t="e">
        <f ca="1"/>
        <v>#N/A</v>
      </c>
      <c r="WQV538" s="22" t="e">
        <f ca="1"/>
        <v>#N/A</v>
      </c>
      <c r="WQW538" s="22" t="e">
        <f ca="1"/>
        <v>#N/A</v>
      </c>
      <c r="WQX538" s="22" t="e">
        <f ca="1"/>
        <v>#N/A</v>
      </c>
      <c r="WQY538" s="22" t="e">
        <f ca="1"/>
        <v>#N/A</v>
      </c>
      <c r="WQZ538" s="22" t="e">
        <f ca="1"/>
        <v>#N/A</v>
      </c>
      <c r="WRA538" s="22" t="e">
        <f ca="1"/>
        <v>#N/A</v>
      </c>
      <c r="WRB538" s="22" t="e">
        <f ca="1"/>
        <v>#N/A</v>
      </c>
      <c r="WRC538" s="22" t="e">
        <f ca="1"/>
        <v>#N/A</v>
      </c>
      <c r="WRD538" s="22" t="e">
        <f ca="1"/>
        <v>#N/A</v>
      </c>
      <c r="WRE538" s="22" t="e">
        <f ca="1"/>
        <v>#N/A</v>
      </c>
      <c r="WRF538" s="22" t="e">
        <f ca="1"/>
        <v>#N/A</v>
      </c>
      <c r="WRG538" s="22" t="e">
        <f ca="1"/>
        <v>#N/A</v>
      </c>
      <c r="WRH538" s="22" t="e">
        <f ca="1"/>
        <v>#N/A</v>
      </c>
      <c r="WRI538" s="22" t="e">
        <f ca="1"/>
        <v>#N/A</v>
      </c>
      <c r="WRJ538" s="22" t="e">
        <f ca="1"/>
        <v>#N/A</v>
      </c>
      <c r="WRK538" s="22" t="e">
        <f ca="1"/>
        <v>#N/A</v>
      </c>
      <c r="WRL538" s="22" t="e">
        <f ca="1"/>
        <v>#N/A</v>
      </c>
      <c r="WRM538" s="22" t="e">
        <f ca="1"/>
        <v>#N/A</v>
      </c>
      <c r="WRN538" s="22" t="e">
        <f ca="1"/>
        <v>#N/A</v>
      </c>
      <c r="WRO538" s="22" t="e">
        <f ca="1"/>
        <v>#N/A</v>
      </c>
      <c r="WRP538" s="22" t="e">
        <f ca="1"/>
        <v>#N/A</v>
      </c>
      <c r="WRQ538" s="22" t="e">
        <f ca="1"/>
        <v>#N/A</v>
      </c>
      <c r="WRR538" s="22" t="e">
        <f ca="1"/>
        <v>#N/A</v>
      </c>
      <c r="WRS538" s="22" t="e">
        <f ca="1"/>
        <v>#N/A</v>
      </c>
      <c r="WRT538" s="22" t="e">
        <f ca="1"/>
        <v>#N/A</v>
      </c>
      <c r="WRU538" s="22" t="e">
        <f ca="1"/>
        <v>#N/A</v>
      </c>
      <c r="WRV538" s="22" t="e">
        <f ca="1"/>
        <v>#N/A</v>
      </c>
      <c r="WRW538" s="22" t="e">
        <f ca="1"/>
        <v>#N/A</v>
      </c>
      <c r="WRX538" s="22" t="e">
        <f ca="1"/>
        <v>#N/A</v>
      </c>
      <c r="WRY538" s="22" t="e">
        <f ca="1"/>
        <v>#N/A</v>
      </c>
      <c r="WRZ538" s="22" t="e">
        <f ca="1"/>
        <v>#N/A</v>
      </c>
      <c r="WSA538" s="22" t="e">
        <f ca="1"/>
        <v>#N/A</v>
      </c>
      <c r="WSB538" s="22" t="e">
        <f ca="1"/>
        <v>#N/A</v>
      </c>
      <c r="WSC538" s="22" t="e">
        <f ca="1"/>
        <v>#N/A</v>
      </c>
      <c r="WSD538" s="22" t="e">
        <f ca="1"/>
        <v>#N/A</v>
      </c>
      <c r="WSE538" s="22" t="e">
        <f ca="1"/>
        <v>#N/A</v>
      </c>
      <c r="WSF538" s="22" t="e">
        <f ca="1"/>
        <v>#N/A</v>
      </c>
      <c r="WSG538" s="22" t="e">
        <f ca="1"/>
        <v>#N/A</v>
      </c>
      <c r="WSH538" s="22" t="e">
        <f ca="1"/>
        <v>#N/A</v>
      </c>
      <c r="WSI538" s="22" t="e">
        <f ca="1"/>
        <v>#N/A</v>
      </c>
      <c r="WSJ538" s="22" t="e">
        <f ca="1"/>
        <v>#N/A</v>
      </c>
      <c r="WSK538" s="22" t="e">
        <f ca="1"/>
        <v>#N/A</v>
      </c>
      <c r="WSL538" s="22" t="e">
        <f ca="1"/>
        <v>#N/A</v>
      </c>
      <c r="WSM538" s="22" t="e">
        <f ca="1"/>
        <v>#N/A</v>
      </c>
      <c r="WSN538" s="22" t="e">
        <f ca="1"/>
        <v>#N/A</v>
      </c>
      <c r="WSO538" s="22" t="e">
        <f ca="1"/>
        <v>#N/A</v>
      </c>
      <c r="WSP538" s="22" t="e">
        <f ca="1"/>
        <v>#N/A</v>
      </c>
      <c r="WSQ538" s="22" t="e">
        <f ca="1"/>
        <v>#N/A</v>
      </c>
      <c r="WSR538" s="22" t="e">
        <f ca="1"/>
        <v>#N/A</v>
      </c>
      <c r="WSS538" s="22" t="e">
        <f ca="1"/>
        <v>#N/A</v>
      </c>
      <c r="WST538" s="22" t="e">
        <f ca="1"/>
        <v>#N/A</v>
      </c>
      <c r="WSU538" s="22" t="e">
        <f ca="1"/>
        <v>#N/A</v>
      </c>
      <c r="WSV538" s="22" t="e">
        <f ca="1"/>
        <v>#N/A</v>
      </c>
      <c r="WSW538" s="22" t="e">
        <f ca="1"/>
        <v>#N/A</v>
      </c>
      <c r="WSX538" s="22" t="e">
        <f ca="1"/>
        <v>#N/A</v>
      </c>
      <c r="WSY538" s="22" t="e">
        <f ca="1"/>
        <v>#N/A</v>
      </c>
      <c r="WSZ538" s="22" t="e">
        <f ca="1"/>
        <v>#N/A</v>
      </c>
      <c r="WTA538" s="22" t="e">
        <f ca="1"/>
        <v>#N/A</v>
      </c>
      <c r="WTB538" s="22" t="e">
        <f ca="1"/>
        <v>#N/A</v>
      </c>
      <c r="WTC538" s="22" t="e">
        <f ca="1"/>
        <v>#N/A</v>
      </c>
      <c r="WTD538" s="22" t="e">
        <f ca="1"/>
        <v>#N/A</v>
      </c>
      <c r="WTE538" s="22" t="e">
        <f ca="1"/>
        <v>#N/A</v>
      </c>
      <c r="WTF538" s="22" t="e">
        <f ca="1"/>
        <v>#N/A</v>
      </c>
      <c r="WTG538" s="22" t="e">
        <f ca="1"/>
        <v>#N/A</v>
      </c>
      <c r="WTH538" s="22" t="e">
        <f ca="1"/>
        <v>#N/A</v>
      </c>
      <c r="WTI538" s="22" t="e">
        <f ca="1"/>
        <v>#N/A</v>
      </c>
      <c r="WTJ538" s="22" t="e">
        <f ca="1"/>
        <v>#N/A</v>
      </c>
      <c r="WTK538" s="22" t="e">
        <f ca="1"/>
        <v>#N/A</v>
      </c>
      <c r="WTL538" s="22" t="e">
        <f ca="1"/>
        <v>#N/A</v>
      </c>
      <c r="WTM538" s="22" t="e">
        <f ca="1"/>
        <v>#N/A</v>
      </c>
      <c r="WTN538" s="22" t="e">
        <f ca="1"/>
        <v>#N/A</v>
      </c>
      <c r="WTO538" s="22" t="e">
        <f ca="1"/>
        <v>#N/A</v>
      </c>
      <c r="WTP538" s="22" t="e">
        <f ca="1"/>
        <v>#N/A</v>
      </c>
      <c r="WTQ538" s="22" t="e">
        <f ca="1"/>
        <v>#N/A</v>
      </c>
      <c r="WTR538" s="22" t="e">
        <f ca="1"/>
        <v>#N/A</v>
      </c>
      <c r="WTS538" s="22" t="e">
        <f ca="1"/>
        <v>#N/A</v>
      </c>
      <c r="WTT538" s="22" t="e">
        <f ca="1"/>
        <v>#N/A</v>
      </c>
      <c r="WTU538" s="22" t="e">
        <f ca="1"/>
        <v>#N/A</v>
      </c>
      <c r="WTV538" s="22" t="e">
        <f ca="1"/>
        <v>#N/A</v>
      </c>
      <c r="WTW538" s="22" t="e">
        <f ca="1"/>
        <v>#N/A</v>
      </c>
      <c r="WTX538" s="22" t="e">
        <f ca="1"/>
        <v>#N/A</v>
      </c>
      <c r="WTY538" s="22" t="e">
        <f ca="1"/>
        <v>#N/A</v>
      </c>
      <c r="WTZ538" s="22" t="e">
        <f ca="1"/>
        <v>#N/A</v>
      </c>
      <c r="WUA538" s="22" t="e">
        <f ca="1"/>
        <v>#N/A</v>
      </c>
      <c r="WUB538" s="22" t="e">
        <f ca="1"/>
        <v>#N/A</v>
      </c>
      <c r="WUC538" s="22" t="e">
        <f ca="1"/>
        <v>#N/A</v>
      </c>
      <c r="WUD538" s="22" t="e">
        <f ca="1"/>
        <v>#N/A</v>
      </c>
      <c r="WUE538" s="22" t="e">
        <f ca="1"/>
        <v>#N/A</v>
      </c>
      <c r="WUF538" s="22" t="e">
        <f ca="1"/>
        <v>#N/A</v>
      </c>
      <c r="WUG538" s="22" t="e">
        <f ca="1"/>
        <v>#N/A</v>
      </c>
      <c r="WUH538" s="22" t="e">
        <f ca="1"/>
        <v>#N/A</v>
      </c>
      <c r="WUI538" s="22" t="e">
        <f ca="1"/>
        <v>#N/A</v>
      </c>
      <c r="WUJ538" s="22" t="e">
        <f ca="1"/>
        <v>#N/A</v>
      </c>
      <c r="WUK538" s="22" t="e">
        <f ca="1"/>
        <v>#N/A</v>
      </c>
      <c r="WUL538" s="22" t="e">
        <f ca="1"/>
        <v>#N/A</v>
      </c>
      <c r="WUM538" s="22" t="e">
        <f ca="1"/>
        <v>#N/A</v>
      </c>
      <c r="WUN538" s="22" t="e">
        <f ca="1"/>
        <v>#N/A</v>
      </c>
      <c r="WUO538" s="22" t="e">
        <f ca="1"/>
        <v>#N/A</v>
      </c>
      <c r="WUP538" s="22" t="e">
        <f ca="1"/>
        <v>#N/A</v>
      </c>
      <c r="WUQ538" s="22" t="e">
        <f ca="1"/>
        <v>#N/A</v>
      </c>
      <c r="WUR538" s="22" t="e">
        <f ca="1"/>
        <v>#N/A</v>
      </c>
      <c r="WUS538" s="22" t="e">
        <f ca="1"/>
        <v>#N/A</v>
      </c>
      <c r="WUT538" s="22" t="e">
        <f ca="1"/>
        <v>#N/A</v>
      </c>
      <c r="WUU538" s="22" t="e">
        <f ca="1"/>
        <v>#N/A</v>
      </c>
      <c r="WUV538" s="22" t="e">
        <f ca="1"/>
        <v>#N/A</v>
      </c>
      <c r="WUW538" s="22" t="e">
        <f ca="1"/>
        <v>#N/A</v>
      </c>
      <c r="WUX538" s="22" t="e">
        <f ca="1"/>
        <v>#N/A</v>
      </c>
      <c r="WUY538" s="22" t="e">
        <f ca="1"/>
        <v>#N/A</v>
      </c>
      <c r="WUZ538" s="22" t="e">
        <f ca="1"/>
        <v>#N/A</v>
      </c>
      <c r="WVA538" s="22" t="e">
        <f ca="1"/>
        <v>#N/A</v>
      </c>
      <c r="WVB538" s="22" t="e">
        <f ca="1"/>
        <v>#N/A</v>
      </c>
      <c r="WVC538" s="22" t="e">
        <f ca="1"/>
        <v>#N/A</v>
      </c>
      <c r="WVD538" s="22" t="e">
        <f ca="1"/>
        <v>#N/A</v>
      </c>
      <c r="WVE538" s="22" t="e">
        <f ca="1"/>
        <v>#N/A</v>
      </c>
      <c r="WVF538" s="22" t="e">
        <f ca="1"/>
        <v>#N/A</v>
      </c>
      <c r="WVG538" s="22" t="e">
        <f ca="1"/>
        <v>#N/A</v>
      </c>
      <c r="WVH538" s="22" t="e">
        <f ca="1"/>
        <v>#N/A</v>
      </c>
      <c r="WVI538" s="22" t="e">
        <f ca="1"/>
        <v>#N/A</v>
      </c>
      <c r="WVJ538" s="22" t="e">
        <f ca="1"/>
        <v>#N/A</v>
      </c>
      <c r="WVK538" s="22" t="e">
        <f ca="1"/>
        <v>#N/A</v>
      </c>
      <c r="WVL538" s="22" t="e">
        <f ca="1"/>
        <v>#N/A</v>
      </c>
      <c r="WVM538" s="22" t="e">
        <f ca="1"/>
        <v>#N/A</v>
      </c>
      <c r="WVN538" s="22" t="e">
        <f ca="1"/>
        <v>#N/A</v>
      </c>
      <c r="WVO538" s="22" t="e">
        <f ca="1"/>
        <v>#N/A</v>
      </c>
      <c r="WVP538" s="22" t="e">
        <f ca="1"/>
        <v>#N/A</v>
      </c>
      <c r="WVQ538" s="22" t="e">
        <f ca="1"/>
        <v>#N/A</v>
      </c>
      <c r="WVR538" s="22" t="e">
        <f ca="1"/>
        <v>#N/A</v>
      </c>
      <c r="WVS538" s="22" t="e">
        <f ca="1"/>
        <v>#N/A</v>
      </c>
      <c r="WVT538" s="22" t="e">
        <f ca="1"/>
        <v>#N/A</v>
      </c>
      <c r="WVU538" s="22" t="e">
        <f ca="1"/>
        <v>#N/A</v>
      </c>
      <c r="WVV538" s="22" t="e">
        <f ca="1"/>
        <v>#N/A</v>
      </c>
      <c r="WVW538" s="22" t="e">
        <f ca="1"/>
        <v>#N/A</v>
      </c>
      <c r="WVX538" s="22" t="e">
        <f ca="1"/>
        <v>#N/A</v>
      </c>
      <c r="WVY538" s="22" t="e">
        <f ca="1"/>
        <v>#N/A</v>
      </c>
      <c r="WVZ538" s="22" t="e">
        <f ca="1"/>
        <v>#N/A</v>
      </c>
      <c r="WWA538" s="22" t="e">
        <f ca="1"/>
        <v>#N/A</v>
      </c>
      <c r="WWB538" s="22" t="e">
        <f ca="1"/>
        <v>#N/A</v>
      </c>
      <c r="WWC538" s="22" t="e">
        <f ca="1"/>
        <v>#N/A</v>
      </c>
      <c r="WWD538" s="22" t="e">
        <f ca="1"/>
        <v>#N/A</v>
      </c>
      <c r="WWE538" s="22" t="e">
        <f ca="1"/>
        <v>#N/A</v>
      </c>
      <c r="WWF538" s="22" t="e">
        <f ca="1"/>
        <v>#N/A</v>
      </c>
      <c r="WWG538" s="22" t="e">
        <f ca="1"/>
        <v>#N/A</v>
      </c>
      <c r="WWH538" s="22" t="e">
        <f ca="1"/>
        <v>#N/A</v>
      </c>
      <c r="WWI538" s="22" t="e">
        <f ca="1"/>
        <v>#N/A</v>
      </c>
      <c r="WWJ538" s="22" t="e">
        <f ca="1"/>
        <v>#N/A</v>
      </c>
      <c r="WWK538" s="22" t="e">
        <f ca="1"/>
        <v>#N/A</v>
      </c>
      <c r="WWL538" s="22" t="e">
        <f ca="1"/>
        <v>#N/A</v>
      </c>
      <c r="WWM538" s="22" t="e">
        <f ca="1"/>
        <v>#N/A</v>
      </c>
      <c r="WWN538" s="22" t="e">
        <f ca="1"/>
        <v>#N/A</v>
      </c>
      <c r="WWO538" s="22" t="e">
        <f ca="1"/>
        <v>#N/A</v>
      </c>
      <c r="WWP538" s="22" t="e">
        <f ca="1"/>
        <v>#N/A</v>
      </c>
      <c r="WWQ538" s="22" t="e">
        <f ca="1"/>
        <v>#N/A</v>
      </c>
      <c r="WWR538" s="22" t="e">
        <f ca="1"/>
        <v>#N/A</v>
      </c>
      <c r="WWS538" s="22" t="e">
        <f ca="1"/>
        <v>#N/A</v>
      </c>
      <c r="WWT538" s="22" t="e">
        <f ca="1"/>
        <v>#N/A</v>
      </c>
      <c r="WWU538" s="22" t="e">
        <f ca="1"/>
        <v>#N/A</v>
      </c>
      <c r="WWV538" s="22" t="e">
        <f ca="1"/>
        <v>#N/A</v>
      </c>
      <c r="WWW538" s="22" t="e">
        <f ca="1"/>
        <v>#N/A</v>
      </c>
      <c r="WWX538" s="22" t="e">
        <f ca="1"/>
        <v>#N/A</v>
      </c>
      <c r="WWY538" s="22" t="e">
        <f ca="1"/>
        <v>#N/A</v>
      </c>
      <c r="WWZ538" s="22" t="e">
        <f ca="1"/>
        <v>#N/A</v>
      </c>
      <c r="WXA538" s="22" t="e">
        <f ca="1"/>
        <v>#N/A</v>
      </c>
      <c r="WXB538" s="22" t="e">
        <f ca="1"/>
        <v>#N/A</v>
      </c>
      <c r="WXC538" s="22" t="e">
        <f ca="1"/>
        <v>#N/A</v>
      </c>
      <c r="WXD538" s="22" t="e">
        <f ca="1"/>
        <v>#N/A</v>
      </c>
      <c r="WXE538" s="22" t="e">
        <f ca="1"/>
        <v>#N/A</v>
      </c>
      <c r="WXF538" s="22" t="e">
        <f ca="1"/>
        <v>#N/A</v>
      </c>
      <c r="WXG538" s="22" t="e">
        <f ca="1"/>
        <v>#N/A</v>
      </c>
      <c r="WXH538" s="22" t="e">
        <f ca="1"/>
        <v>#N/A</v>
      </c>
      <c r="WXI538" s="22" t="e">
        <f ca="1"/>
        <v>#N/A</v>
      </c>
      <c r="WXJ538" s="22" t="e">
        <f ca="1"/>
        <v>#N/A</v>
      </c>
      <c r="WXK538" s="22" t="e">
        <f ca="1"/>
        <v>#N/A</v>
      </c>
      <c r="WXL538" s="22" t="e">
        <f ca="1"/>
        <v>#N/A</v>
      </c>
      <c r="WXM538" s="22" t="e">
        <f ca="1"/>
        <v>#N/A</v>
      </c>
      <c r="WXN538" s="22" t="e">
        <f ca="1"/>
        <v>#N/A</v>
      </c>
      <c r="WXO538" s="22" t="e">
        <f ca="1"/>
        <v>#N/A</v>
      </c>
      <c r="WXP538" s="22" t="e">
        <f ca="1"/>
        <v>#N/A</v>
      </c>
      <c r="WXQ538" s="22" t="e">
        <f ca="1"/>
        <v>#N/A</v>
      </c>
      <c r="WXR538" s="22" t="e">
        <f ca="1"/>
        <v>#N/A</v>
      </c>
      <c r="WXS538" s="22" t="e">
        <f ca="1"/>
        <v>#N/A</v>
      </c>
      <c r="WXT538" s="22" t="e">
        <f ca="1"/>
        <v>#N/A</v>
      </c>
      <c r="WXU538" s="22" t="e">
        <f ca="1"/>
        <v>#N/A</v>
      </c>
      <c r="WXV538" s="22" t="e">
        <f ca="1"/>
        <v>#N/A</v>
      </c>
      <c r="WXW538" s="22" t="e">
        <f ca="1"/>
        <v>#N/A</v>
      </c>
      <c r="WXX538" s="22" t="e">
        <f ca="1"/>
        <v>#N/A</v>
      </c>
      <c r="WXY538" s="22" t="e">
        <f ca="1"/>
        <v>#N/A</v>
      </c>
      <c r="WXZ538" s="22" t="e">
        <f ca="1"/>
        <v>#N/A</v>
      </c>
      <c r="WYA538" s="22" t="e">
        <f ca="1"/>
        <v>#N/A</v>
      </c>
      <c r="WYB538" s="22" t="e">
        <f ca="1"/>
        <v>#N/A</v>
      </c>
      <c r="WYC538" s="22" t="e">
        <f ca="1"/>
        <v>#N/A</v>
      </c>
      <c r="WYD538" s="22" t="e">
        <f ca="1"/>
        <v>#N/A</v>
      </c>
      <c r="WYE538" s="22" t="e">
        <f ca="1"/>
        <v>#N/A</v>
      </c>
      <c r="WYF538" s="22" t="e">
        <f ca="1"/>
        <v>#N/A</v>
      </c>
      <c r="WYG538" s="22" t="e">
        <f ca="1"/>
        <v>#N/A</v>
      </c>
      <c r="WYH538" s="22" t="e">
        <f ca="1"/>
        <v>#N/A</v>
      </c>
      <c r="WYI538" s="22" t="e">
        <f ca="1"/>
        <v>#N/A</v>
      </c>
      <c r="WYJ538" s="22" t="e">
        <f ca="1"/>
        <v>#N/A</v>
      </c>
      <c r="WYK538" s="22" t="e">
        <f ca="1"/>
        <v>#N/A</v>
      </c>
      <c r="WYL538" s="22" t="e">
        <f ca="1"/>
        <v>#N/A</v>
      </c>
      <c r="WYM538" s="22" t="e">
        <f ca="1"/>
        <v>#N/A</v>
      </c>
      <c r="WYN538" s="22" t="e">
        <f ca="1"/>
        <v>#N/A</v>
      </c>
      <c r="WYO538" s="22" t="e">
        <f ca="1"/>
        <v>#N/A</v>
      </c>
      <c r="WYP538" s="22" t="e">
        <f ca="1"/>
        <v>#N/A</v>
      </c>
      <c r="WYQ538" s="22" t="e">
        <f ca="1"/>
        <v>#N/A</v>
      </c>
      <c r="WYR538" s="22" t="e">
        <f ca="1"/>
        <v>#N/A</v>
      </c>
      <c r="WYS538" s="22" t="e">
        <f ca="1"/>
        <v>#N/A</v>
      </c>
      <c r="WYT538" s="22" t="e">
        <f ca="1"/>
        <v>#N/A</v>
      </c>
      <c r="WYU538" s="22" t="e">
        <f ca="1"/>
        <v>#N/A</v>
      </c>
      <c r="WYV538" s="22" t="e">
        <f ca="1"/>
        <v>#N/A</v>
      </c>
      <c r="WYW538" s="22" t="e">
        <f ca="1"/>
        <v>#N/A</v>
      </c>
      <c r="WYX538" s="22" t="e">
        <f ca="1"/>
        <v>#N/A</v>
      </c>
      <c r="WYY538" s="22" t="e">
        <f ca="1"/>
        <v>#N/A</v>
      </c>
      <c r="WYZ538" s="22" t="e">
        <f ca="1"/>
        <v>#N/A</v>
      </c>
      <c r="WZA538" s="22" t="e">
        <f ca="1"/>
        <v>#N/A</v>
      </c>
      <c r="WZB538" s="22" t="e">
        <f ca="1"/>
        <v>#N/A</v>
      </c>
      <c r="WZC538" s="22" t="e">
        <f ca="1"/>
        <v>#N/A</v>
      </c>
      <c r="WZD538" s="22" t="e">
        <f ca="1"/>
        <v>#N/A</v>
      </c>
      <c r="WZE538" s="22" t="e">
        <f ca="1"/>
        <v>#N/A</v>
      </c>
      <c r="WZF538" s="22" t="e">
        <f ca="1"/>
        <v>#N/A</v>
      </c>
      <c r="WZG538" s="22" t="e">
        <f ca="1"/>
        <v>#N/A</v>
      </c>
      <c r="WZH538" s="22" t="e">
        <f ca="1"/>
        <v>#N/A</v>
      </c>
      <c r="WZI538" s="22" t="e">
        <f ca="1"/>
        <v>#N/A</v>
      </c>
      <c r="WZJ538" s="22" t="e">
        <f ca="1"/>
        <v>#N/A</v>
      </c>
      <c r="WZK538" s="22" t="e">
        <f ca="1"/>
        <v>#N/A</v>
      </c>
      <c r="WZL538" s="22" t="e">
        <f ca="1"/>
        <v>#N/A</v>
      </c>
      <c r="WZM538" s="22" t="e">
        <f ca="1"/>
        <v>#N/A</v>
      </c>
      <c r="WZN538" s="22" t="e">
        <f ca="1"/>
        <v>#N/A</v>
      </c>
      <c r="WZO538" s="22" t="e">
        <f ca="1"/>
        <v>#N/A</v>
      </c>
      <c r="WZP538" s="22" t="e">
        <f ca="1"/>
        <v>#N/A</v>
      </c>
      <c r="WZQ538" s="22" t="e">
        <f ca="1"/>
        <v>#N/A</v>
      </c>
      <c r="WZR538" s="22" t="e">
        <f ca="1"/>
        <v>#N/A</v>
      </c>
      <c r="WZS538" s="22" t="e">
        <f ca="1"/>
        <v>#N/A</v>
      </c>
      <c r="WZT538" s="22" t="e">
        <f ca="1"/>
        <v>#N/A</v>
      </c>
      <c r="WZU538" s="22" t="e">
        <f ca="1"/>
        <v>#N/A</v>
      </c>
      <c r="WZV538" s="22" t="e">
        <f ca="1"/>
        <v>#N/A</v>
      </c>
      <c r="WZW538" s="22" t="e">
        <f ca="1"/>
        <v>#N/A</v>
      </c>
      <c r="WZX538" s="22" t="e">
        <f ca="1"/>
        <v>#N/A</v>
      </c>
      <c r="WZY538" s="22" t="e">
        <f ca="1"/>
        <v>#N/A</v>
      </c>
      <c r="WZZ538" s="22" t="e">
        <f ca="1"/>
        <v>#N/A</v>
      </c>
      <c r="XAA538" s="22" t="e">
        <f ca="1"/>
        <v>#N/A</v>
      </c>
      <c r="XAB538" s="22" t="e">
        <f ca="1"/>
        <v>#N/A</v>
      </c>
      <c r="XAC538" s="22" t="e">
        <f ca="1"/>
        <v>#N/A</v>
      </c>
      <c r="XAD538" s="22" t="e">
        <f ca="1"/>
        <v>#N/A</v>
      </c>
      <c r="XAE538" s="22" t="e">
        <f ca="1"/>
        <v>#N/A</v>
      </c>
      <c r="XAF538" s="22" t="e">
        <f ca="1"/>
        <v>#N/A</v>
      </c>
      <c r="XAG538" s="22" t="e">
        <f ca="1"/>
        <v>#N/A</v>
      </c>
      <c r="XAH538" s="22" t="e">
        <f ca="1"/>
        <v>#N/A</v>
      </c>
      <c r="XAI538" s="22" t="e">
        <f ca="1"/>
        <v>#N/A</v>
      </c>
      <c r="XAJ538" s="22" t="e">
        <f ca="1"/>
        <v>#N/A</v>
      </c>
      <c r="XAK538" s="22" t="e">
        <f ca="1"/>
        <v>#N/A</v>
      </c>
      <c r="XAL538" s="22" t="e">
        <f ca="1"/>
        <v>#N/A</v>
      </c>
      <c r="XAM538" s="22" t="e">
        <f ca="1"/>
        <v>#N/A</v>
      </c>
      <c r="XAN538" s="22" t="e">
        <f ca="1"/>
        <v>#N/A</v>
      </c>
      <c r="XAO538" s="22" t="e">
        <f ca="1"/>
        <v>#N/A</v>
      </c>
      <c r="XAP538" s="22" t="e">
        <f ca="1"/>
        <v>#N/A</v>
      </c>
      <c r="XAQ538" s="22" t="e">
        <f ca="1"/>
        <v>#N/A</v>
      </c>
      <c r="XAR538" s="22" t="e">
        <f ca="1"/>
        <v>#N/A</v>
      </c>
      <c r="XAS538" s="22" t="e">
        <f ca="1"/>
        <v>#N/A</v>
      </c>
      <c r="XAT538" s="22" t="e">
        <f ca="1"/>
        <v>#N/A</v>
      </c>
      <c r="XAU538" s="22" t="e">
        <f ca="1"/>
        <v>#N/A</v>
      </c>
      <c r="XAV538" s="22" t="e">
        <f ca="1"/>
        <v>#N/A</v>
      </c>
      <c r="XAW538" s="22" t="e">
        <f ca="1"/>
        <v>#N/A</v>
      </c>
      <c r="XAX538" s="22" t="e">
        <f ca="1"/>
        <v>#N/A</v>
      </c>
      <c r="XAY538" s="22" t="e">
        <f ca="1"/>
        <v>#N/A</v>
      </c>
      <c r="XAZ538" s="22" t="e">
        <f ca="1"/>
        <v>#N/A</v>
      </c>
      <c r="XBA538" s="22" t="e">
        <f ca="1"/>
        <v>#N/A</v>
      </c>
      <c r="XBB538" s="22" t="e">
        <f ca="1"/>
        <v>#N/A</v>
      </c>
      <c r="XBC538" s="22" t="e">
        <f ca="1"/>
        <v>#N/A</v>
      </c>
      <c r="XBD538" s="22" t="e">
        <f ca="1"/>
        <v>#N/A</v>
      </c>
      <c r="XBE538" s="22" t="e">
        <f ca="1"/>
        <v>#N/A</v>
      </c>
      <c r="XBF538" s="22" t="e">
        <f ca="1"/>
        <v>#N/A</v>
      </c>
      <c r="XBG538" s="22" t="e">
        <f ca="1"/>
        <v>#N/A</v>
      </c>
      <c r="XBH538" s="22" t="e">
        <f ca="1"/>
        <v>#N/A</v>
      </c>
      <c r="XBI538" s="22" t="e">
        <f ca="1"/>
        <v>#N/A</v>
      </c>
      <c r="XBJ538" s="22" t="e">
        <f ca="1"/>
        <v>#N/A</v>
      </c>
      <c r="XBK538" s="22" t="e">
        <f ca="1"/>
        <v>#N/A</v>
      </c>
      <c r="XBL538" s="22" t="e">
        <f ca="1"/>
        <v>#N/A</v>
      </c>
      <c r="XBM538" s="22" t="e">
        <f ca="1"/>
        <v>#N/A</v>
      </c>
      <c r="XBN538" s="22" t="e">
        <f ca="1"/>
        <v>#N/A</v>
      </c>
      <c r="XBO538" s="22" t="e">
        <f ca="1"/>
        <v>#N/A</v>
      </c>
      <c r="XBP538" s="22" t="e">
        <f ca="1"/>
        <v>#N/A</v>
      </c>
      <c r="XBQ538" s="22" t="e">
        <f ca="1"/>
        <v>#N/A</v>
      </c>
      <c r="XBR538" s="22" t="e">
        <f ca="1"/>
        <v>#N/A</v>
      </c>
      <c r="XBS538" s="22" t="e">
        <f ca="1"/>
        <v>#N/A</v>
      </c>
      <c r="XBT538" s="22" t="e">
        <f ca="1"/>
        <v>#N/A</v>
      </c>
      <c r="XBU538" s="22" t="e">
        <f ca="1"/>
        <v>#N/A</v>
      </c>
      <c r="XBV538" s="22" t="e">
        <f ca="1"/>
        <v>#N/A</v>
      </c>
      <c r="XBW538" s="22" t="e">
        <f ca="1"/>
        <v>#N/A</v>
      </c>
      <c r="XBX538" s="22" t="e">
        <f ca="1"/>
        <v>#N/A</v>
      </c>
      <c r="XBY538" s="22" t="e">
        <f ca="1"/>
        <v>#N/A</v>
      </c>
      <c r="XBZ538" s="22" t="e">
        <f ca="1"/>
        <v>#N/A</v>
      </c>
      <c r="XCA538" s="22" t="e">
        <f ca="1"/>
        <v>#N/A</v>
      </c>
      <c r="XCB538" s="22" t="e">
        <f ca="1"/>
        <v>#N/A</v>
      </c>
      <c r="XCC538" s="22" t="e">
        <f ca="1"/>
        <v>#N/A</v>
      </c>
      <c r="XCD538" s="22" t="e">
        <f ca="1"/>
        <v>#N/A</v>
      </c>
      <c r="XCE538" s="22" t="e">
        <f ca="1"/>
        <v>#N/A</v>
      </c>
      <c r="XCF538" s="22" t="e">
        <f ca="1"/>
        <v>#N/A</v>
      </c>
      <c r="XCG538" s="22" t="e">
        <f ca="1"/>
        <v>#N/A</v>
      </c>
      <c r="XCH538" s="22" t="e">
        <f ca="1"/>
        <v>#N/A</v>
      </c>
      <c r="XCI538" s="22" t="e">
        <f ca="1"/>
        <v>#N/A</v>
      </c>
      <c r="XCJ538" s="22" t="e">
        <f ca="1"/>
        <v>#N/A</v>
      </c>
      <c r="XCK538" s="22" t="e">
        <f ca="1"/>
        <v>#N/A</v>
      </c>
      <c r="XCL538" s="22" t="e">
        <f ca="1"/>
        <v>#N/A</v>
      </c>
      <c r="XCM538" s="22" t="e">
        <f ca="1"/>
        <v>#N/A</v>
      </c>
      <c r="XCN538" s="22" t="e">
        <f ca="1"/>
        <v>#N/A</v>
      </c>
      <c r="XCO538" s="22" t="e">
        <f ca="1"/>
        <v>#N/A</v>
      </c>
      <c r="XCP538" s="22" t="e">
        <f ca="1"/>
        <v>#N/A</v>
      </c>
      <c r="XCQ538" s="22" t="e">
        <f ca="1"/>
        <v>#N/A</v>
      </c>
      <c r="XCR538" s="22" t="e">
        <f ca="1"/>
        <v>#N/A</v>
      </c>
      <c r="XCS538" s="22" t="e">
        <f ca="1"/>
        <v>#N/A</v>
      </c>
      <c r="XCT538" s="22" t="e">
        <f ca="1"/>
        <v>#N/A</v>
      </c>
      <c r="XCU538" s="22" t="e">
        <f ca="1"/>
        <v>#N/A</v>
      </c>
      <c r="XCV538" s="22" t="e">
        <f ca="1"/>
        <v>#N/A</v>
      </c>
      <c r="XCW538" s="22" t="e">
        <f ca="1"/>
        <v>#N/A</v>
      </c>
      <c r="XCX538" s="22" t="e">
        <f ca="1"/>
        <v>#N/A</v>
      </c>
      <c r="XCY538" s="22" t="e">
        <f ca="1"/>
        <v>#N/A</v>
      </c>
      <c r="XCZ538" s="22" t="e">
        <f ca="1"/>
        <v>#N/A</v>
      </c>
      <c r="XDA538" s="22" t="e">
        <f ca="1"/>
        <v>#N/A</v>
      </c>
      <c r="XDB538" s="22" t="e">
        <f ca="1"/>
        <v>#N/A</v>
      </c>
      <c r="XDC538" s="22" t="e">
        <f ca="1"/>
        <v>#N/A</v>
      </c>
      <c r="XDD538" s="22" t="e">
        <f ca="1"/>
        <v>#N/A</v>
      </c>
      <c r="XDE538" s="22" t="e">
        <f ca="1"/>
        <v>#N/A</v>
      </c>
      <c r="XDF538" s="22" t="e">
        <f ca="1"/>
        <v>#N/A</v>
      </c>
      <c r="XDG538" s="22" t="e">
        <f ca="1"/>
        <v>#N/A</v>
      </c>
      <c r="XDH538" s="22" t="e">
        <f ca="1"/>
        <v>#N/A</v>
      </c>
      <c r="XDI538" s="22" t="e">
        <f ca="1"/>
        <v>#N/A</v>
      </c>
      <c r="XDJ538" s="22" t="e">
        <f ca="1"/>
        <v>#N/A</v>
      </c>
      <c r="XDK538" s="22" t="e">
        <f ca="1"/>
        <v>#N/A</v>
      </c>
      <c r="XDL538" s="22" t="e">
        <f ca="1"/>
        <v>#N/A</v>
      </c>
      <c r="XDM538" s="22" t="e">
        <f ca="1"/>
        <v>#N/A</v>
      </c>
      <c r="XDN538" s="22" t="e">
        <f ca="1"/>
        <v>#N/A</v>
      </c>
      <c r="XDO538" s="22" t="e">
        <f ca="1"/>
        <v>#N/A</v>
      </c>
      <c r="XDP538" s="22" t="e">
        <f ca="1"/>
        <v>#N/A</v>
      </c>
      <c r="XDQ538" s="22" t="e">
        <f ca="1"/>
        <v>#N/A</v>
      </c>
      <c r="XDR538" s="22" t="e">
        <f ca="1"/>
        <v>#N/A</v>
      </c>
      <c r="XDS538" s="22" t="e">
        <f ca="1"/>
        <v>#N/A</v>
      </c>
      <c r="XDT538" s="22" t="e">
        <f ca="1"/>
        <v>#N/A</v>
      </c>
      <c r="XDU538" s="22" t="e">
        <f ca="1"/>
        <v>#N/A</v>
      </c>
      <c r="XDV538" s="22" t="e">
        <f ca="1"/>
        <v>#N/A</v>
      </c>
      <c r="XDW538" s="22" t="e">
        <f ca="1"/>
        <v>#N/A</v>
      </c>
      <c r="XDX538" s="22" t="e">
        <f ca="1"/>
        <v>#N/A</v>
      </c>
      <c r="XDY538" s="22" t="e">
        <f ca="1"/>
        <v>#N/A</v>
      </c>
      <c r="XDZ538" s="22" t="e">
        <f ca="1"/>
        <v>#N/A</v>
      </c>
      <c r="XEA538" s="22" t="e">
        <f ca="1"/>
        <v>#N/A</v>
      </c>
      <c r="XEB538" s="22" t="e">
        <f ca="1"/>
        <v>#N/A</v>
      </c>
      <c r="XEC538" s="22" t="e">
        <f ca="1"/>
        <v>#N/A</v>
      </c>
      <c r="XED538" s="22" t="e">
        <f ca="1"/>
        <v>#N/A</v>
      </c>
      <c r="XEE538" s="22" t="e">
        <f ca="1"/>
        <v>#N/A</v>
      </c>
      <c r="XEF538" s="22" t="e">
        <f ca="1"/>
        <v>#N/A</v>
      </c>
      <c r="XEG538" s="22" t="e">
        <f ca="1"/>
        <v>#N/A</v>
      </c>
      <c r="XEH538" s="22" t="e">
        <f ca="1"/>
        <v>#N/A</v>
      </c>
      <c r="XEI538" s="22" t="e">
        <f ca="1"/>
        <v>#N/A</v>
      </c>
      <c r="XEJ538" s="22" t="e">
        <f ca="1"/>
        <v>#N/A</v>
      </c>
      <c r="XEK538" s="22" t="e">
        <f ca="1"/>
        <v>#N/A</v>
      </c>
      <c r="XEL538" s="22" t="e">
        <f ca="1"/>
        <v>#N/A</v>
      </c>
      <c r="XEM538" s="22" t="e">
        <f ca="1"/>
        <v>#N/A</v>
      </c>
      <c r="XEN538" s="22" t="e">
        <f ca="1"/>
        <v>#N/A</v>
      </c>
      <c r="XEO538" s="22" t="e">
        <f ca="1"/>
        <v>#N/A</v>
      </c>
      <c r="XEP538" s="22" t="e">
        <f ca="1"/>
        <v>#N/A</v>
      </c>
      <c r="XEQ538" s="22" t="e">
        <f ca="1"/>
        <v>#N/A</v>
      </c>
      <c r="XER538" s="22" t="e">
        <f ca="1"/>
        <v>#N/A</v>
      </c>
      <c r="XES538" s="22" t="e">
        <f ca="1"/>
        <v>#N/A</v>
      </c>
      <c r="XET538" s="22" t="e">
        <f ca="1"/>
        <v>#N/A</v>
      </c>
      <c r="XEU538" s="22" t="e">
        <f ca="1"/>
        <v>#N/A</v>
      </c>
      <c r="XEV538" s="22" t="e">
        <f ca="1"/>
        <v>#N/A</v>
      </c>
      <c r="XEW538" s="22" t="e">
        <f ca="1"/>
        <v>#N/A</v>
      </c>
      <c r="XEX538" s="22" t="e">
        <f ca="1"/>
        <v>#N/A</v>
      </c>
      <c r="XEY538" s="22" t="e">
        <f ca="1"/>
        <v>#N/A</v>
      </c>
      <c r="XEZ538" s="22" t="e">
        <f ca="1"/>
        <v>#N/A</v>
      </c>
      <c r="XFA538" s="22" t="e">
        <f ca="1"/>
        <v>#N/A</v>
      </c>
      <c r="XFB538" s="22" t="e">
        <f ca="1"/>
        <v>#N/A</v>
      </c>
      <c r="XFC538" s="22" t="e">
        <f ca="1"/>
        <v>#N/A</v>
      </c>
      <c r="XFD538" s="22" t="e">
        <f ca="1"/>
        <v>#N/A</v>
      </c>
    </row>
  </sheetData>
  <conditionalFormatting sqref="H87:BQ87">
    <cfRule type="cellIs" dxfId="0" priority="1" operator="greaterThan">
      <formula>0</formula>
    </cfRule>
  </conditionalFormatting>
  <pageMargins left="0.7" right="0.7" top="0.75" bottom="0.75" header="0.3" footer="0.3"/>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4F9FA-0CC1-4B53-8D87-C94AA71BE493}">
  <dimension ref="A1:C27"/>
  <sheetViews>
    <sheetView workbookViewId="0">
      <selection activeCell="C14" sqref="C14"/>
    </sheetView>
  </sheetViews>
  <sheetFormatPr defaultRowHeight="12"/>
  <cols>
    <col min="1" max="1" width="14.7109375" bestFit="1" customWidth="1"/>
    <col min="3" max="3" width="14.28515625" bestFit="1" customWidth="1"/>
  </cols>
  <sheetData>
    <row r="1" spans="1:3">
      <c r="A1" s="320" t="s">
        <v>44</v>
      </c>
      <c r="B1" s="320" t="s">
        <v>1346</v>
      </c>
      <c r="C1" s="320" t="s">
        <v>31</v>
      </c>
    </row>
    <row r="2" spans="1:3">
      <c r="A2" s="320" t="s">
        <v>65</v>
      </c>
      <c r="B2" s="320" cm="1">
        <f t="array" ref="B2">_xlfn.XLOOKUP(A2,_xlfn.ANCHORARRAY(Model!$C$218),Model!$BQ$218:$BQ$243)</f>
        <v>2449005.2141477996</v>
      </c>
      <c r="C2" s="320" cm="1">
        <f t="array" ref="C2">_xlfn.XLOOKUP(A2,_xlfn.ANCHORARRAY(Model!$C$127),Model!$BO$127:$BO$152)</f>
        <v>314</v>
      </c>
    </row>
    <row r="3" spans="1:3">
      <c r="A3" s="320" t="s">
        <v>84</v>
      </c>
      <c r="B3" s="320" cm="1">
        <f t="array" ref="B3">_xlfn.XLOOKUP(A3,_xlfn.ANCHORARRAY(Model!$C$218),Model!$BQ$218:$BQ$243)</f>
        <v>1470725.6639634257</v>
      </c>
      <c r="C3" s="320" cm="1">
        <f t="array" ref="C3">_xlfn.XLOOKUP(A3,_xlfn.ANCHORARRAY(Model!$C$127),Model!$BO$127:$BO$152)</f>
        <v>189</v>
      </c>
    </row>
    <row r="4" spans="1:3">
      <c r="A4" s="320" t="s">
        <v>86</v>
      </c>
      <c r="B4" s="320" cm="1">
        <f t="array" ref="B4">_xlfn.XLOOKUP(A4,_xlfn.ANCHORARRAY(Model!$C$218),Model!$BQ$218:$BQ$243)</f>
        <v>1278666.0470440511</v>
      </c>
      <c r="C4" s="320" cm="1">
        <f t="array" ref="C4">_xlfn.XLOOKUP(A4,_xlfn.ANCHORARRAY(Model!$C$127),Model!$BO$127:$BO$152)</f>
        <v>170</v>
      </c>
    </row>
    <row r="5" spans="1:3">
      <c r="A5" s="320" t="s">
        <v>63</v>
      </c>
      <c r="B5" s="320" cm="1">
        <f t="array" ref="B5">_xlfn.XLOOKUP(A5,_xlfn.ANCHORARRAY(Model!$C$218),Model!$BQ$218:$BQ$243)</f>
        <v>508483.32949861552</v>
      </c>
      <c r="C5" s="320" cm="1">
        <f t="array" ref="C5">_xlfn.XLOOKUP(A5,_xlfn.ANCHORARRAY(Model!$C$127),Model!$BO$127:$BO$152)</f>
        <v>68</v>
      </c>
    </row>
    <row r="6" spans="1:3">
      <c r="A6" s="320" t="s">
        <v>88</v>
      </c>
      <c r="B6" s="320" cm="1">
        <f t="array" ref="B6">_xlfn.XLOOKUP(A6,_xlfn.ANCHORARRAY(Model!$C$218),Model!$BQ$218:$BQ$243)</f>
        <v>417908.49363862653</v>
      </c>
      <c r="C6" s="320" cm="1">
        <f t="array" ref="C6">_xlfn.XLOOKUP(A6,_xlfn.ANCHORARRAY(Model!$C$127),Model!$BO$127:$BO$152)</f>
        <v>57</v>
      </c>
    </row>
    <row r="7" spans="1:3">
      <c r="A7" s="320" t="s">
        <v>78</v>
      </c>
      <c r="B7" s="320" cm="1">
        <f t="array" ref="B7">_xlfn.XLOOKUP(A7,_xlfn.ANCHORARRAY(Model!$C$218),Model!$BQ$218:$BQ$243)</f>
        <v>416192.20349476667</v>
      </c>
      <c r="C7" s="320" cm="1">
        <f t="array" ref="C7">_xlfn.XLOOKUP(A7,_xlfn.ANCHORARRAY(Model!$C$127),Model!$BO$127:$BO$152)</f>
        <v>53</v>
      </c>
    </row>
    <row r="8" spans="1:3">
      <c r="A8" s="320" t="s">
        <v>51</v>
      </c>
      <c r="B8" s="320" cm="1">
        <f t="array" ref="B8">_xlfn.XLOOKUP(A8,_xlfn.ANCHORARRAY(Model!$C$218),Model!$BQ$218:$BQ$243)</f>
        <v>243401.63833922381</v>
      </c>
      <c r="C8" s="320" cm="1">
        <f t="array" ref="C8">_xlfn.XLOOKUP(A8,_xlfn.ANCHORARRAY(Model!$C$127),Model!$BO$127:$BO$152)</f>
        <v>33</v>
      </c>
    </row>
    <row r="9" spans="1:3">
      <c r="A9" s="320" t="s">
        <v>92</v>
      </c>
      <c r="B9" s="320" cm="1">
        <f t="array" ref="B9">_xlfn.XLOOKUP(A9,_xlfn.ANCHORARRAY(Model!$C$218),Model!$BQ$218:$BQ$243)</f>
        <v>212157.57292005263</v>
      </c>
      <c r="C9" s="320" cm="1">
        <f t="array" ref="C9">_xlfn.XLOOKUP(A9,_xlfn.ANCHORARRAY(Model!$C$127),Model!$BO$127:$BO$152)</f>
        <v>28</v>
      </c>
    </row>
    <row r="10" spans="1:3">
      <c r="A10" s="320" t="s">
        <v>55</v>
      </c>
      <c r="B10" s="320" cm="1">
        <f t="array" ref="B10">_xlfn.XLOOKUP(A10,_xlfn.ANCHORARRAY(Model!$C$218),Model!$BQ$218:$BQ$243)</f>
        <v>190514.38833261846</v>
      </c>
      <c r="C10" s="320" cm="1">
        <f t="array" ref="C10">_xlfn.XLOOKUP(A10,_xlfn.ANCHORARRAY(Model!$C$127),Model!$BO$127:$BO$152)</f>
        <v>25</v>
      </c>
    </row>
    <row r="11" spans="1:3">
      <c r="A11" s="320" t="s">
        <v>66</v>
      </c>
      <c r="B11" s="320" cm="1">
        <f t="array" ref="B11">_xlfn.XLOOKUP(A11,_xlfn.ANCHORARRAY(Model!$C$218),Model!$BQ$218:$BQ$243)</f>
        <v>139442.27807010448</v>
      </c>
      <c r="C11" s="320" cm="1">
        <f t="array" ref="C11">_xlfn.XLOOKUP(A11,_xlfn.ANCHORARRAY(Model!$C$127),Model!$BO$127:$BO$152)</f>
        <v>19</v>
      </c>
    </row>
    <row r="12" spans="1:3">
      <c r="A12" s="320" t="s">
        <v>68</v>
      </c>
      <c r="B12" s="320" cm="1">
        <f t="array" ref="B12">_xlfn.XLOOKUP(A12,_xlfn.ANCHORARRAY(Model!$C$218),Model!$BQ$218:$BQ$243)</f>
        <v>99717.995713587356</v>
      </c>
      <c r="C12" s="320" cm="1">
        <f t="array" ref="C12">_xlfn.XLOOKUP(A12,_xlfn.ANCHORARRAY(Model!$C$127),Model!$BO$127:$BO$152)</f>
        <v>10</v>
      </c>
    </row>
    <row r="13" spans="1:3">
      <c r="A13" s="320" t="s">
        <v>82</v>
      </c>
      <c r="B13" s="320" cm="1">
        <f t="array" ref="B13">_xlfn.XLOOKUP(A13,_xlfn.ANCHORARRAY(Model!$C$218),Model!$BQ$218:$BQ$243)</f>
        <v>72287.202971808758</v>
      </c>
      <c r="C13" s="320" cm="1">
        <f t="array" ref="C13">_xlfn.XLOOKUP(A13,_xlfn.ANCHORARRAY(Model!$C$127),Model!$BO$127:$BO$152)</f>
        <v>10</v>
      </c>
    </row>
    <row r="14" spans="1:3">
      <c r="A14" s="320" t="s">
        <v>29</v>
      </c>
      <c r="B14" s="320" cm="1">
        <f t="array" ref="B14">_xlfn.XLOOKUP(A14,_xlfn.ANCHORARRAY(Model!$C$218),Model!$BQ$218:$BQ$243)</f>
        <v>74749.506429366549</v>
      </c>
      <c r="C14" s="320" cm="1">
        <f t="array" ref="C14">_xlfn.XLOOKUP(A14,_xlfn.ANCHORARRAY(Model!$C$127),Model!$BO$127:$BO$152)</f>
        <v>9</v>
      </c>
    </row>
    <row r="15" spans="1:3">
      <c r="A15" s="320" t="s">
        <v>76</v>
      </c>
      <c r="B15" s="320" cm="1">
        <f t="array" ref="B15">_xlfn.XLOOKUP(A15,_xlfn.ANCHORARRAY(Model!$C$218),Model!$BQ$218:$BQ$243)</f>
        <v>61380.005705052419</v>
      </c>
      <c r="C15" s="320" cm="1">
        <f t="array" ref="C15">_xlfn.XLOOKUP(A15,_xlfn.ANCHORARRAY(Model!$C$127),Model!$BO$127:$BO$152)</f>
        <v>9</v>
      </c>
    </row>
    <row r="16" spans="1:3">
      <c r="A16" s="320" t="s">
        <v>93</v>
      </c>
      <c r="B16" s="320" cm="1">
        <f t="array" ref="B16">_xlfn.XLOOKUP(A16,_xlfn.ANCHORARRAY(Model!$C$218),Model!$BQ$218:$BQ$243)</f>
        <v>59910.907132330249</v>
      </c>
      <c r="C16" s="320" cm="1">
        <f t="array" ref="C16">_xlfn.XLOOKUP(A16,_xlfn.ANCHORARRAY(Model!$C$127),Model!$BO$127:$BO$152)</f>
        <v>9</v>
      </c>
    </row>
    <row r="17" spans="1:3">
      <c r="A17" s="320" t="s">
        <v>54</v>
      </c>
      <c r="B17" s="320" cm="1">
        <f t="array" ref="B17">_xlfn.XLOOKUP(A17,_xlfn.ANCHORARRAY(Model!$C$218),Model!$BQ$218:$BQ$243)</f>
        <v>43392.336119207386</v>
      </c>
      <c r="C17" s="320" cm="1">
        <f t="array" ref="C17">_xlfn.XLOOKUP(A17,_xlfn.ANCHORARRAY(Model!$C$127),Model!$BO$127:$BO$152)</f>
        <v>8</v>
      </c>
    </row>
    <row r="18" spans="1:3">
      <c r="A18" s="320" t="s">
        <v>72</v>
      </c>
      <c r="B18" s="320" cm="1">
        <f t="array" ref="B18">_xlfn.XLOOKUP(A18,_xlfn.ANCHORARRAY(Model!$C$218),Model!$BQ$218:$BQ$243)</f>
        <v>48143.412153230776</v>
      </c>
      <c r="C18" s="320" cm="1">
        <f t="array" ref="C18">_xlfn.XLOOKUP(A18,_xlfn.ANCHORARRAY(Model!$C$127),Model!$BO$127:$BO$152)</f>
        <v>7</v>
      </c>
    </row>
    <row r="19" spans="1:3">
      <c r="A19" s="320" t="s">
        <v>95</v>
      </c>
      <c r="B19" s="320" cm="1">
        <f t="array" ref="B19">_xlfn.XLOOKUP(A19,_xlfn.ANCHORARRAY(Model!$C$218),Model!$BQ$218:$BQ$243)</f>
        <v>43403.314377766481</v>
      </c>
      <c r="C19" s="320" cm="1">
        <f t="array" ref="C19">_xlfn.XLOOKUP(A19,_xlfn.ANCHORARRAY(Model!$C$127),Model!$BO$127:$BO$152)</f>
        <v>6</v>
      </c>
    </row>
    <row r="20" spans="1:3">
      <c r="A20" s="320" t="s">
        <v>57</v>
      </c>
      <c r="B20" s="320" cm="1">
        <f t="array" ref="B20">_xlfn.XLOOKUP(A20,_xlfn.ANCHORARRAY(Model!$C$218),Model!$BQ$218:$BQ$243)</f>
        <v>26979.475411208263</v>
      </c>
      <c r="C20" s="320" cm="1">
        <f t="array" ref="C20">_xlfn.XLOOKUP(A20,_xlfn.ANCHORARRAY(Model!$C$127),Model!$BO$127:$BO$152)</f>
        <v>6</v>
      </c>
    </row>
    <row r="21" spans="1:3">
      <c r="A21" s="320" t="s">
        <v>60</v>
      </c>
      <c r="B21" s="320" cm="1">
        <f t="array" ref="B21">_xlfn.XLOOKUP(A21,_xlfn.ANCHORARRAY(Model!$C$218),Model!$BQ$218:$BQ$243)</f>
        <v>20656.332075435228</v>
      </c>
      <c r="C21" s="320" cm="1">
        <f t="array" ref="C21">_xlfn.XLOOKUP(A21,_xlfn.ANCHORARRAY(Model!$C$127),Model!$BO$127:$BO$152)</f>
        <v>6</v>
      </c>
    </row>
    <row r="22" spans="1:3">
      <c r="A22" s="320" t="s">
        <v>70</v>
      </c>
      <c r="B22" s="320" cm="1">
        <f t="array" ref="B22">_xlfn.XLOOKUP(A22,_xlfn.ANCHORARRAY(Model!$C$218),Model!$BQ$218:$BQ$243)</f>
        <v>35130.934023366484</v>
      </c>
      <c r="C22" s="320" cm="1">
        <f t="array" ref="C22">_xlfn.XLOOKUP(A22,_xlfn.ANCHORARRAY(Model!$C$127),Model!$BO$127:$BO$152)</f>
        <v>5</v>
      </c>
    </row>
    <row r="23" spans="1:3">
      <c r="A23" s="320" t="s">
        <v>80</v>
      </c>
      <c r="B23" s="320" cm="1">
        <f t="array" ref="B23">_xlfn.XLOOKUP(A23,_xlfn.ANCHORARRAY(Model!$C$218),Model!$BQ$218:$BQ$243)</f>
        <v>26220.871248868025</v>
      </c>
      <c r="C23" s="320" cm="1">
        <f t="array" ref="C23">_xlfn.XLOOKUP(A23,_xlfn.ANCHORARRAY(Model!$C$127),Model!$BO$127:$BO$152)</f>
        <v>5</v>
      </c>
    </row>
    <row r="24" spans="1:3">
      <c r="A24" s="320" t="s">
        <v>98</v>
      </c>
      <c r="B24" s="320" cm="1">
        <f t="array" ref="B24">_xlfn.XLOOKUP(A24,_xlfn.ANCHORARRAY(Model!$C$218),Model!$BQ$218:$BQ$243)</f>
        <v>25055.438920341006</v>
      </c>
      <c r="C24" s="320" cm="1">
        <f t="array" ref="C24">_xlfn.XLOOKUP(A24,_xlfn.ANCHORARRAY(Model!$C$127),Model!$BO$127:$BO$152)</f>
        <v>5</v>
      </c>
    </row>
    <row r="25" spans="1:3">
      <c r="A25" s="320" t="s">
        <v>74</v>
      </c>
      <c r="B25" s="320" cm="1">
        <f t="array" ref="B25">_xlfn.XLOOKUP(A25,_xlfn.ANCHORARRAY(Model!$C$218),Model!$BQ$218:$BQ$243)</f>
        <v>14411.566815921049</v>
      </c>
      <c r="C25" s="320" cm="1">
        <f t="array" ref="C25">_xlfn.XLOOKUP(A25,_xlfn.ANCHORARRAY(Model!$C$127),Model!$BO$127:$BO$152)</f>
        <v>3</v>
      </c>
    </row>
    <row r="26" spans="1:3">
      <c r="A26" s="320" t="s">
        <v>90</v>
      </c>
      <c r="B26" s="320" cm="1">
        <f t="array" ref="B26">_xlfn.XLOOKUP(A26,_xlfn.ANCHORARRAY(Model!$C$218),Model!$BQ$218:$BQ$243)</f>
        <v>12291.508681118607</v>
      </c>
      <c r="C26" s="320" cm="1">
        <f t="array" ref="C26">_xlfn.XLOOKUP(A26,_xlfn.ANCHORARRAY(Model!$C$127),Model!$BO$127:$BO$152)</f>
        <v>3</v>
      </c>
    </row>
    <row r="27" spans="1:3">
      <c r="A27" s="320" t="s">
        <v>101</v>
      </c>
      <c r="B27" s="320" cm="1">
        <f t="array" ref="B27">_xlfn.XLOOKUP(A27,_xlfn.ANCHORARRAY(Model!$C$218),Model!$BQ$218:$BQ$243)</f>
        <v>10494.229753041453</v>
      </c>
      <c r="C27" s="320" cm="1">
        <f t="array" ref="C27">_xlfn.XLOOKUP(A27,_xlfn.ANCHORARRAY(Model!$C$127),Model!$BO$127:$BO$152)</f>
        <v>3</v>
      </c>
    </row>
  </sheetData>
  <sortState xmlns:xlrd2="http://schemas.microsoft.com/office/spreadsheetml/2017/richdata2" ref="A2:C27">
    <sortCondition descending="1" ref="C2:C27"/>
    <sortCondition descending="1" ref="B2:B27"/>
  </sortState>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39D0DE-31E9-43D9-BE68-BDEDE727AEED}">
  <sheetPr>
    <tabColor theme="4" tint="0.59999389629810485"/>
  </sheetPr>
  <dimension ref="A1:NI37"/>
  <sheetViews>
    <sheetView workbookViewId="0">
      <selection activeCell="D20" sqref="D20"/>
    </sheetView>
  </sheetViews>
  <sheetFormatPr defaultColWidth="0" defaultRowHeight="12.75"/>
  <cols>
    <col min="1" max="1" width="3.42578125" style="116" customWidth="1"/>
    <col min="2" max="2" width="6.140625" style="115" bestFit="1" customWidth="1"/>
    <col min="3" max="3" width="129.140625" style="116" bestFit="1" customWidth="1"/>
    <col min="4" max="4" width="12.7109375" style="115" bestFit="1" customWidth="1"/>
    <col min="5" max="5" width="19.7109375" style="115" bestFit="1" customWidth="1"/>
    <col min="6" max="6" width="21" style="115" customWidth="1"/>
    <col min="7" max="7" width="71.85546875" style="116" customWidth="1"/>
    <col min="8" max="373" width="0" style="116" hidden="1" customWidth="1"/>
    <col min="374" max="16384" width="9.140625" style="116" hidden="1"/>
  </cols>
  <sheetData>
    <row r="1" spans="2:7" customFormat="1" ht="12">
      <c r="B1" s="112"/>
      <c r="C1" s="320"/>
      <c r="D1" s="112"/>
      <c r="E1" s="112"/>
      <c r="F1" s="112"/>
      <c r="G1" s="320"/>
    </row>
    <row r="2" spans="2:7" customFormat="1" ht="15.75" thickBot="1">
      <c r="B2" s="114"/>
      <c r="C2" s="274" t="s">
        <v>1347</v>
      </c>
      <c r="D2" s="114"/>
      <c r="E2" s="114"/>
      <c r="F2" s="114"/>
      <c r="G2" s="275"/>
    </row>
    <row r="3" spans="2:7" customFormat="1" thickTop="1">
      <c r="B3" s="112"/>
      <c r="C3" s="320"/>
      <c r="D3" s="112"/>
      <c r="E3" s="112"/>
      <c r="F3" s="112"/>
      <c r="G3" s="320"/>
    </row>
    <row r="4" spans="2:7">
      <c r="B4" s="276" t="s">
        <v>153</v>
      </c>
      <c r="C4" s="277" t="s">
        <v>1348</v>
      </c>
      <c r="D4" s="276" t="s">
        <v>1349</v>
      </c>
      <c r="E4" s="276" t="s">
        <v>1350</v>
      </c>
      <c r="F4" s="276" t="s">
        <v>1350</v>
      </c>
      <c r="G4" s="277" t="s">
        <v>1351</v>
      </c>
    </row>
    <row r="5" spans="2:7">
      <c r="C5" s="278"/>
      <c r="D5" s="279"/>
      <c r="F5" s="116"/>
      <c r="G5" s="278"/>
    </row>
    <row r="6" spans="2:7">
      <c r="B6" s="280" t="s">
        <v>1352</v>
      </c>
      <c r="F6" s="116"/>
    </row>
    <row r="7" spans="2:7">
      <c r="B7" s="115">
        <v>1</v>
      </c>
      <c r="C7" s="116" t="s">
        <v>1353</v>
      </c>
      <c r="D7" s="115">
        <f>--(E7=F7)</f>
        <v>1</v>
      </c>
      <c r="E7" s="115" t="str" cm="1">
        <f t="array" ref="E7">_xlfn.XLOOKUP(MAX(Model!BO127:BO152),Model!BO127:BO152,_xlfn.ANCHORARRAY(Model!C127))</f>
        <v>Hexavale</v>
      </c>
      <c r="F7" s="281" t="s">
        <v>65</v>
      </c>
    </row>
    <row r="8" spans="2:7">
      <c r="B8" s="115">
        <v>2</v>
      </c>
      <c r="C8" s="116" t="s">
        <v>1354</v>
      </c>
      <c r="D8" s="115">
        <f t="shared" ref="D8:D34" si="0">--(E8=F8)</f>
        <v>1</v>
      </c>
      <c r="E8" s="115" t="str">
        <f>_xlfn.XLOOKUP(MAX('Existing Stores'!F9:F1008),'Existing Stores'!F9:F1008,'Existing Stores'!C9:C1008)</f>
        <v>Gigatown Metro Center</v>
      </c>
      <c r="F8" s="282" t="s">
        <v>1047</v>
      </c>
    </row>
    <row r="9" spans="2:7">
      <c r="B9" s="115">
        <v>3</v>
      </c>
      <c r="C9" s="116" t="s">
        <v>1355</v>
      </c>
      <c r="D9" s="115">
        <f t="shared" si="0"/>
        <v>1</v>
      </c>
      <c r="E9" s="115">
        <f>Model!BO153</f>
        <v>1060</v>
      </c>
      <c r="F9" s="283">
        <v>1060</v>
      </c>
    </row>
    <row r="10" spans="2:7">
      <c r="B10" s="115">
        <v>4</v>
      </c>
      <c r="C10" s="116" t="s">
        <v>1356</v>
      </c>
      <c r="D10" s="115">
        <f t="shared" si="0"/>
        <v>1</v>
      </c>
      <c r="E10" s="115">
        <f>Model!H157</f>
        <v>18024</v>
      </c>
      <c r="F10" s="283">
        <v>18024</v>
      </c>
    </row>
    <row r="11" spans="2:7">
      <c r="B11" s="115">
        <v>5</v>
      </c>
      <c r="C11" s="116" t="s">
        <v>1357</v>
      </c>
      <c r="D11" s="115">
        <f t="shared" si="0"/>
        <v>1</v>
      </c>
      <c r="E11" s="115">
        <f>COUNTIF((Model!BO188:BO213),0.8)</f>
        <v>6</v>
      </c>
      <c r="F11" s="283">
        <v>6</v>
      </c>
    </row>
    <row r="12" spans="2:7">
      <c r="B12" s="115">
        <v>6</v>
      </c>
      <c r="C12" s="116" t="s">
        <v>1358</v>
      </c>
      <c r="D12" s="115">
        <f t="shared" si="0"/>
        <v>1</v>
      </c>
      <c r="E12" s="115">
        <f>Model!E218</f>
        <v>121</v>
      </c>
      <c r="F12" s="284">
        <v>121</v>
      </c>
    </row>
    <row r="13" spans="2:7">
      <c r="B13" s="115">
        <v>7</v>
      </c>
      <c r="C13" s="116" t="s">
        <v>1359</v>
      </c>
      <c r="D13" s="115">
        <f t="shared" si="0"/>
        <v>1</v>
      </c>
      <c r="E13" s="115">
        <f>Model!H218</f>
        <v>697.928</v>
      </c>
      <c r="F13" s="284">
        <v>697.92800000000011</v>
      </c>
    </row>
    <row r="14" spans="2:7">
      <c r="B14" s="115">
        <v>8</v>
      </c>
      <c r="C14" s="116" t="s">
        <v>1360</v>
      </c>
      <c r="D14" s="115">
        <f t="shared" si="0"/>
        <v>1</v>
      </c>
      <c r="E14" s="115">
        <f>SUM(Model!H218:BO218)</f>
        <v>61724.455945996488</v>
      </c>
      <c r="F14" s="285">
        <v>61724.455945996495</v>
      </c>
    </row>
    <row r="15" spans="2:7">
      <c r="B15" s="115">
        <v>9</v>
      </c>
      <c r="C15" s="116" t="s">
        <v>1361</v>
      </c>
      <c r="D15" s="115">
        <f t="shared" si="0"/>
        <v>1</v>
      </c>
      <c r="E15" s="115">
        <f>SUM(Model!H220:BO220)</f>
        <v>35723.680807000819</v>
      </c>
      <c r="F15" s="285">
        <v>35723.680807000819</v>
      </c>
    </row>
    <row r="16" spans="2:7">
      <c r="B16" s="115">
        <v>10</v>
      </c>
      <c r="C16" s="116" t="s">
        <v>1362</v>
      </c>
      <c r="D16" s="115">
        <f t="shared" si="0"/>
        <v>1</v>
      </c>
      <c r="E16" s="141">
        <f>ROUND(SUM(Model!H20:BO20),2)</f>
        <v>8000721.8700000001</v>
      </c>
      <c r="F16" s="292">
        <f>ROUND(8000721.86698094,2)</f>
        <v>8000721.8700000001</v>
      </c>
    </row>
    <row r="17" spans="2:6">
      <c r="B17" s="115">
        <v>11</v>
      </c>
      <c r="C17" s="116" t="s">
        <v>1363</v>
      </c>
      <c r="D17" s="115">
        <f t="shared" si="0"/>
        <v>1</v>
      </c>
      <c r="E17" s="293">
        <f>Model!BH326</f>
        <v>17.389111114499997</v>
      </c>
      <c r="F17" s="286">
        <v>17.3891111145</v>
      </c>
    </row>
    <row r="18" spans="2:6">
      <c r="B18" s="115">
        <v>12</v>
      </c>
      <c r="C18" s="116" t="s">
        <v>1364</v>
      </c>
      <c r="D18" s="115">
        <f t="shared" si="0"/>
        <v>1</v>
      </c>
      <c r="E18" s="115">
        <f>Model!BO357</f>
        <v>3724</v>
      </c>
      <c r="F18" s="283">
        <v>3724</v>
      </c>
    </row>
    <row r="19" spans="2:6">
      <c r="B19" s="115">
        <v>13</v>
      </c>
      <c r="C19" s="116" t="s">
        <v>1365</v>
      </c>
      <c r="D19" s="115">
        <f t="shared" si="0"/>
        <v>1</v>
      </c>
      <c r="E19" s="115">
        <f>Model!H363</f>
        <v>25.66114705</v>
      </c>
      <c r="F19" s="284">
        <v>25.661147050000004</v>
      </c>
    </row>
    <row r="20" spans="2:6">
      <c r="B20" s="115">
        <v>14</v>
      </c>
      <c r="C20" s="116" t="s">
        <v>1366</v>
      </c>
      <c r="D20" s="115">
        <f t="shared" si="0"/>
        <v>1</v>
      </c>
      <c r="E20" s="115">
        <f>SUM(_xlfn.ANCHORARRAY(Model!H38))</f>
        <v>620332.41530400852</v>
      </c>
      <c r="F20" s="281">
        <v>620332.41530400887</v>
      </c>
    </row>
    <row r="22" spans="2:6">
      <c r="B22" s="280" t="s">
        <v>1367</v>
      </c>
    </row>
    <row r="23" spans="2:6">
      <c r="B23" s="115">
        <v>15</v>
      </c>
      <c r="C23" s="116" t="s">
        <v>1368</v>
      </c>
      <c r="D23" s="115">
        <f t="shared" si="0"/>
        <v>1</v>
      </c>
      <c r="E23" s="115">
        <f>Model!H58</f>
        <v>48733.433733333324</v>
      </c>
      <c r="F23" s="285">
        <v>48733.433733333324</v>
      </c>
    </row>
    <row r="24" spans="2:6">
      <c r="B24" s="115">
        <v>16</v>
      </c>
      <c r="C24" s="116" t="s">
        <v>1369</v>
      </c>
      <c r="D24" s="115">
        <f t="shared" si="0"/>
        <v>1</v>
      </c>
      <c r="E24" s="115">
        <f>Model!BO59</f>
        <v>113666.822985115</v>
      </c>
      <c r="F24" s="285">
        <v>113666.82298511501</v>
      </c>
    </row>
    <row r="25" spans="2:6">
      <c r="B25" s="115">
        <v>17</v>
      </c>
      <c r="C25" s="116" t="s">
        <v>1370</v>
      </c>
      <c r="D25" s="115">
        <f t="shared" si="0"/>
        <v>1</v>
      </c>
      <c r="E25" s="115">
        <f>-Model!BO450</f>
        <v>189093.64313164577</v>
      </c>
      <c r="F25" s="285">
        <v>189093.6431316458</v>
      </c>
    </row>
    <row r="26" spans="2:6">
      <c r="B26" s="115">
        <v>18</v>
      </c>
      <c r="C26" s="116" t="s">
        <v>1371</v>
      </c>
      <c r="D26" s="115">
        <f t="shared" si="0"/>
        <v>1</v>
      </c>
      <c r="E26" s="115">
        <f>SUM(_xlfn.ANCHORARRAY(Model!H471))</f>
        <v>6562.0918611600027</v>
      </c>
      <c r="F26" s="285">
        <v>6562.0918611600027</v>
      </c>
    </row>
    <row r="27" spans="2:6">
      <c r="B27" s="115">
        <v>19</v>
      </c>
      <c r="C27" s="116" t="s">
        <v>1372</v>
      </c>
      <c r="D27" s="115">
        <f t="shared" si="0"/>
        <v>1</v>
      </c>
      <c r="E27" s="115">
        <f>-Model!H478</f>
        <v>27.777777777777779</v>
      </c>
      <c r="F27" s="294">
        <v>27.777777777777779</v>
      </c>
    </row>
    <row r="28" spans="2:6">
      <c r="B28" s="115">
        <v>20</v>
      </c>
      <c r="C28" s="116" t="s">
        <v>1373</v>
      </c>
      <c r="D28" s="115">
        <f t="shared" ca="1" si="0"/>
        <v>1</v>
      </c>
      <c r="E28" s="115">
        <f ca="1">SUM(Model!H92:BO92)</f>
        <v>103148.80416167298</v>
      </c>
      <c r="F28" s="285">
        <v>103148.8041616729</v>
      </c>
    </row>
    <row r="29" spans="2:6">
      <c r="B29" s="115">
        <v>21</v>
      </c>
      <c r="C29" s="116" t="s">
        <v>1374</v>
      </c>
      <c r="D29" s="115">
        <f t="shared" si="0"/>
        <v>1</v>
      </c>
      <c r="E29" s="115">
        <f>SUM(Model!H499:BO499)</f>
        <v>2871.75</v>
      </c>
      <c r="F29" s="285">
        <v>2871.75</v>
      </c>
    </row>
    <row r="30" spans="2:6">
      <c r="B30" s="115">
        <v>22</v>
      </c>
      <c r="C30" s="116" t="s">
        <v>1375</v>
      </c>
      <c r="D30" s="115">
        <f t="shared" ca="1" si="0"/>
        <v>1</v>
      </c>
      <c r="E30" s="115">
        <f ca="1">Model!G84</f>
        <v>70500</v>
      </c>
      <c r="F30" s="285">
        <v>70500</v>
      </c>
    </row>
    <row r="31" spans="2:6">
      <c r="B31" s="115">
        <v>23</v>
      </c>
      <c r="C31" s="116" t="s">
        <v>1376</v>
      </c>
      <c r="D31" s="115">
        <f t="shared" ca="1" si="0"/>
        <v>1</v>
      </c>
      <c r="E31" s="115">
        <f ca="1">Model!H503</f>
        <v>7614.8283269044705</v>
      </c>
      <c r="F31" s="285">
        <v>7614.8283269044705</v>
      </c>
    </row>
    <row r="32" spans="2:6">
      <c r="B32" s="115">
        <v>24</v>
      </c>
      <c r="C32" s="116" t="s">
        <v>1377</v>
      </c>
      <c r="D32" s="115">
        <f t="shared" si="0"/>
        <v>1</v>
      </c>
      <c r="E32" s="295">
        <f>Model!J8</f>
        <v>46112</v>
      </c>
      <c r="F32" s="287">
        <v>46112</v>
      </c>
    </row>
    <row r="33" spans="2:7">
      <c r="B33" s="115">
        <v>25</v>
      </c>
      <c r="C33" s="116" t="s">
        <v>1378</v>
      </c>
      <c r="D33" s="115">
        <f t="shared" ca="1" si="0"/>
        <v>1</v>
      </c>
      <c r="E33" s="115">
        <f ca="1">Model!BO536</f>
        <v>272052.97794539254</v>
      </c>
      <c r="F33" s="285">
        <v>272052.9779453926</v>
      </c>
    </row>
    <row r="34" spans="2:7" ht="25.5">
      <c r="B34" s="288">
        <v>26</v>
      </c>
      <c r="C34" s="289" t="s">
        <v>1379</v>
      </c>
      <c r="D34" s="115">
        <f t="shared" si="0"/>
        <v>0</v>
      </c>
      <c r="E34" s="117"/>
      <c r="F34" s="290">
        <v>274844.83317421086</v>
      </c>
      <c r="G34" s="123"/>
    </row>
    <row r="36" spans="2:7">
      <c r="D36" s="291"/>
      <c r="E36" s="291"/>
    </row>
    <row r="37" spans="2:7">
      <c r="D37" s="291"/>
      <c r="E37" s="291"/>
    </row>
  </sheetData>
  <conditionalFormatting sqref="D7:D34">
    <cfRule type="iconSet" priority="1">
      <iconSet iconSet="3Symbols" showValue="0">
        <cfvo type="percent" val="0"/>
        <cfvo type="num" val="-1" gte="0"/>
        <cfvo type="num" val="1"/>
      </iconSet>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FMWC;Julien Lacaze;Ny Tsiory Rakotonanahary</dc:creator>
  <cp:keywords/>
  <dc:description/>
  <cp:lastModifiedBy>Alicia Bruce</cp:lastModifiedBy>
  <cp:revision/>
  <dcterms:created xsi:type="dcterms:W3CDTF">2023-02-17T08:18:19Z</dcterms:created>
  <dcterms:modified xsi:type="dcterms:W3CDTF">2026-03-30T20:49:41Z</dcterms:modified>
  <cp:category/>
  <cp:contentStatus/>
</cp:coreProperties>
</file>